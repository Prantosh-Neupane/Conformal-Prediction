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Dictionary" sheetId="1" state="visible" r:id="rId3"/>
    <sheet name="Data" sheetId="2" state="visible" r:id="rId4"/>
    <sheet name="Codes" sheetId="3" state="visible" r:id="rId5"/>
    <sheet name="Data (Labeled)" sheetId="4" state="visible" r:id="rId6"/>
    <sheet name="Summary by Site" sheetId="5" state="visible" r:id="rId7"/>
  </sheets>
  <definedNames>
    <definedName function="false" hidden="true" localSheetId="1" name="_xlnm._FilterDatabase" vbProcedure="false">Data!$A$1:$P$921</definedName>
    <definedName function="false" hidden="true" localSheetId="3" name="_xlnm._FilterDatabase" vbProcedure="false">'Data (Labeled)'!$A$1:$P$921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95" authorId="0">
      <text>
        <r>
          <rPr>
            <sz val="10"/>
            <rFont val="Arial"/>
            <family val="2"/>
          </rPr>
          <t xml:space="preserve">Exact duplicate of another record in the source file (all features identical).</t>
        </r>
      </text>
    </comment>
    <comment ref="A468" authorId="0">
      <text>
        <r>
          <rPr>
            <sz val="10"/>
            <rFont val="Arial"/>
            <family val="2"/>
          </rPr>
          <t xml:space="preserve">Exact duplicate of another record in the source file (all features identical).</t>
        </r>
      </text>
    </comment>
    <comment ref="A861" authorId="0">
      <text>
        <r>
          <rPr>
            <sz val="10"/>
            <rFont val="Arial"/>
            <family val="2"/>
          </rPr>
          <t xml:space="preserve">Exact duplicate of another record in the source file (all features identical).</t>
        </r>
      </text>
    </comment>
    <comment ref="A909" authorId="0">
      <text>
        <r>
          <rPr>
            <sz val="10"/>
            <rFont val="Arial"/>
            <family val="2"/>
          </rPr>
          <t xml:space="preserve">Exact duplicate of another record in the source file (all features identical).</t>
        </r>
      </text>
    </comment>
  </commentList>
</comments>
</file>

<file path=xl/sharedStrings.xml><?xml version="1.0" encoding="utf-8"?>
<sst xmlns="http://schemas.openxmlformats.org/spreadsheetml/2006/main" count="1177" uniqueCount="173">
  <si>
    <t xml:space="preserve">Heart Disease Dataset — Data Dictionary</t>
  </si>
  <si>
    <t xml:space="preserve">Source file: health_data.xls (actually a comma-separated text file). 920 records × 15 fields across 4 sites. Blank cells = missing in source. Statistics are live formulas on the Data sheet.</t>
  </si>
  <si>
    <t xml:space="preserve">Field</t>
  </si>
  <si>
    <t xml:space="preserve">Name</t>
  </si>
  <si>
    <t xml:space="preserve">Description</t>
  </si>
  <si>
    <t xml:space="preserve">Type</t>
  </si>
  <si>
    <t xml:space="preserve">Unit</t>
  </si>
  <si>
    <t xml:space="preserve">Valid Codes</t>
  </si>
  <si>
    <t xml:space="preserve">Non-missing</t>
  </si>
  <si>
    <t xml:space="preserve">Missing</t>
  </si>
  <si>
    <t xml:space="preserve">% Missing</t>
  </si>
  <si>
    <t xml:space="preserve">Min</t>
  </si>
  <si>
    <t xml:space="preserve">Max</t>
  </si>
  <si>
    <t xml:space="preserve">Mean</t>
  </si>
  <si>
    <t xml:space="preserve">age</t>
  </si>
  <si>
    <t xml:space="preserve">Age</t>
  </si>
  <si>
    <t xml:space="preserve">Age of patient</t>
  </si>
  <si>
    <t xml:space="preserve">Continuous</t>
  </si>
  <si>
    <t xml:space="preserve">years</t>
  </si>
  <si>
    <t xml:space="preserve">—</t>
  </si>
  <si>
    <t xml:space="preserve">sex</t>
  </si>
  <si>
    <t xml:space="preserve">Sex</t>
  </si>
  <si>
    <t xml:space="preserve">Binary</t>
  </si>
  <si>
    <t xml:space="preserve">0 = Female; 1 = Male</t>
  </si>
  <si>
    <t xml:space="preserve">cp</t>
  </si>
  <si>
    <t xml:space="preserve">Chest Pain Type</t>
  </si>
  <si>
    <t xml:space="preserve">Chest pain type</t>
  </si>
  <si>
    <t xml:space="preserve">Categorical</t>
  </si>
  <si>
    <t xml:space="preserve">1 = Typical angina; 2 = Atypical angina; 3 = Non-anginal pain; 4 = Asymptomatic</t>
  </si>
  <si>
    <t xml:space="preserve">trestbps</t>
  </si>
  <si>
    <t xml:space="preserve">Resting BP</t>
  </si>
  <si>
    <t xml:space="preserve">Resting blood pressure on admission to hospital</t>
  </si>
  <si>
    <t xml:space="preserve">mm Hg</t>
  </si>
  <si>
    <t xml:space="preserve">chol</t>
  </si>
  <si>
    <t xml:space="preserve">Serum Cholesterol</t>
  </si>
  <si>
    <t xml:space="preserve">Serum cholesterol</t>
  </si>
  <si>
    <t xml:space="preserve">mg/dL</t>
  </si>
  <si>
    <t xml:space="preserve">fbs</t>
  </si>
  <si>
    <t xml:space="preserve">Fasting Blood Sugar &gt;120</t>
  </si>
  <si>
    <t xml:space="preserve">Fasting blood sugar &gt; 120 mg/dL</t>
  </si>
  <si>
    <t xml:space="preserve">0 = No; 1 = Yes</t>
  </si>
  <si>
    <t xml:space="preserve">restecg</t>
  </si>
  <si>
    <t xml:space="preserve">Resting ECG</t>
  </si>
  <si>
    <t xml:space="preserve">Resting electrocardiographic results</t>
  </si>
  <si>
    <t xml:space="preserve">0 = Normal; 1 = ST-T wave abnormality; 2 = Left ventricular hypertrophy</t>
  </si>
  <si>
    <t xml:space="preserve">thalach</t>
  </si>
  <si>
    <t xml:space="preserve">Max Heart Rate</t>
  </si>
  <si>
    <t xml:space="preserve">Maximum heart rate achieved during exercise test</t>
  </si>
  <si>
    <t xml:space="preserve">bpm</t>
  </si>
  <si>
    <t xml:space="preserve">exang</t>
  </si>
  <si>
    <t xml:space="preserve">Exercise-Induced Angina</t>
  </si>
  <si>
    <t xml:space="preserve">Exercise-induced angina</t>
  </si>
  <si>
    <t xml:space="preserve">oldpeak</t>
  </si>
  <si>
    <t xml:space="preserve">ST Depression</t>
  </si>
  <si>
    <t xml:space="preserve">ST depression induced by exercise relative to rest</t>
  </si>
  <si>
    <t xml:space="preserve">mm</t>
  </si>
  <si>
    <t xml:space="preserve">slope</t>
  </si>
  <si>
    <t xml:space="preserve">ST Slope</t>
  </si>
  <si>
    <t xml:space="preserve">Slope of the peak exercise ST segment</t>
  </si>
  <si>
    <t xml:space="preserve">1 = Upsloping; 2 = Flat; 3 = Downsloping</t>
  </si>
  <si>
    <t xml:space="preserve">ca</t>
  </si>
  <si>
    <t xml:space="preserve">Major Vessels (Fluoroscopy)</t>
  </si>
  <si>
    <t xml:space="preserve">Number of major vessels (0–3) colored by fluoroscopy</t>
  </si>
  <si>
    <t xml:space="preserve">Ordinal</t>
  </si>
  <si>
    <t xml:space="preserve">count</t>
  </si>
  <si>
    <t xml:space="preserve">0 = 0; 1 = 1; 2 = 2; 3 = 3</t>
  </si>
  <si>
    <t xml:space="preserve">thal</t>
  </si>
  <si>
    <t xml:space="preserve">Thallium Stress Test</t>
  </si>
  <si>
    <t xml:space="preserve">Thallium stress test result</t>
  </si>
  <si>
    <t xml:space="preserve">3 = Normal; 6 = Fixed defect; 7 = Reversible defect</t>
  </si>
  <si>
    <t xml:space="preserve">target</t>
  </si>
  <si>
    <t xml:space="preserve">Diagnosis (num)</t>
  </si>
  <si>
    <t xml:space="preserve">Angiographic disease status: 0 = &lt;50% diameter narrowing (no disease); 1–4 = &gt;50% narrowing (disease present, increasing severity)</t>
  </si>
  <si>
    <t xml:space="preserve">0 = No disease; 1 = Disease (1); 2 = Disease (2); 3 = Disease (3); 4 = Disease (4)</t>
  </si>
  <si>
    <t xml:space="preserve">site</t>
  </si>
  <si>
    <t xml:space="preserve">Data Source Site</t>
  </si>
  <si>
    <t xml:space="preserve">Institution that contributed the record</t>
  </si>
  <si>
    <t xml:space="preserve">cleveland = Cleveland Clinic; hungarian = Hungarian Inst. of Cardiology, Budapest; switzerland = University Hospitals, Zurich &amp; Basel; va = VA Medical Center, Long Beach</t>
  </si>
  <si>
    <t xml:space="preserve">Data Quality Flags</t>
  </si>
  <si>
    <t xml:space="preserve">Shaded cells on the Data sheet are flagged below. Values were NOT altered — they appear exactly as in the source.</t>
  </si>
  <si>
    <t xml:space="preserve">Count</t>
  </si>
  <si>
    <t xml:space="preserve">Issue</t>
  </si>
  <si>
    <t xml:space="preserve">Cholesterol recorded as 0 — physiologically impossible; a placeholder for "not measured" in the source data (all Switzerland records, plus some VA).</t>
  </si>
  <si>
    <t xml:space="preserve">Resting BP recorded as 0 — physiologically impossible; likely a missing-value placeholder.</t>
  </si>
  <si>
    <t xml:space="preserve">Value outside the documented 0–3 range; likely a data-entry error / missing code.</t>
  </si>
  <si>
    <t xml:space="preserve">Negative ST depression (i.e., ST elevation). Present in the source; kept as-is.</t>
  </si>
  <si>
    <t xml:space="preserve">Record ID</t>
  </si>
  <si>
    <t xml:space="preserve">2 pairs of exact duplicate records (IDs 394, 467, 860, 908).</t>
  </si>
  <si>
    <t xml:space="preserve">Note: the source "target" column is the original UCI "num" field (0–4). For binary use, 0 = no disease and 1–4 = disease present.</t>
  </si>
  <si>
    <t xml:space="preserve">Age
(age) [years]</t>
  </si>
  <si>
    <t xml:space="preserve">Sex
(sex)</t>
  </si>
  <si>
    <t xml:space="preserve">Chest Pain Type
(cp)</t>
  </si>
  <si>
    <t xml:space="preserve">Resting BP
(trestbps) [mm Hg]</t>
  </si>
  <si>
    <t xml:space="preserve">Serum Cholesterol
(chol) [mg/dL]</t>
  </si>
  <si>
    <t xml:space="preserve">Fasting Blood Sugar &gt;120
(fbs)</t>
  </si>
  <si>
    <t xml:space="preserve">Resting ECG
(restecg)</t>
  </si>
  <si>
    <t xml:space="preserve">Max Heart Rate
(thalach) [bpm]</t>
  </si>
  <si>
    <t xml:space="preserve">Exercise-Induced Angina
(exang)</t>
  </si>
  <si>
    <t xml:space="preserve">ST Depression
(oldpeak) [mm]</t>
  </si>
  <si>
    <t xml:space="preserve">ST Slope
(slope)</t>
  </si>
  <si>
    <t xml:space="preserve">Major Vessels (Fluoroscopy)
(ca) [count]</t>
  </si>
  <si>
    <t xml:space="preserve">Thallium Stress Test
(thal)</t>
  </si>
  <si>
    <t xml:space="preserve">Diagnosis (num)
(target)</t>
  </si>
  <si>
    <t xml:space="preserve">Data Source Site
(site)</t>
  </si>
  <si>
    <t xml:space="preserve">cleveland</t>
  </si>
  <si>
    <t xml:space="preserve">hungarian</t>
  </si>
  <si>
    <t xml:space="preserve">switzerland</t>
  </si>
  <si>
    <t xml:space="preserve">va</t>
  </si>
  <si>
    <t xml:space="preserve">Code Lookup Tables</t>
  </si>
  <si>
    <t xml:space="preserve">Category labels used by the "Data (Labeled)" sheet. Edit a label here and it updates everywhere.</t>
  </si>
  <si>
    <t xml:space="preserve">Sex (sex)</t>
  </si>
  <si>
    <t xml:space="preserve">Code</t>
  </si>
  <si>
    <t xml:space="preserve">Label</t>
  </si>
  <si>
    <t xml:space="preserve">Female</t>
  </si>
  <si>
    <t xml:space="preserve">Male</t>
  </si>
  <si>
    <t xml:space="preserve">Chest Pain Type (cp)</t>
  </si>
  <si>
    <t xml:space="preserve">Typical angina</t>
  </si>
  <si>
    <t xml:space="preserve">Atypical angina</t>
  </si>
  <si>
    <t xml:space="preserve">Non-anginal pain</t>
  </si>
  <si>
    <t xml:space="preserve">Asymptomatic</t>
  </si>
  <si>
    <t xml:space="preserve">Fasting Blood Sugar &gt;120 (fbs)</t>
  </si>
  <si>
    <t xml:space="preserve">No</t>
  </si>
  <si>
    <t xml:space="preserve">Yes</t>
  </si>
  <si>
    <t xml:space="preserve">Resting ECG (restecg)</t>
  </si>
  <si>
    <t xml:space="preserve">Normal</t>
  </si>
  <si>
    <t xml:space="preserve">ST-T wave abnormality</t>
  </si>
  <si>
    <t xml:space="preserve">Left ventricular hypertrophy</t>
  </si>
  <si>
    <t xml:space="preserve">Exercise-Induced Angina (exang)</t>
  </si>
  <si>
    <t xml:space="preserve">ST Slope (slope)</t>
  </si>
  <si>
    <t xml:space="preserve">Upsloping</t>
  </si>
  <si>
    <t xml:space="preserve">Flat</t>
  </si>
  <si>
    <t xml:space="preserve">Downsloping</t>
  </si>
  <si>
    <t xml:space="preserve">Major Vessels (Fluoroscopy) (ca)</t>
  </si>
  <si>
    <t xml:space="preserve">0</t>
  </si>
  <si>
    <t xml:space="preserve">1</t>
  </si>
  <si>
    <t xml:space="preserve">2</t>
  </si>
  <si>
    <t xml:space="preserve">3</t>
  </si>
  <si>
    <t xml:space="preserve">Thallium Stress Test (thal)</t>
  </si>
  <si>
    <t xml:space="preserve">Fixed defect</t>
  </si>
  <si>
    <t xml:space="preserve">Reversible defect</t>
  </si>
  <si>
    <t xml:space="preserve">Diagnosis (num) (target)</t>
  </si>
  <si>
    <t xml:space="preserve">No disease</t>
  </si>
  <si>
    <t xml:space="preserve">Disease (1)</t>
  </si>
  <si>
    <t xml:space="preserve">Disease (2)</t>
  </si>
  <si>
    <t xml:space="preserve">Disease (3)</t>
  </si>
  <si>
    <t xml:space="preserve">Disease (4)</t>
  </si>
  <si>
    <t xml:space="preserve">Data Source Site (site)</t>
  </si>
  <si>
    <t xml:space="preserve">Cleveland Clinic</t>
  </si>
  <si>
    <t xml:space="preserve">Hungarian Inst. of Cardiology, Budapest</t>
  </si>
  <si>
    <t xml:space="preserve">University Hospitals, Zurich &amp; Basel</t>
  </si>
  <si>
    <t xml:space="preserve">VA Medical Center, Long Beach</t>
  </si>
  <si>
    <t xml:space="preserve">Age [years]</t>
  </si>
  <si>
    <t xml:space="preserve">Resting BP [mm Hg]</t>
  </si>
  <si>
    <t xml:space="preserve">Serum Cholesterol [mg/dL]</t>
  </si>
  <si>
    <t xml:space="preserve">Max Heart Rate [bpm]</t>
  </si>
  <si>
    <t xml:space="preserve">ST Depression [mm]</t>
  </si>
  <si>
    <t xml:space="preserve">Major Vessels (Fluoroscopy) [count]</t>
  </si>
  <si>
    <t xml:space="preserve">Summary by Site</t>
  </si>
  <si>
    <t xml:space="preserve">Metric</t>
  </si>
  <si>
    <t xml:space="preserve">All Sites</t>
  </si>
  <si>
    <t xml:space="preserve">Records</t>
  </si>
  <si>
    <t xml:space="preserve">Disease present (target 1–4)</t>
  </si>
  <si>
    <t xml:space="preserve">Mean Age [years]</t>
  </si>
  <si>
    <t xml:space="preserve">Mean Resting BP [mm Hg] (excl. 0 placeholders)</t>
  </si>
  <si>
    <t xml:space="preserve">Mean Serum Cholesterol [mg/dL] (excl. 0 placeholders)</t>
  </si>
  <si>
    <t xml:space="preserve">Mean Max Heart Rate [bpm]</t>
  </si>
  <si>
    <t xml:space="preserve">Mean ST Depression [mm]</t>
  </si>
  <si>
    <t xml:space="preserve">Missing values per field</t>
  </si>
  <si>
    <t xml:space="preserve">Age (age)</t>
  </si>
  <si>
    <t xml:space="preserve">Resting BP (trestbps)</t>
  </si>
  <si>
    <t xml:space="preserve">Serum Cholesterol (chol)</t>
  </si>
  <si>
    <t xml:space="preserve">Max Heart Rate (thalach)</t>
  </si>
  <si>
    <t xml:space="preserve">ST Depression (oldpeak)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</si>
</sst>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"/>
    <numFmt numFmtId="168" formatCode="0.00"/>
    <numFmt numFmtId="169" formatCode="0.0"/>
    <numFmt numFmtId="170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48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46"/>
    <col collapsed="false" customWidth="true" hidden="false" outlineLevel="0" max="7" min="7" style="0" width="11"/>
    <col collapsed="false" customWidth="true" hidden="false" outlineLevel="0" max="9" min="8" style="0" width="9"/>
    <col collapsed="false" customWidth="true" hidden="false" outlineLevel="0" max="11" min="10" style="0" width="8"/>
    <col collapsed="false" customWidth="true" hidden="false" outlineLevel="0" max="12" min="12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6" t="n">
        <f aca="false">COUNTA(Data!B2:B921)</f>
        <v>920</v>
      </c>
      <c r="H5" s="6" t="n">
        <f aca="false">COUNTBLANK(Data!B2:B921)</f>
        <v>0</v>
      </c>
      <c r="I5" s="7" t="n">
        <f aca="false">H5/920</f>
        <v>0</v>
      </c>
      <c r="J5" s="8" t="n">
        <f aca="false">MIN(Data!B2:B921)</f>
        <v>28</v>
      </c>
      <c r="K5" s="8" t="n">
        <f aca="false">MAX(Data!B2:B921)</f>
        <v>77</v>
      </c>
      <c r="L5" s="9" t="n">
        <f aca="false">AVERAGE(Data!B2:B921)</f>
        <v>53.5108695652174</v>
      </c>
    </row>
    <row r="6" customFormat="false" ht="15" hidden="false" customHeight="false" outlineLevel="0" collapsed="false">
      <c r="A6" s="4" t="s">
        <v>20</v>
      </c>
      <c r="B6" s="5" t="s">
        <v>21</v>
      </c>
      <c r="C6" s="5" t="s">
        <v>21</v>
      </c>
      <c r="D6" s="5" t="s">
        <v>22</v>
      </c>
      <c r="E6" s="5" t="s">
        <v>19</v>
      </c>
      <c r="F6" s="5" t="s">
        <v>23</v>
      </c>
      <c r="G6" s="6" t="n">
        <f aca="false">COUNTA(Data!C2:C921)</f>
        <v>920</v>
      </c>
      <c r="H6" s="6" t="n">
        <f aca="false">COUNTBLANK(Data!C2:C921)</f>
        <v>0</v>
      </c>
      <c r="I6" s="7" t="n">
        <f aca="false">H6/920</f>
        <v>0</v>
      </c>
      <c r="J6" s="8" t="n">
        <f aca="false">MIN(Data!C2:C921)</f>
        <v>0</v>
      </c>
      <c r="K6" s="8" t="n">
        <f aca="false">MAX(Data!C2:C921)</f>
        <v>1</v>
      </c>
      <c r="L6" s="9" t="n">
        <f aca="false">AVERAGE(Data!C2:C921)</f>
        <v>0.789130434782609</v>
      </c>
    </row>
    <row r="7" customFormat="false" ht="23.85" hidden="false" customHeight="false" outlineLevel="0" collapsed="false">
      <c r="A7" s="4" t="s">
        <v>24</v>
      </c>
      <c r="B7" s="5" t="s">
        <v>25</v>
      </c>
      <c r="C7" s="5" t="s">
        <v>26</v>
      </c>
      <c r="D7" s="5" t="s">
        <v>27</v>
      </c>
      <c r="E7" s="5" t="s">
        <v>19</v>
      </c>
      <c r="F7" s="5" t="s">
        <v>28</v>
      </c>
      <c r="G7" s="6" t="n">
        <f aca="false">COUNTA(Data!D2:D921)</f>
        <v>920</v>
      </c>
      <c r="H7" s="6" t="n">
        <f aca="false">COUNTBLANK(Data!D2:D921)</f>
        <v>0</v>
      </c>
      <c r="I7" s="7" t="n">
        <f aca="false">H7/920</f>
        <v>0</v>
      </c>
      <c r="J7" s="8" t="n">
        <f aca="false">MIN(Data!D2:D921)</f>
        <v>1</v>
      </c>
      <c r="K7" s="8" t="n">
        <f aca="false">MAX(Data!D2:D921)</f>
        <v>4</v>
      </c>
      <c r="L7" s="9" t="s">
        <v>19</v>
      </c>
    </row>
    <row r="8" customFormat="false" ht="15" hidden="false" customHeight="false" outlineLevel="0" collapsed="false">
      <c r="A8" s="4" t="s">
        <v>29</v>
      </c>
      <c r="B8" s="5" t="s">
        <v>30</v>
      </c>
      <c r="C8" s="5" t="s">
        <v>31</v>
      </c>
      <c r="D8" s="5" t="s">
        <v>17</v>
      </c>
      <c r="E8" s="5" t="s">
        <v>32</v>
      </c>
      <c r="F8" s="5" t="s">
        <v>19</v>
      </c>
      <c r="G8" s="6" t="n">
        <f aca="false">COUNTA(Data!E2:E921)</f>
        <v>861</v>
      </c>
      <c r="H8" s="6" t="n">
        <f aca="false">COUNTBLANK(Data!E2:E921)</f>
        <v>59</v>
      </c>
      <c r="I8" s="7" t="n">
        <f aca="false">H8/920</f>
        <v>0.0641304347826087</v>
      </c>
      <c r="J8" s="8" t="n">
        <f aca="false">MIN(Data!E2:E921)</f>
        <v>0</v>
      </c>
      <c r="K8" s="8" t="n">
        <f aca="false">MAX(Data!E2:E921)</f>
        <v>200</v>
      </c>
      <c r="L8" s="9" t="n">
        <f aca="false">AVERAGE(Data!E2:E921)</f>
        <v>132.132404181185</v>
      </c>
    </row>
    <row r="9" customFormat="false" ht="15" hidden="false" customHeight="false" outlineLevel="0" collapsed="false">
      <c r="A9" s="4" t="s">
        <v>33</v>
      </c>
      <c r="B9" s="5" t="s">
        <v>34</v>
      </c>
      <c r="C9" s="5" t="s">
        <v>35</v>
      </c>
      <c r="D9" s="5" t="s">
        <v>17</v>
      </c>
      <c r="E9" s="5" t="s">
        <v>36</v>
      </c>
      <c r="F9" s="5" t="s">
        <v>19</v>
      </c>
      <c r="G9" s="6" t="n">
        <f aca="false">COUNTA(Data!F2:F921)</f>
        <v>890</v>
      </c>
      <c r="H9" s="6" t="n">
        <f aca="false">COUNTBLANK(Data!F2:F921)</f>
        <v>30</v>
      </c>
      <c r="I9" s="7" t="n">
        <f aca="false">H9/920</f>
        <v>0.0326086956521739</v>
      </c>
      <c r="J9" s="8" t="n">
        <f aca="false">MIN(Data!F2:F921)</f>
        <v>0</v>
      </c>
      <c r="K9" s="8" t="n">
        <f aca="false">MAX(Data!F2:F921)</f>
        <v>603</v>
      </c>
      <c r="L9" s="9" t="n">
        <f aca="false">AVERAGE(Data!F2:F921)</f>
        <v>199.130337078652</v>
      </c>
    </row>
    <row r="10" customFormat="false" ht="15" hidden="false" customHeight="false" outlineLevel="0" collapsed="false">
      <c r="A10" s="4" t="s">
        <v>37</v>
      </c>
      <c r="B10" s="5" t="s">
        <v>38</v>
      </c>
      <c r="C10" s="5" t="s">
        <v>39</v>
      </c>
      <c r="D10" s="5" t="s">
        <v>22</v>
      </c>
      <c r="E10" s="5" t="s">
        <v>19</v>
      </c>
      <c r="F10" s="5" t="s">
        <v>40</v>
      </c>
      <c r="G10" s="6" t="n">
        <f aca="false">COUNTA(Data!G2:G921)</f>
        <v>830</v>
      </c>
      <c r="H10" s="6" t="n">
        <f aca="false">COUNTBLANK(Data!G2:G921)</f>
        <v>90</v>
      </c>
      <c r="I10" s="7" t="n">
        <f aca="false">H10/920</f>
        <v>0.0978260869565217</v>
      </c>
      <c r="J10" s="8" t="n">
        <f aca="false">MIN(Data!G2:G921)</f>
        <v>0</v>
      </c>
      <c r="K10" s="8" t="n">
        <f aca="false">MAX(Data!G2:G921)</f>
        <v>1</v>
      </c>
      <c r="L10" s="9" t="n">
        <f aca="false">AVERAGE(Data!G2:G921)</f>
        <v>0.166265060240964</v>
      </c>
    </row>
    <row r="11" customFormat="false" ht="23.85" hidden="false" customHeight="false" outlineLevel="0" collapsed="false">
      <c r="A11" s="4" t="s">
        <v>41</v>
      </c>
      <c r="B11" s="5" t="s">
        <v>42</v>
      </c>
      <c r="C11" s="5" t="s">
        <v>43</v>
      </c>
      <c r="D11" s="5" t="s">
        <v>27</v>
      </c>
      <c r="E11" s="5" t="s">
        <v>19</v>
      </c>
      <c r="F11" s="5" t="s">
        <v>44</v>
      </c>
      <c r="G11" s="6" t="n">
        <f aca="false">COUNTA(Data!H2:H921)</f>
        <v>918</v>
      </c>
      <c r="H11" s="6" t="n">
        <f aca="false">COUNTBLANK(Data!H2:H921)</f>
        <v>2</v>
      </c>
      <c r="I11" s="7" t="n">
        <f aca="false">H11/920</f>
        <v>0.00217391304347826</v>
      </c>
      <c r="J11" s="8" t="n">
        <f aca="false">MIN(Data!H2:H921)</f>
        <v>0</v>
      </c>
      <c r="K11" s="8" t="n">
        <f aca="false">MAX(Data!H2:H921)</f>
        <v>2</v>
      </c>
      <c r="L11" s="9" t="s">
        <v>19</v>
      </c>
    </row>
    <row r="12" customFormat="false" ht="15" hidden="false" customHeight="false" outlineLevel="0" collapsed="false">
      <c r="A12" s="4" t="s">
        <v>45</v>
      </c>
      <c r="B12" s="5" t="s">
        <v>46</v>
      </c>
      <c r="C12" s="5" t="s">
        <v>47</v>
      </c>
      <c r="D12" s="5" t="s">
        <v>17</v>
      </c>
      <c r="E12" s="5" t="s">
        <v>48</v>
      </c>
      <c r="F12" s="5" t="s">
        <v>19</v>
      </c>
      <c r="G12" s="6" t="n">
        <f aca="false">COUNTA(Data!I2:I921)</f>
        <v>865</v>
      </c>
      <c r="H12" s="6" t="n">
        <f aca="false">COUNTBLANK(Data!I2:I921)</f>
        <v>55</v>
      </c>
      <c r="I12" s="7" t="n">
        <f aca="false">H12/920</f>
        <v>0.0597826086956522</v>
      </c>
      <c r="J12" s="8" t="n">
        <f aca="false">MIN(Data!I2:I921)</f>
        <v>60</v>
      </c>
      <c r="K12" s="8" t="n">
        <f aca="false">MAX(Data!I2:I921)</f>
        <v>202</v>
      </c>
      <c r="L12" s="9" t="n">
        <f aca="false">AVERAGE(Data!I2:I921)</f>
        <v>137.545664739884</v>
      </c>
    </row>
    <row r="13" customFormat="false" ht="15" hidden="false" customHeight="false" outlineLevel="0" collapsed="false">
      <c r="A13" s="4" t="s">
        <v>49</v>
      </c>
      <c r="B13" s="5" t="s">
        <v>50</v>
      </c>
      <c r="C13" s="5" t="s">
        <v>51</v>
      </c>
      <c r="D13" s="5" t="s">
        <v>22</v>
      </c>
      <c r="E13" s="5" t="s">
        <v>19</v>
      </c>
      <c r="F13" s="5" t="s">
        <v>40</v>
      </c>
      <c r="G13" s="6" t="n">
        <f aca="false">COUNTA(Data!J2:J921)</f>
        <v>865</v>
      </c>
      <c r="H13" s="6" t="n">
        <f aca="false">COUNTBLANK(Data!J2:J921)</f>
        <v>55</v>
      </c>
      <c r="I13" s="7" t="n">
        <f aca="false">H13/920</f>
        <v>0.0597826086956522</v>
      </c>
      <c r="J13" s="8" t="n">
        <f aca="false">MIN(Data!J2:J921)</f>
        <v>0</v>
      </c>
      <c r="K13" s="8" t="n">
        <f aca="false">MAX(Data!J2:J921)</f>
        <v>1</v>
      </c>
      <c r="L13" s="9" t="n">
        <f aca="false">AVERAGE(Data!J2:J921)</f>
        <v>0.389595375722543</v>
      </c>
    </row>
    <row r="14" customFormat="false" ht="15" hidden="false" customHeight="false" outlineLevel="0" collapsed="false">
      <c r="A14" s="4" t="s">
        <v>52</v>
      </c>
      <c r="B14" s="5" t="s">
        <v>53</v>
      </c>
      <c r="C14" s="5" t="s">
        <v>54</v>
      </c>
      <c r="D14" s="5" t="s">
        <v>17</v>
      </c>
      <c r="E14" s="5" t="s">
        <v>55</v>
      </c>
      <c r="F14" s="5" t="s">
        <v>19</v>
      </c>
      <c r="G14" s="6" t="n">
        <f aca="false">COUNTA(Data!K2:K921)</f>
        <v>858</v>
      </c>
      <c r="H14" s="6" t="n">
        <f aca="false">COUNTBLANK(Data!K2:K921)</f>
        <v>62</v>
      </c>
      <c r="I14" s="7" t="n">
        <f aca="false">H14/920</f>
        <v>0.0673913043478261</v>
      </c>
      <c r="J14" s="10" t="n">
        <f aca="false">MIN(Data!K2:K921)</f>
        <v>-2.6</v>
      </c>
      <c r="K14" s="10" t="n">
        <f aca="false">MAX(Data!K2:K921)</f>
        <v>6.2</v>
      </c>
      <c r="L14" s="9" t="n">
        <f aca="false">AVERAGE(Data!K2:K921)</f>
        <v>0.878787878787879</v>
      </c>
    </row>
    <row r="15" customFormat="false" ht="15" hidden="false" customHeight="false" outlineLevel="0" collapsed="false">
      <c r="A15" s="4" t="s">
        <v>56</v>
      </c>
      <c r="B15" s="5" t="s">
        <v>57</v>
      </c>
      <c r="C15" s="5" t="s">
        <v>58</v>
      </c>
      <c r="D15" s="5" t="s">
        <v>27</v>
      </c>
      <c r="E15" s="5" t="s">
        <v>19</v>
      </c>
      <c r="F15" s="5" t="s">
        <v>59</v>
      </c>
      <c r="G15" s="6" t="n">
        <f aca="false">COUNTA(Data!L2:L921)</f>
        <v>611</v>
      </c>
      <c r="H15" s="6" t="n">
        <f aca="false">COUNTBLANK(Data!L2:L921)</f>
        <v>309</v>
      </c>
      <c r="I15" s="7" t="n">
        <f aca="false">H15/920</f>
        <v>0.335869565217391</v>
      </c>
      <c r="J15" s="8" t="n">
        <f aca="false">MIN(Data!L2:L921)</f>
        <v>1</v>
      </c>
      <c r="K15" s="8" t="n">
        <f aca="false">MAX(Data!L2:L921)</f>
        <v>3</v>
      </c>
      <c r="L15" s="9" t="s">
        <v>19</v>
      </c>
    </row>
    <row r="16" customFormat="false" ht="15" hidden="false" customHeight="false" outlineLevel="0" collapsed="false">
      <c r="A16" s="4" t="s">
        <v>60</v>
      </c>
      <c r="B16" s="5" t="s">
        <v>61</v>
      </c>
      <c r="C16" s="5" t="s">
        <v>62</v>
      </c>
      <c r="D16" s="5" t="s">
        <v>63</v>
      </c>
      <c r="E16" s="5" t="s">
        <v>64</v>
      </c>
      <c r="F16" s="5" t="s">
        <v>65</v>
      </c>
      <c r="G16" s="6" t="n">
        <f aca="false">COUNTA(Data!M2:M921)</f>
        <v>310</v>
      </c>
      <c r="H16" s="6" t="n">
        <f aca="false">COUNTBLANK(Data!M2:M921)</f>
        <v>610</v>
      </c>
      <c r="I16" s="7" t="n">
        <f aca="false">H16/920</f>
        <v>0.66304347826087</v>
      </c>
      <c r="J16" s="8" t="n">
        <f aca="false">MIN(Data!M2:M921)</f>
        <v>0</v>
      </c>
      <c r="K16" s="8" t="n">
        <f aca="false">MAX(Data!M2:M921)</f>
        <v>9</v>
      </c>
      <c r="L16" s="9" t="n">
        <f aca="false">AVERAGE(Data!M2:M921)</f>
        <v>0.703225806451613</v>
      </c>
    </row>
    <row r="17" customFormat="false" ht="15" hidden="false" customHeight="false" outlineLevel="0" collapsed="false">
      <c r="A17" s="4" t="s">
        <v>66</v>
      </c>
      <c r="B17" s="5" t="s">
        <v>67</v>
      </c>
      <c r="C17" s="5" t="s">
        <v>68</v>
      </c>
      <c r="D17" s="5" t="s">
        <v>27</v>
      </c>
      <c r="E17" s="5" t="s">
        <v>19</v>
      </c>
      <c r="F17" s="5" t="s">
        <v>69</v>
      </c>
      <c r="G17" s="6" t="n">
        <f aca="false">COUNTA(Data!N2:N921)</f>
        <v>434</v>
      </c>
      <c r="H17" s="6" t="n">
        <f aca="false">COUNTBLANK(Data!N2:N921)</f>
        <v>486</v>
      </c>
      <c r="I17" s="7" t="n">
        <f aca="false">H17/920</f>
        <v>0.528260869565217</v>
      </c>
      <c r="J17" s="8" t="n">
        <f aca="false">MIN(Data!N2:N921)</f>
        <v>3</v>
      </c>
      <c r="K17" s="8" t="n">
        <f aca="false">MAX(Data!N2:N921)</f>
        <v>7</v>
      </c>
      <c r="L17" s="9" t="s">
        <v>19</v>
      </c>
    </row>
    <row r="18" customFormat="false" ht="35.05" hidden="false" customHeight="false" outlineLevel="0" collapsed="false">
      <c r="A18" s="4" t="s">
        <v>70</v>
      </c>
      <c r="B18" s="5" t="s">
        <v>71</v>
      </c>
      <c r="C18" s="5" t="s">
        <v>72</v>
      </c>
      <c r="D18" s="5" t="s">
        <v>63</v>
      </c>
      <c r="E18" s="5" t="s">
        <v>19</v>
      </c>
      <c r="F18" s="5" t="s">
        <v>73</v>
      </c>
      <c r="G18" s="6" t="n">
        <f aca="false">COUNTA(Data!O2:O921)</f>
        <v>920</v>
      </c>
      <c r="H18" s="6" t="n">
        <f aca="false">COUNTBLANK(Data!O2:O921)</f>
        <v>0</v>
      </c>
      <c r="I18" s="7" t="n">
        <f aca="false">H18/920</f>
        <v>0</v>
      </c>
      <c r="J18" s="8" t="n">
        <f aca="false">MIN(Data!O2:O921)</f>
        <v>0</v>
      </c>
      <c r="K18" s="8" t="n">
        <f aca="false">MAX(Data!O2:O921)</f>
        <v>4</v>
      </c>
      <c r="L18" s="9" t="n">
        <f aca="false">AVERAGE(Data!O2:O921)</f>
        <v>1.13369565217391</v>
      </c>
    </row>
    <row r="19" customFormat="false" ht="46.25" hidden="false" customHeight="false" outlineLevel="0" collapsed="false">
      <c r="A19" s="4" t="s">
        <v>74</v>
      </c>
      <c r="B19" s="5" t="s">
        <v>75</v>
      </c>
      <c r="C19" s="5" t="s">
        <v>76</v>
      </c>
      <c r="D19" s="5" t="s">
        <v>27</v>
      </c>
      <c r="E19" s="5" t="s">
        <v>19</v>
      </c>
      <c r="F19" s="5" t="s">
        <v>77</v>
      </c>
      <c r="G19" s="6" t="n">
        <f aca="false">COUNTA(Data!P2:P921)</f>
        <v>920</v>
      </c>
      <c r="H19" s="6" t="n">
        <f aca="false">COUNTBLANK(Data!P2:P921)</f>
        <v>0</v>
      </c>
      <c r="I19" s="7" t="n">
        <f aca="false">H19/920</f>
        <v>0</v>
      </c>
      <c r="J19" s="11" t="s">
        <v>19</v>
      </c>
      <c r="K19" s="11" t="s">
        <v>19</v>
      </c>
      <c r="L19" s="9" t="s">
        <v>19</v>
      </c>
    </row>
    <row r="21" customFormat="false" ht="15" hidden="false" customHeight="false" outlineLevel="0" collapsed="false">
      <c r="A21" s="12" t="s">
        <v>78</v>
      </c>
    </row>
    <row r="22" customFormat="false" ht="15" hidden="false" customHeight="false" outlineLevel="0" collapsed="false">
      <c r="A22" s="13"/>
      <c r="B22" s="2" t="s">
        <v>79</v>
      </c>
    </row>
    <row r="23" customFormat="false" ht="15" hidden="false" customHeight="false" outlineLevel="0" collapsed="false">
      <c r="A23" s="14" t="s">
        <v>2</v>
      </c>
      <c r="B23" s="14" t="s">
        <v>80</v>
      </c>
      <c r="C23" s="14" t="s">
        <v>81</v>
      </c>
    </row>
    <row r="24" customFormat="false" ht="27.75" hidden="false" customHeight="true" outlineLevel="0" collapsed="false">
      <c r="A24" s="15" t="s">
        <v>33</v>
      </c>
      <c r="B24" s="16" t="n">
        <v>172</v>
      </c>
      <c r="C24" s="17" t="s">
        <v>82</v>
      </c>
      <c r="D24" s="17"/>
      <c r="E24" s="17"/>
      <c r="F24" s="17"/>
    </row>
    <row r="25" customFormat="false" ht="27.75" hidden="false" customHeight="true" outlineLevel="0" collapsed="false">
      <c r="A25" s="15" t="s">
        <v>29</v>
      </c>
      <c r="B25" s="16" t="n">
        <v>1</v>
      </c>
      <c r="C25" s="17" t="s">
        <v>83</v>
      </c>
      <c r="D25" s="17"/>
      <c r="E25" s="17"/>
      <c r="F25" s="17"/>
    </row>
    <row r="26" customFormat="false" ht="27.75" hidden="false" customHeight="true" outlineLevel="0" collapsed="false">
      <c r="A26" s="15" t="s">
        <v>60</v>
      </c>
      <c r="B26" s="16" t="n">
        <v>1</v>
      </c>
      <c r="C26" s="17" t="s">
        <v>84</v>
      </c>
      <c r="D26" s="17"/>
      <c r="E26" s="17"/>
      <c r="F26" s="17"/>
    </row>
    <row r="27" customFormat="false" ht="27.75" hidden="false" customHeight="true" outlineLevel="0" collapsed="false">
      <c r="A27" s="15" t="s">
        <v>52</v>
      </c>
      <c r="B27" s="16" t="n">
        <v>12</v>
      </c>
      <c r="C27" s="17" t="s">
        <v>85</v>
      </c>
      <c r="D27" s="17"/>
      <c r="E27" s="17"/>
      <c r="F27" s="17"/>
    </row>
    <row r="28" customFormat="false" ht="15" hidden="false" customHeight="false" outlineLevel="0" collapsed="false">
      <c r="A28" s="15" t="s">
        <v>86</v>
      </c>
      <c r="B28" s="16" t="n">
        <v>4</v>
      </c>
      <c r="C28" s="18" t="s">
        <v>87</v>
      </c>
      <c r="D28" s="18"/>
      <c r="E28" s="18"/>
      <c r="F28" s="18"/>
    </row>
    <row r="30" customFormat="false" ht="15" hidden="false" customHeight="false" outlineLevel="0" collapsed="false">
      <c r="A30" s="2" t="s">
        <v>88</v>
      </c>
    </row>
  </sheetData>
  <mergeCells count="5">
    <mergeCell ref="C24:F24"/>
    <mergeCell ref="C25:F25"/>
    <mergeCell ref="C26:F26"/>
    <mergeCell ref="C27:F27"/>
    <mergeCell ref="C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5" min="2" style="0" width="14"/>
    <col collapsed="false" customWidth="true" hidden="false" outlineLevel="0" max="16" min="16" style="0" width="13"/>
  </cols>
  <sheetData>
    <row r="1" customFormat="false" ht="45" hidden="false" customHeight="true" outlineLevel="0" collapsed="false">
      <c r="A1" s="3" t="s">
        <v>86</v>
      </c>
      <c r="B1" s="3" t="s">
        <v>89</v>
      </c>
      <c r="C1" s="3" t="s">
        <v>90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  <c r="I1" s="3" t="s">
        <v>96</v>
      </c>
      <c r="J1" s="3" t="s">
        <v>97</v>
      </c>
      <c r="K1" s="3" t="s">
        <v>98</v>
      </c>
      <c r="L1" s="3" t="s">
        <v>99</v>
      </c>
      <c r="M1" s="3" t="s">
        <v>100</v>
      </c>
      <c r="N1" s="3" t="s">
        <v>101</v>
      </c>
      <c r="O1" s="3" t="s">
        <v>102</v>
      </c>
      <c r="P1" s="3" t="s">
        <v>103</v>
      </c>
    </row>
    <row r="2" customFormat="false" ht="15" hidden="false" customHeight="false" outlineLevel="0" collapsed="false">
      <c r="A2" s="19" t="n">
        <v>1</v>
      </c>
      <c r="B2" s="20" t="n">
        <v>63</v>
      </c>
      <c r="C2" s="20" t="n">
        <v>1</v>
      </c>
      <c r="D2" s="20" t="n">
        <v>1</v>
      </c>
      <c r="E2" s="20" t="n">
        <v>145</v>
      </c>
      <c r="F2" s="20" t="n">
        <v>233</v>
      </c>
      <c r="G2" s="20" t="n">
        <v>1</v>
      </c>
      <c r="H2" s="20" t="n">
        <v>2</v>
      </c>
      <c r="I2" s="20" t="n">
        <v>150</v>
      </c>
      <c r="J2" s="20" t="n">
        <v>0</v>
      </c>
      <c r="K2" s="21" t="n">
        <v>2.3</v>
      </c>
      <c r="L2" s="20" t="n">
        <v>3</v>
      </c>
      <c r="M2" s="20" t="n">
        <v>0</v>
      </c>
      <c r="N2" s="20" t="n">
        <v>6</v>
      </c>
      <c r="O2" s="20" t="n">
        <v>0</v>
      </c>
      <c r="P2" s="22" t="s">
        <v>104</v>
      </c>
    </row>
    <row r="3" customFormat="false" ht="15" hidden="false" customHeight="false" outlineLevel="0" collapsed="false">
      <c r="A3" s="19" t="n">
        <v>2</v>
      </c>
      <c r="B3" s="20" t="n">
        <v>67</v>
      </c>
      <c r="C3" s="20" t="n">
        <v>1</v>
      </c>
      <c r="D3" s="20" t="n">
        <v>4</v>
      </c>
      <c r="E3" s="20" t="n">
        <v>160</v>
      </c>
      <c r="F3" s="20" t="n">
        <v>286</v>
      </c>
      <c r="G3" s="20" t="n">
        <v>0</v>
      </c>
      <c r="H3" s="20" t="n">
        <v>2</v>
      </c>
      <c r="I3" s="20" t="n">
        <v>108</v>
      </c>
      <c r="J3" s="20" t="n">
        <v>1</v>
      </c>
      <c r="K3" s="21" t="n">
        <v>1.5</v>
      </c>
      <c r="L3" s="20" t="n">
        <v>2</v>
      </c>
      <c r="M3" s="20" t="n">
        <v>3</v>
      </c>
      <c r="N3" s="20" t="n">
        <v>3</v>
      </c>
      <c r="O3" s="20" t="n">
        <v>2</v>
      </c>
      <c r="P3" s="22" t="s">
        <v>104</v>
      </c>
    </row>
    <row r="4" customFormat="false" ht="15" hidden="false" customHeight="false" outlineLevel="0" collapsed="false">
      <c r="A4" s="19" t="n">
        <v>3</v>
      </c>
      <c r="B4" s="20" t="n">
        <v>67</v>
      </c>
      <c r="C4" s="20" t="n">
        <v>1</v>
      </c>
      <c r="D4" s="20" t="n">
        <v>4</v>
      </c>
      <c r="E4" s="20" t="n">
        <v>120</v>
      </c>
      <c r="F4" s="20" t="n">
        <v>229</v>
      </c>
      <c r="G4" s="20" t="n">
        <v>0</v>
      </c>
      <c r="H4" s="20" t="n">
        <v>2</v>
      </c>
      <c r="I4" s="20" t="n">
        <v>129</v>
      </c>
      <c r="J4" s="20" t="n">
        <v>1</v>
      </c>
      <c r="K4" s="21" t="n">
        <v>2.6</v>
      </c>
      <c r="L4" s="20" t="n">
        <v>2</v>
      </c>
      <c r="M4" s="20" t="n">
        <v>2</v>
      </c>
      <c r="N4" s="20" t="n">
        <v>7</v>
      </c>
      <c r="O4" s="20" t="n">
        <v>1</v>
      </c>
      <c r="P4" s="22" t="s">
        <v>104</v>
      </c>
    </row>
    <row r="5" customFormat="false" ht="15" hidden="false" customHeight="false" outlineLevel="0" collapsed="false">
      <c r="A5" s="19" t="n">
        <v>4</v>
      </c>
      <c r="B5" s="20" t="n">
        <v>37</v>
      </c>
      <c r="C5" s="20" t="n">
        <v>1</v>
      </c>
      <c r="D5" s="20" t="n">
        <v>3</v>
      </c>
      <c r="E5" s="20" t="n">
        <v>130</v>
      </c>
      <c r="F5" s="20" t="n">
        <v>250</v>
      </c>
      <c r="G5" s="20" t="n">
        <v>0</v>
      </c>
      <c r="H5" s="20" t="n">
        <v>0</v>
      </c>
      <c r="I5" s="20" t="n">
        <v>187</v>
      </c>
      <c r="J5" s="20" t="n">
        <v>0</v>
      </c>
      <c r="K5" s="21" t="n">
        <v>3.5</v>
      </c>
      <c r="L5" s="20" t="n">
        <v>3</v>
      </c>
      <c r="M5" s="20" t="n">
        <v>0</v>
      </c>
      <c r="N5" s="20" t="n">
        <v>3</v>
      </c>
      <c r="O5" s="20" t="n">
        <v>0</v>
      </c>
      <c r="P5" s="22" t="s">
        <v>104</v>
      </c>
    </row>
    <row r="6" customFormat="false" ht="15" hidden="false" customHeight="false" outlineLevel="0" collapsed="false">
      <c r="A6" s="19" t="n">
        <v>5</v>
      </c>
      <c r="B6" s="20" t="n">
        <v>41</v>
      </c>
      <c r="C6" s="20" t="n">
        <v>0</v>
      </c>
      <c r="D6" s="20" t="n">
        <v>2</v>
      </c>
      <c r="E6" s="20" t="n">
        <v>130</v>
      </c>
      <c r="F6" s="20" t="n">
        <v>204</v>
      </c>
      <c r="G6" s="20" t="n">
        <v>0</v>
      </c>
      <c r="H6" s="20" t="n">
        <v>2</v>
      </c>
      <c r="I6" s="20" t="n">
        <v>172</v>
      </c>
      <c r="J6" s="20" t="n">
        <v>0</v>
      </c>
      <c r="K6" s="21" t="n">
        <v>1.4</v>
      </c>
      <c r="L6" s="20" t="n">
        <v>1</v>
      </c>
      <c r="M6" s="20" t="n">
        <v>0</v>
      </c>
      <c r="N6" s="20" t="n">
        <v>3</v>
      </c>
      <c r="O6" s="20" t="n">
        <v>0</v>
      </c>
      <c r="P6" s="22" t="s">
        <v>104</v>
      </c>
    </row>
    <row r="7" customFormat="false" ht="15" hidden="false" customHeight="false" outlineLevel="0" collapsed="false">
      <c r="A7" s="19" t="n">
        <v>6</v>
      </c>
      <c r="B7" s="20" t="n">
        <v>56</v>
      </c>
      <c r="C7" s="20" t="n">
        <v>1</v>
      </c>
      <c r="D7" s="20" t="n">
        <v>2</v>
      </c>
      <c r="E7" s="20" t="n">
        <v>120</v>
      </c>
      <c r="F7" s="20" t="n">
        <v>236</v>
      </c>
      <c r="G7" s="20" t="n">
        <v>0</v>
      </c>
      <c r="H7" s="20" t="n">
        <v>0</v>
      </c>
      <c r="I7" s="20" t="n">
        <v>178</v>
      </c>
      <c r="J7" s="20" t="n">
        <v>0</v>
      </c>
      <c r="K7" s="21" t="n">
        <v>0.8</v>
      </c>
      <c r="L7" s="20" t="n">
        <v>1</v>
      </c>
      <c r="M7" s="20" t="n">
        <v>0</v>
      </c>
      <c r="N7" s="20" t="n">
        <v>3</v>
      </c>
      <c r="O7" s="20" t="n">
        <v>0</v>
      </c>
      <c r="P7" s="22" t="s">
        <v>104</v>
      </c>
    </row>
    <row r="8" customFormat="false" ht="15" hidden="false" customHeight="false" outlineLevel="0" collapsed="false">
      <c r="A8" s="19" t="n">
        <v>7</v>
      </c>
      <c r="B8" s="20" t="n">
        <v>62</v>
      </c>
      <c r="C8" s="20" t="n">
        <v>0</v>
      </c>
      <c r="D8" s="20" t="n">
        <v>4</v>
      </c>
      <c r="E8" s="20" t="n">
        <v>140</v>
      </c>
      <c r="F8" s="20" t="n">
        <v>268</v>
      </c>
      <c r="G8" s="20" t="n">
        <v>0</v>
      </c>
      <c r="H8" s="20" t="n">
        <v>2</v>
      </c>
      <c r="I8" s="20" t="n">
        <v>160</v>
      </c>
      <c r="J8" s="20" t="n">
        <v>0</v>
      </c>
      <c r="K8" s="21" t="n">
        <v>3.6</v>
      </c>
      <c r="L8" s="20" t="n">
        <v>3</v>
      </c>
      <c r="M8" s="20" t="n">
        <v>2</v>
      </c>
      <c r="N8" s="20" t="n">
        <v>3</v>
      </c>
      <c r="O8" s="20" t="n">
        <v>3</v>
      </c>
      <c r="P8" s="22" t="s">
        <v>104</v>
      </c>
    </row>
    <row r="9" customFormat="false" ht="15" hidden="false" customHeight="false" outlineLevel="0" collapsed="false">
      <c r="A9" s="19" t="n">
        <v>8</v>
      </c>
      <c r="B9" s="20" t="n">
        <v>57</v>
      </c>
      <c r="C9" s="20" t="n">
        <v>0</v>
      </c>
      <c r="D9" s="20" t="n">
        <v>4</v>
      </c>
      <c r="E9" s="20" t="n">
        <v>120</v>
      </c>
      <c r="F9" s="20" t="n">
        <v>354</v>
      </c>
      <c r="G9" s="20" t="n">
        <v>0</v>
      </c>
      <c r="H9" s="20" t="n">
        <v>0</v>
      </c>
      <c r="I9" s="20" t="n">
        <v>163</v>
      </c>
      <c r="J9" s="20" t="n">
        <v>1</v>
      </c>
      <c r="K9" s="21" t="n">
        <v>0.6</v>
      </c>
      <c r="L9" s="20" t="n">
        <v>1</v>
      </c>
      <c r="M9" s="20" t="n">
        <v>0</v>
      </c>
      <c r="N9" s="20" t="n">
        <v>3</v>
      </c>
      <c r="O9" s="20" t="n">
        <v>0</v>
      </c>
      <c r="P9" s="22" t="s">
        <v>104</v>
      </c>
    </row>
    <row r="10" customFormat="false" ht="15" hidden="false" customHeight="false" outlineLevel="0" collapsed="false">
      <c r="A10" s="19" t="n">
        <v>9</v>
      </c>
      <c r="B10" s="20" t="n">
        <v>63</v>
      </c>
      <c r="C10" s="20" t="n">
        <v>1</v>
      </c>
      <c r="D10" s="20" t="n">
        <v>4</v>
      </c>
      <c r="E10" s="20" t="n">
        <v>130</v>
      </c>
      <c r="F10" s="20" t="n">
        <v>254</v>
      </c>
      <c r="G10" s="20" t="n">
        <v>0</v>
      </c>
      <c r="H10" s="20" t="n">
        <v>2</v>
      </c>
      <c r="I10" s="20" t="n">
        <v>147</v>
      </c>
      <c r="J10" s="20" t="n">
        <v>0</v>
      </c>
      <c r="K10" s="21" t="n">
        <v>1.4</v>
      </c>
      <c r="L10" s="20" t="n">
        <v>2</v>
      </c>
      <c r="M10" s="20" t="n">
        <v>1</v>
      </c>
      <c r="N10" s="20" t="n">
        <v>7</v>
      </c>
      <c r="O10" s="20" t="n">
        <v>2</v>
      </c>
      <c r="P10" s="22" t="s">
        <v>104</v>
      </c>
    </row>
    <row r="11" customFormat="false" ht="15" hidden="false" customHeight="false" outlineLevel="0" collapsed="false">
      <c r="A11" s="19" t="n">
        <v>10</v>
      </c>
      <c r="B11" s="20" t="n">
        <v>53</v>
      </c>
      <c r="C11" s="20" t="n">
        <v>1</v>
      </c>
      <c r="D11" s="20" t="n">
        <v>4</v>
      </c>
      <c r="E11" s="20" t="n">
        <v>140</v>
      </c>
      <c r="F11" s="20" t="n">
        <v>203</v>
      </c>
      <c r="G11" s="20" t="n">
        <v>1</v>
      </c>
      <c r="H11" s="20" t="n">
        <v>2</v>
      </c>
      <c r="I11" s="20" t="n">
        <v>155</v>
      </c>
      <c r="J11" s="20" t="n">
        <v>1</v>
      </c>
      <c r="K11" s="21" t="n">
        <v>3.1</v>
      </c>
      <c r="L11" s="20" t="n">
        <v>3</v>
      </c>
      <c r="M11" s="20" t="n">
        <v>0</v>
      </c>
      <c r="N11" s="20" t="n">
        <v>7</v>
      </c>
      <c r="O11" s="20" t="n">
        <v>1</v>
      </c>
      <c r="P11" s="22" t="s">
        <v>104</v>
      </c>
    </row>
    <row r="12" customFormat="false" ht="15" hidden="false" customHeight="false" outlineLevel="0" collapsed="false">
      <c r="A12" s="19" t="n">
        <v>11</v>
      </c>
      <c r="B12" s="20" t="n">
        <v>57</v>
      </c>
      <c r="C12" s="20" t="n">
        <v>1</v>
      </c>
      <c r="D12" s="20" t="n">
        <v>4</v>
      </c>
      <c r="E12" s="20" t="n">
        <v>140</v>
      </c>
      <c r="F12" s="20" t="n">
        <v>192</v>
      </c>
      <c r="G12" s="20" t="n">
        <v>0</v>
      </c>
      <c r="H12" s="20" t="n">
        <v>0</v>
      </c>
      <c r="I12" s="20" t="n">
        <v>148</v>
      </c>
      <c r="J12" s="20" t="n">
        <v>0</v>
      </c>
      <c r="K12" s="21" t="n">
        <v>0.4</v>
      </c>
      <c r="L12" s="20" t="n">
        <v>2</v>
      </c>
      <c r="M12" s="20" t="n">
        <v>0</v>
      </c>
      <c r="N12" s="20" t="n">
        <v>6</v>
      </c>
      <c r="O12" s="20" t="n">
        <v>0</v>
      </c>
      <c r="P12" s="22" t="s">
        <v>104</v>
      </c>
    </row>
    <row r="13" customFormat="false" ht="15" hidden="false" customHeight="false" outlineLevel="0" collapsed="false">
      <c r="A13" s="19" t="n">
        <v>12</v>
      </c>
      <c r="B13" s="20" t="n">
        <v>56</v>
      </c>
      <c r="C13" s="20" t="n">
        <v>0</v>
      </c>
      <c r="D13" s="20" t="n">
        <v>2</v>
      </c>
      <c r="E13" s="20" t="n">
        <v>140</v>
      </c>
      <c r="F13" s="20" t="n">
        <v>294</v>
      </c>
      <c r="G13" s="20" t="n">
        <v>0</v>
      </c>
      <c r="H13" s="20" t="n">
        <v>2</v>
      </c>
      <c r="I13" s="20" t="n">
        <v>153</v>
      </c>
      <c r="J13" s="20" t="n">
        <v>0</v>
      </c>
      <c r="K13" s="21" t="n">
        <v>1.3</v>
      </c>
      <c r="L13" s="20" t="n">
        <v>2</v>
      </c>
      <c r="M13" s="20" t="n">
        <v>0</v>
      </c>
      <c r="N13" s="20" t="n">
        <v>3</v>
      </c>
      <c r="O13" s="20" t="n">
        <v>0</v>
      </c>
      <c r="P13" s="22" t="s">
        <v>104</v>
      </c>
    </row>
    <row r="14" customFormat="false" ht="15" hidden="false" customHeight="false" outlineLevel="0" collapsed="false">
      <c r="A14" s="19" t="n">
        <v>13</v>
      </c>
      <c r="B14" s="20" t="n">
        <v>56</v>
      </c>
      <c r="C14" s="20" t="n">
        <v>1</v>
      </c>
      <c r="D14" s="20" t="n">
        <v>3</v>
      </c>
      <c r="E14" s="20" t="n">
        <v>130</v>
      </c>
      <c r="F14" s="20" t="n">
        <v>256</v>
      </c>
      <c r="G14" s="20" t="n">
        <v>1</v>
      </c>
      <c r="H14" s="20" t="n">
        <v>2</v>
      </c>
      <c r="I14" s="20" t="n">
        <v>142</v>
      </c>
      <c r="J14" s="20" t="n">
        <v>1</v>
      </c>
      <c r="K14" s="21" t="n">
        <v>0.6</v>
      </c>
      <c r="L14" s="20" t="n">
        <v>2</v>
      </c>
      <c r="M14" s="20" t="n">
        <v>1</v>
      </c>
      <c r="N14" s="20" t="n">
        <v>6</v>
      </c>
      <c r="O14" s="20" t="n">
        <v>2</v>
      </c>
      <c r="P14" s="22" t="s">
        <v>104</v>
      </c>
    </row>
    <row r="15" customFormat="false" ht="15" hidden="false" customHeight="false" outlineLevel="0" collapsed="false">
      <c r="A15" s="19" t="n">
        <v>14</v>
      </c>
      <c r="B15" s="20" t="n">
        <v>44</v>
      </c>
      <c r="C15" s="20" t="n">
        <v>1</v>
      </c>
      <c r="D15" s="20" t="n">
        <v>2</v>
      </c>
      <c r="E15" s="20" t="n">
        <v>120</v>
      </c>
      <c r="F15" s="20" t="n">
        <v>263</v>
      </c>
      <c r="G15" s="20" t="n">
        <v>0</v>
      </c>
      <c r="H15" s="20" t="n">
        <v>0</v>
      </c>
      <c r="I15" s="20" t="n">
        <v>173</v>
      </c>
      <c r="J15" s="20" t="n">
        <v>0</v>
      </c>
      <c r="K15" s="21" t="n">
        <v>0</v>
      </c>
      <c r="L15" s="20" t="n">
        <v>1</v>
      </c>
      <c r="M15" s="20" t="n">
        <v>0</v>
      </c>
      <c r="N15" s="20" t="n">
        <v>7</v>
      </c>
      <c r="O15" s="20" t="n">
        <v>0</v>
      </c>
      <c r="P15" s="22" t="s">
        <v>104</v>
      </c>
    </row>
    <row r="16" customFormat="false" ht="15" hidden="false" customHeight="false" outlineLevel="0" collapsed="false">
      <c r="A16" s="19" t="n">
        <v>15</v>
      </c>
      <c r="B16" s="20" t="n">
        <v>52</v>
      </c>
      <c r="C16" s="20" t="n">
        <v>1</v>
      </c>
      <c r="D16" s="20" t="n">
        <v>3</v>
      </c>
      <c r="E16" s="20" t="n">
        <v>172</v>
      </c>
      <c r="F16" s="20" t="n">
        <v>199</v>
      </c>
      <c r="G16" s="20" t="n">
        <v>1</v>
      </c>
      <c r="H16" s="20" t="n">
        <v>0</v>
      </c>
      <c r="I16" s="20" t="n">
        <v>162</v>
      </c>
      <c r="J16" s="20" t="n">
        <v>0</v>
      </c>
      <c r="K16" s="21" t="n">
        <v>0.5</v>
      </c>
      <c r="L16" s="20" t="n">
        <v>1</v>
      </c>
      <c r="M16" s="20" t="n">
        <v>0</v>
      </c>
      <c r="N16" s="20" t="n">
        <v>7</v>
      </c>
      <c r="O16" s="20" t="n">
        <v>0</v>
      </c>
      <c r="P16" s="22" t="s">
        <v>104</v>
      </c>
    </row>
    <row r="17" customFormat="false" ht="15" hidden="false" customHeight="false" outlineLevel="0" collapsed="false">
      <c r="A17" s="19" t="n">
        <v>16</v>
      </c>
      <c r="B17" s="20" t="n">
        <v>57</v>
      </c>
      <c r="C17" s="20" t="n">
        <v>1</v>
      </c>
      <c r="D17" s="20" t="n">
        <v>3</v>
      </c>
      <c r="E17" s="20" t="n">
        <v>150</v>
      </c>
      <c r="F17" s="20" t="n">
        <v>168</v>
      </c>
      <c r="G17" s="20" t="n">
        <v>0</v>
      </c>
      <c r="H17" s="20" t="n">
        <v>0</v>
      </c>
      <c r="I17" s="20" t="n">
        <v>174</v>
      </c>
      <c r="J17" s="20" t="n">
        <v>0</v>
      </c>
      <c r="K17" s="21" t="n">
        <v>1.6</v>
      </c>
      <c r="L17" s="20" t="n">
        <v>1</v>
      </c>
      <c r="M17" s="20" t="n">
        <v>0</v>
      </c>
      <c r="N17" s="20" t="n">
        <v>3</v>
      </c>
      <c r="O17" s="20" t="n">
        <v>0</v>
      </c>
      <c r="P17" s="22" t="s">
        <v>104</v>
      </c>
    </row>
    <row r="18" customFormat="false" ht="15" hidden="false" customHeight="false" outlineLevel="0" collapsed="false">
      <c r="A18" s="19" t="n">
        <v>17</v>
      </c>
      <c r="B18" s="20" t="n">
        <v>48</v>
      </c>
      <c r="C18" s="20" t="n">
        <v>1</v>
      </c>
      <c r="D18" s="20" t="n">
        <v>2</v>
      </c>
      <c r="E18" s="20" t="n">
        <v>110</v>
      </c>
      <c r="F18" s="20" t="n">
        <v>229</v>
      </c>
      <c r="G18" s="20" t="n">
        <v>0</v>
      </c>
      <c r="H18" s="20" t="n">
        <v>0</v>
      </c>
      <c r="I18" s="20" t="n">
        <v>168</v>
      </c>
      <c r="J18" s="20" t="n">
        <v>0</v>
      </c>
      <c r="K18" s="21" t="n">
        <v>1</v>
      </c>
      <c r="L18" s="20" t="n">
        <v>3</v>
      </c>
      <c r="M18" s="20" t="n">
        <v>0</v>
      </c>
      <c r="N18" s="20" t="n">
        <v>7</v>
      </c>
      <c r="O18" s="20" t="n">
        <v>1</v>
      </c>
      <c r="P18" s="22" t="s">
        <v>104</v>
      </c>
    </row>
    <row r="19" customFormat="false" ht="15" hidden="false" customHeight="false" outlineLevel="0" collapsed="false">
      <c r="A19" s="19" t="n">
        <v>18</v>
      </c>
      <c r="B19" s="20" t="n">
        <v>54</v>
      </c>
      <c r="C19" s="20" t="n">
        <v>1</v>
      </c>
      <c r="D19" s="20" t="n">
        <v>4</v>
      </c>
      <c r="E19" s="20" t="n">
        <v>140</v>
      </c>
      <c r="F19" s="20" t="n">
        <v>239</v>
      </c>
      <c r="G19" s="20" t="n">
        <v>0</v>
      </c>
      <c r="H19" s="20" t="n">
        <v>0</v>
      </c>
      <c r="I19" s="20" t="n">
        <v>160</v>
      </c>
      <c r="J19" s="20" t="n">
        <v>0</v>
      </c>
      <c r="K19" s="21" t="n">
        <v>1.2</v>
      </c>
      <c r="L19" s="20" t="n">
        <v>1</v>
      </c>
      <c r="M19" s="20" t="n">
        <v>0</v>
      </c>
      <c r="N19" s="20" t="n">
        <v>3</v>
      </c>
      <c r="O19" s="20" t="n">
        <v>0</v>
      </c>
      <c r="P19" s="22" t="s">
        <v>104</v>
      </c>
    </row>
    <row r="20" customFormat="false" ht="15" hidden="false" customHeight="false" outlineLevel="0" collapsed="false">
      <c r="A20" s="19" t="n">
        <v>19</v>
      </c>
      <c r="B20" s="20" t="n">
        <v>48</v>
      </c>
      <c r="C20" s="20" t="n">
        <v>0</v>
      </c>
      <c r="D20" s="20" t="n">
        <v>3</v>
      </c>
      <c r="E20" s="20" t="n">
        <v>130</v>
      </c>
      <c r="F20" s="20" t="n">
        <v>275</v>
      </c>
      <c r="G20" s="20" t="n">
        <v>0</v>
      </c>
      <c r="H20" s="20" t="n">
        <v>0</v>
      </c>
      <c r="I20" s="20" t="n">
        <v>139</v>
      </c>
      <c r="J20" s="20" t="n">
        <v>0</v>
      </c>
      <c r="K20" s="21" t="n">
        <v>0.2</v>
      </c>
      <c r="L20" s="20" t="n">
        <v>1</v>
      </c>
      <c r="M20" s="20" t="n">
        <v>0</v>
      </c>
      <c r="N20" s="20" t="n">
        <v>3</v>
      </c>
      <c r="O20" s="20" t="n">
        <v>0</v>
      </c>
      <c r="P20" s="22" t="s">
        <v>104</v>
      </c>
    </row>
    <row r="21" customFormat="false" ht="15" hidden="false" customHeight="false" outlineLevel="0" collapsed="false">
      <c r="A21" s="19" t="n">
        <v>20</v>
      </c>
      <c r="B21" s="20" t="n">
        <v>49</v>
      </c>
      <c r="C21" s="20" t="n">
        <v>1</v>
      </c>
      <c r="D21" s="20" t="n">
        <v>2</v>
      </c>
      <c r="E21" s="20" t="n">
        <v>130</v>
      </c>
      <c r="F21" s="20" t="n">
        <v>266</v>
      </c>
      <c r="G21" s="20" t="n">
        <v>0</v>
      </c>
      <c r="H21" s="20" t="n">
        <v>0</v>
      </c>
      <c r="I21" s="20" t="n">
        <v>171</v>
      </c>
      <c r="J21" s="20" t="n">
        <v>0</v>
      </c>
      <c r="K21" s="21" t="n">
        <v>0.6</v>
      </c>
      <c r="L21" s="20" t="n">
        <v>1</v>
      </c>
      <c r="M21" s="20" t="n">
        <v>0</v>
      </c>
      <c r="N21" s="20" t="n">
        <v>3</v>
      </c>
      <c r="O21" s="20" t="n">
        <v>0</v>
      </c>
      <c r="P21" s="22" t="s">
        <v>104</v>
      </c>
    </row>
    <row r="22" customFormat="false" ht="15" hidden="false" customHeight="false" outlineLevel="0" collapsed="false">
      <c r="A22" s="19" t="n">
        <v>21</v>
      </c>
      <c r="B22" s="20" t="n">
        <v>64</v>
      </c>
      <c r="C22" s="20" t="n">
        <v>1</v>
      </c>
      <c r="D22" s="20" t="n">
        <v>1</v>
      </c>
      <c r="E22" s="20" t="n">
        <v>110</v>
      </c>
      <c r="F22" s="20" t="n">
        <v>211</v>
      </c>
      <c r="G22" s="20" t="n">
        <v>0</v>
      </c>
      <c r="H22" s="20" t="n">
        <v>2</v>
      </c>
      <c r="I22" s="20" t="n">
        <v>144</v>
      </c>
      <c r="J22" s="20" t="n">
        <v>1</v>
      </c>
      <c r="K22" s="21" t="n">
        <v>1.8</v>
      </c>
      <c r="L22" s="20" t="n">
        <v>2</v>
      </c>
      <c r="M22" s="20" t="n">
        <v>0</v>
      </c>
      <c r="N22" s="20" t="n">
        <v>3</v>
      </c>
      <c r="O22" s="20" t="n">
        <v>0</v>
      </c>
      <c r="P22" s="22" t="s">
        <v>104</v>
      </c>
    </row>
    <row r="23" customFormat="false" ht="15" hidden="false" customHeight="false" outlineLevel="0" collapsed="false">
      <c r="A23" s="19" t="n">
        <v>22</v>
      </c>
      <c r="B23" s="20" t="n">
        <v>58</v>
      </c>
      <c r="C23" s="20" t="n">
        <v>0</v>
      </c>
      <c r="D23" s="20" t="n">
        <v>1</v>
      </c>
      <c r="E23" s="20" t="n">
        <v>150</v>
      </c>
      <c r="F23" s="20" t="n">
        <v>283</v>
      </c>
      <c r="G23" s="20" t="n">
        <v>1</v>
      </c>
      <c r="H23" s="20" t="n">
        <v>2</v>
      </c>
      <c r="I23" s="20" t="n">
        <v>162</v>
      </c>
      <c r="J23" s="20" t="n">
        <v>0</v>
      </c>
      <c r="K23" s="21" t="n">
        <v>1</v>
      </c>
      <c r="L23" s="20" t="n">
        <v>1</v>
      </c>
      <c r="M23" s="20" t="n">
        <v>0</v>
      </c>
      <c r="N23" s="20" t="n">
        <v>3</v>
      </c>
      <c r="O23" s="20" t="n">
        <v>0</v>
      </c>
      <c r="P23" s="22" t="s">
        <v>104</v>
      </c>
    </row>
    <row r="24" customFormat="false" ht="15" hidden="false" customHeight="false" outlineLevel="0" collapsed="false">
      <c r="A24" s="19" t="n">
        <v>23</v>
      </c>
      <c r="B24" s="20" t="n">
        <v>58</v>
      </c>
      <c r="C24" s="20" t="n">
        <v>1</v>
      </c>
      <c r="D24" s="20" t="n">
        <v>2</v>
      </c>
      <c r="E24" s="20" t="n">
        <v>120</v>
      </c>
      <c r="F24" s="20" t="n">
        <v>284</v>
      </c>
      <c r="G24" s="20" t="n">
        <v>0</v>
      </c>
      <c r="H24" s="20" t="n">
        <v>2</v>
      </c>
      <c r="I24" s="20" t="n">
        <v>160</v>
      </c>
      <c r="J24" s="20" t="n">
        <v>0</v>
      </c>
      <c r="K24" s="21" t="n">
        <v>1.8</v>
      </c>
      <c r="L24" s="20" t="n">
        <v>2</v>
      </c>
      <c r="M24" s="20" t="n">
        <v>0</v>
      </c>
      <c r="N24" s="20" t="n">
        <v>3</v>
      </c>
      <c r="O24" s="20" t="n">
        <v>1</v>
      </c>
      <c r="P24" s="22" t="s">
        <v>104</v>
      </c>
    </row>
    <row r="25" customFormat="false" ht="15" hidden="false" customHeight="false" outlineLevel="0" collapsed="false">
      <c r="A25" s="19" t="n">
        <v>24</v>
      </c>
      <c r="B25" s="20" t="n">
        <v>58</v>
      </c>
      <c r="C25" s="20" t="n">
        <v>1</v>
      </c>
      <c r="D25" s="20" t="n">
        <v>3</v>
      </c>
      <c r="E25" s="20" t="n">
        <v>132</v>
      </c>
      <c r="F25" s="20" t="n">
        <v>224</v>
      </c>
      <c r="G25" s="20" t="n">
        <v>0</v>
      </c>
      <c r="H25" s="20" t="n">
        <v>2</v>
      </c>
      <c r="I25" s="20" t="n">
        <v>173</v>
      </c>
      <c r="J25" s="20" t="n">
        <v>0</v>
      </c>
      <c r="K25" s="21" t="n">
        <v>3.2</v>
      </c>
      <c r="L25" s="20" t="n">
        <v>1</v>
      </c>
      <c r="M25" s="20" t="n">
        <v>2</v>
      </c>
      <c r="N25" s="20" t="n">
        <v>7</v>
      </c>
      <c r="O25" s="20" t="n">
        <v>3</v>
      </c>
      <c r="P25" s="22" t="s">
        <v>104</v>
      </c>
    </row>
    <row r="26" customFormat="false" ht="15" hidden="false" customHeight="false" outlineLevel="0" collapsed="false">
      <c r="A26" s="19" t="n">
        <v>25</v>
      </c>
      <c r="B26" s="20" t="n">
        <v>60</v>
      </c>
      <c r="C26" s="20" t="n">
        <v>1</v>
      </c>
      <c r="D26" s="20" t="n">
        <v>4</v>
      </c>
      <c r="E26" s="20" t="n">
        <v>130</v>
      </c>
      <c r="F26" s="20" t="n">
        <v>206</v>
      </c>
      <c r="G26" s="20" t="n">
        <v>0</v>
      </c>
      <c r="H26" s="20" t="n">
        <v>2</v>
      </c>
      <c r="I26" s="20" t="n">
        <v>132</v>
      </c>
      <c r="J26" s="20" t="n">
        <v>1</v>
      </c>
      <c r="K26" s="21" t="n">
        <v>2.4</v>
      </c>
      <c r="L26" s="20" t="n">
        <v>2</v>
      </c>
      <c r="M26" s="20" t="n">
        <v>2</v>
      </c>
      <c r="N26" s="20" t="n">
        <v>7</v>
      </c>
      <c r="O26" s="20" t="n">
        <v>4</v>
      </c>
      <c r="P26" s="22" t="s">
        <v>104</v>
      </c>
    </row>
    <row r="27" customFormat="false" ht="15" hidden="false" customHeight="false" outlineLevel="0" collapsed="false">
      <c r="A27" s="19" t="n">
        <v>26</v>
      </c>
      <c r="B27" s="20" t="n">
        <v>50</v>
      </c>
      <c r="C27" s="20" t="n">
        <v>0</v>
      </c>
      <c r="D27" s="20" t="n">
        <v>3</v>
      </c>
      <c r="E27" s="20" t="n">
        <v>120</v>
      </c>
      <c r="F27" s="20" t="n">
        <v>219</v>
      </c>
      <c r="G27" s="20" t="n">
        <v>0</v>
      </c>
      <c r="H27" s="20" t="n">
        <v>0</v>
      </c>
      <c r="I27" s="20" t="n">
        <v>158</v>
      </c>
      <c r="J27" s="20" t="n">
        <v>0</v>
      </c>
      <c r="K27" s="21" t="n">
        <v>1.6</v>
      </c>
      <c r="L27" s="20" t="n">
        <v>2</v>
      </c>
      <c r="M27" s="20" t="n">
        <v>0</v>
      </c>
      <c r="N27" s="20" t="n">
        <v>3</v>
      </c>
      <c r="O27" s="20" t="n">
        <v>0</v>
      </c>
      <c r="P27" s="22" t="s">
        <v>104</v>
      </c>
    </row>
    <row r="28" customFormat="false" ht="15" hidden="false" customHeight="false" outlineLevel="0" collapsed="false">
      <c r="A28" s="19" t="n">
        <v>27</v>
      </c>
      <c r="B28" s="20" t="n">
        <v>58</v>
      </c>
      <c r="C28" s="20" t="n">
        <v>0</v>
      </c>
      <c r="D28" s="20" t="n">
        <v>3</v>
      </c>
      <c r="E28" s="20" t="n">
        <v>120</v>
      </c>
      <c r="F28" s="20" t="n">
        <v>340</v>
      </c>
      <c r="G28" s="20" t="n">
        <v>0</v>
      </c>
      <c r="H28" s="20" t="n">
        <v>0</v>
      </c>
      <c r="I28" s="20" t="n">
        <v>172</v>
      </c>
      <c r="J28" s="20" t="n">
        <v>0</v>
      </c>
      <c r="K28" s="21" t="n">
        <v>0</v>
      </c>
      <c r="L28" s="20" t="n">
        <v>1</v>
      </c>
      <c r="M28" s="20" t="n">
        <v>0</v>
      </c>
      <c r="N28" s="20" t="n">
        <v>3</v>
      </c>
      <c r="O28" s="20" t="n">
        <v>0</v>
      </c>
      <c r="P28" s="22" t="s">
        <v>104</v>
      </c>
    </row>
    <row r="29" customFormat="false" ht="15" hidden="false" customHeight="false" outlineLevel="0" collapsed="false">
      <c r="A29" s="19" t="n">
        <v>28</v>
      </c>
      <c r="B29" s="20" t="n">
        <v>66</v>
      </c>
      <c r="C29" s="20" t="n">
        <v>0</v>
      </c>
      <c r="D29" s="20" t="n">
        <v>1</v>
      </c>
      <c r="E29" s="20" t="n">
        <v>150</v>
      </c>
      <c r="F29" s="20" t="n">
        <v>226</v>
      </c>
      <c r="G29" s="20" t="n">
        <v>0</v>
      </c>
      <c r="H29" s="20" t="n">
        <v>0</v>
      </c>
      <c r="I29" s="20" t="n">
        <v>114</v>
      </c>
      <c r="J29" s="20" t="n">
        <v>0</v>
      </c>
      <c r="K29" s="21" t="n">
        <v>2.6</v>
      </c>
      <c r="L29" s="20" t="n">
        <v>3</v>
      </c>
      <c r="M29" s="20" t="n">
        <v>0</v>
      </c>
      <c r="N29" s="20" t="n">
        <v>3</v>
      </c>
      <c r="O29" s="20" t="n">
        <v>0</v>
      </c>
      <c r="P29" s="22" t="s">
        <v>104</v>
      </c>
    </row>
    <row r="30" customFormat="false" ht="15" hidden="false" customHeight="false" outlineLevel="0" collapsed="false">
      <c r="A30" s="19" t="n">
        <v>29</v>
      </c>
      <c r="B30" s="20" t="n">
        <v>43</v>
      </c>
      <c r="C30" s="20" t="n">
        <v>1</v>
      </c>
      <c r="D30" s="20" t="n">
        <v>4</v>
      </c>
      <c r="E30" s="20" t="n">
        <v>150</v>
      </c>
      <c r="F30" s="20" t="n">
        <v>247</v>
      </c>
      <c r="G30" s="20" t="n">
        <v>0</v>
      </c>
      <c r="H30" s="20" t="n">
        <v>0</v>
      </c>
      <c r="I30" s="20" t="n">
        <v>171</v>
      </c>
      <c r="J30" s="20" t="n">
        <v>0</v>
      </c>
      <c r="K30" s="21" t="n">
        <v>1.5</v>
      </c>
      <c r="L30" s="20" t="n">
        <v>1</v>
      </c>
      <c r="M30" s="20" t="n">
        <v>0</v>
      </c>
      <c r="N30" s="20" t="n">
        <v>3</v>
      </c>
      <c r="O30" s="20" t="n">
        <v>0</v>
      </c>
      <c r="P30" s="22" t="s">
        <v>104</v>
      </c>
    </row>
    <row r="31" customFormat="false" ht="15" hidden="false" customHeight="false" outlineLevel="0" collapsed="false">
      <c r="A31" s="19" t="n">
        <v>30</v>
      </c>
      <c r="B31" s="20" t="n">
        <v>40</v>
      </c>
      <c r="C31" s="20" t="n">
        <v>1</v>
      </c>
      <c r="D31" s="20" t="n">
        <v>4</v>
      </c>
      <c r="E31" s="20" t="n">
        <v>110</v>
      </c>
      <c r="F31" s="20" t="n">
        <v>167</v>
      </c>
      <c r="G31" s="20" t="n">
        <v>0</v>
      </c>
      <c r="H31" s="20" t="n">
        <v>2</v>
      </c>
      <c r="I31" s="20" t="n">
        <v>114</v>
      </c>
      <c r="J31" s="20" t="n">
        <v>1</v>
      </c>
      <c r="K31" s="21" t="n">
        <v>2</v>
      </c>
      <c r="L31" s="20" t="n">
        <v>2</v>
      </c>
      <c r="M31" s="20" t="n">
        <v>0</v>
      </c>
      <c r="N31" s="20" t="n">
        <v>7</v>
      </c>
      <c r="O31" s="20" t="n">
        <v>3</v>
      </c>
      <c r="P31" s="22" t="s">
        <v>104</v>
      </c>
    </row>
    <row r="32" customFormat="false" ht="15" hidden="false" customHeight="false" outlineLevel="0" collapsed="false">
      <c r="A32" s="19" t="n">
        <v>31</v>
      </c>
      <c r="B32" s="20" t="n">
        <v>69</v>
      </c>
      <c r="C32" s="20" t="n">
        <v>0</v>
      </c>
      <c r="D32" s="20" t="n">
        <v>1</v>
      </c>
      <c r="E32" s="20" t="n">
        <v>140</v>
      </c>
      <c r="F32" s="20" t="n">
        <v>239</v>
      </c>
      <c r="G32" s="20" t="n">
        <v>0</v>
      </c>
      <c r="H32" s="20" t="n">
        <v>0</v>
      </c>
      <c r="I32" s="20" t="n">
        <v>151</v>
      </c>
      <c r="J32" s="20" t="n">
        <v>0</v>
      </c>
      <c r="K32" s="21" t="n">
        <v>1.8</v>
      </c>
      <c r="L32" s="20" t="n">
        <v>1</v>
      </c>
      <c r="M32" s="20" t="n">
        <v>2</v>
      </c>
      <c r="N32" s="20" t="n">
        <v>3</v>
      </c>
      <c r="O32" s="20" t="n">
        <v>0</v>
      </c>
      <c r="P32" s="22" t="s">
        <v>104</v>
      </c>
    </row>
    <row r="33" customFormat="false" ht="15" hidden="false" customHeight="false" outlineLevel="0" collapsed="false">
      <c r="A33" s="19" t="n">
        <v>32</v>
      </c>
      <c r="B33" s="20" t="n">
        <v>60</v>
      </c>
      <c r="C33" s="20" t="n">
        <v>1</v>
      </c>
      <c r="D33" s="20" t="n">
        <v>4</v>
      </c>
      <c r="E33" s="20" t="n">
        <v>117</v>
      </c>
      <c r="F33" s="20" t="n">
        <v>230</v>
      </c>
      <c r="G33" s="20" t="n">
        <v>1</v>
      </c>
      <c r="H33" s="20" t="n">
        <v>0</v>
      </c>
      <c r="I33" s="20" t="n">
        <v>160</v>
      </c>
      <c r="J33" s="20" t="n">
        <v>1</v>
      </c>
      <c r="K33" s="21" t="n">
        <v>1.4</v>
      </c>
      <c r="L33" s="20" t="n">
        <v>1</v>
      </c>
      <c r="M33" s="20" t="n">
        <v>2</v>
      </c>
      <c r="N33" s="20" t="n">
        <v>7</v>
      </c>
      <c r="O33" s="20" t="n">
        <v>2</v>
      </c>
      <c r="P33" s="22" t="s">
        <v>104</v>
      </c>
    </row>
    <row r="34" customFormat="false" ht="15" hidden="false" customHeight="false" outlineLevel="0" collapsed="false">
      <c r="A34" s="19" t="n">
        <v>33</v>
      </c>
      <c r="B34" s="20" t="n">
        <v>64</v>
      </c>
      <c r="C34" s="20" t="n">
        <v>1</v>
      </c>
      <c r="D34" s="20" t="n">
        <v>3</v>
      </c>
      <c r="E34" s="20" t="n">
        <v>140</v>
      </c>
      <c r="F34" s="20" t="n">
        <v>335</v>
      </c>
      <c r="G34" s="20" t="n">
        <v>0</v>
      </c>
      <c r="H34" s="20" t="n">
        <v>0</v>
      </c>
      <c r="I34" s="20" t="n">
        <v>158</v>
      </c>
      <c r="J34" s="20" t="n">
        <v>0</v>
      </c>
      <c r="K34" s="21" t="n">
        <v>0</v>
      </c>
      <c r="L34" s="20" t="n">
        <v>1</v>
      </c>
      <c r="M34" s="20" t="n">
        <v>0</v>
      </c>
      <c r="N34" s="20" t="n">
        <v>3</v>
      </c>
      <c r="O34" s="20" t="n">
        <v>1</v>
      </c>
      <c r="P34" s="22" t="s">
        <v>104</v>
      </c>
    </row>
    <row r="35" customFormat="false" ht="15" hidden="false" customHeight="false" outlineLevel="0" collapsed="false">
      <c r="A35" s="19" t="n">
        <v>34</v>
      </c>
      <c r="B35" s="20" t="n">
        <v>59</v>
      </c>
      <c r="C35" s="20" t="n">
        <v>1</v>
      </c>
      <c r="D35" s="20" t="n">
        <v>4</v>
      </c>
      <c r="E35" s="20" t="n">
        <v>135</v>
      </c>
      <c r="F35" s="20" t="n">
        <v>234</v>
      </c>
      <c r="G35" s="20" t="n">
        <v>0</v>
      </c>
      <c r="H35" s="20" t="n">
        <v>0</v>
      </c>
      <c r="I35" s="20" t="n">
        <v>161</v>
      </c>
      <c r="J35" s="20" t="n">
        <v>0</v>
      </c>
      <c r="K35" s="21" t="n">
        <v>0.5</v>
      </c>
      <c r="L35" s="20" t="n">
        <v>2</v>
      </c>
      <c r="M35" s="20" t="n">
        <v>0</v>
      </c>
      <c r="N35" s="20" t="n">
        <v>7</v>
      </c>
      <c r="O35" s="20" t="n">
        <v>0</v>
      </c>
      <c r="P35" s="22" t="s">
        <v>104</v>
      </c>
    </row>
    <row r="36" customFormat="false" ht="15" hidden="false" customHeight="false" outlineLevel="0" collapsed="false">
      <c r="A36" s="19" t="n">
        <v>35</v>
      </c>
      <c r="B36" s="20" t="n">
        <v>44</v>
      </c>
      <c r="C36" s="20" t="n">
        <v>1</v>
      </c>
      <c r="D36" s="20" t="n">
        <v>3</v>
      </c>
      <c r="E36" s="20" t="n">
        <v>130</v>
      </c>
      <c r="F36" s="20" t="n">
        <v>233</v>
      </c>
      <c r="G36" s="20" t="n">
        <v>0</v>
      </c>
      <c r="H36" s="20" t="n">
        <v>0</v>
      </c>
      <c r="I36" s="20" t="n">
        <v>179</v>
      </c>
      <c r="J36" s="20" t="n">
        <v>1</v>
      </c>
      <c r="K36" s="21" t="n">
        <v>0.4</v>
      </c>
      <c r="L36" s="20" t="n">
        <v>1</v>
      </c>
      <c r="M36" s="20" t="n">
        <v>0</v>
      </c>
      <c r="N36" s="20" t="n">
        <v>3</v>
      </c>
      <c r="O36" s="20" t="n">
        <v>0</v>
      </c>
      <c r="P36" s="22" t="s">
        <v>104</v>
      </c>
    </row>
    <row r="37" customFormat="false" ht="15" hidden="false" customHeight="false" outlineLevel="0" collapsed="false">
      <c r="A37" s="19" t="n">
        <v>36</v>
      </c>
      <c r="B37" s="20" t="n">
        <v>42</v>
      </c>
      <c r="C37" s="20" t="n">
        <v>1</v>
      </c>
      <c r="D37" s="20" t="n">
        <v>4</v>
      </c>
      <c r="E37" s="20" t="n">
        <v>140</v>
      </c>
      <c r="F37" s="20" t="n">
        <v>226</v>
      </c>
      <c r="G37" s="20" t="n">
        <v>0</v>
      </c>
      <c r="H37" s="20" t="n">
        <v>0</v>
      </c>
      <c r="I37" s="20" t="n">
        <v>178</v>
      </c>
      <c r="J37" s="20" t="n">
        <v>0</v>
      </c>
      <c r="K37" s="21" t="n">
        <v>0</v>
      </c>
      <c r="L37" s="20" t="n">
        <v>1</v>
      </c>
      <c r="M37" s="20" t="n">
        <v>0</v>
      </c>
      <c r="N37" s="20" t="n">
        <v>3</v>
      </c>
      <c r="O37" s="20" t="n">
        <v>0</v>
      </c>
      <c r="P37" s="22" t="s">
        <v>104</v>
      </c>
    </row>
    <row r="38" customFormat="false" ht="15" hidden="false" customHeight="false" outlineLevel="0" collapsed="false">
      <c r="A38" s="19" t="n">
        <v>37</v>
      </c>
      <c r="B38" s="20" t="n">
        <v>43</v>
      </c>
      <c r="C38" s="20" t="n">
        <v>1</v>
      </c>
      <c r="D38" s="20" t="n">
        <v>4</v>
      </c>
      <c r="E38" s="20" t="n">
        <v>120</v>
      </c>
      <c r="F38" s="20" t="n">
        <v>177</v>
      </c>
      <c r="G38" s="20" t="n">
        <v>0</v>
      </c>
      <c r="H38" s="20" t="n">
        <v>2</v>
      </c>
      <c r="I38" s="20" t="n">
        <v>120</v>
      </c>
      <c r="J38" s="20" t="n">
        <v>1</v>
      </c>
      <c r="K38" s="21" t="n">
        <v>2.5</v>
      </c>
      <c r="L38" s="20" t="n">
        <v>2</v>
      </c>
      <c r="M38" s="20" t="n">
        <v>0</v>
      </c>
      <c r="N38" s="20" t="n">
        <v>7</v>
      </c>
      <c r="O38" s="20" t="n">
        <v>3</v>
      </c>
      <c r="P38" s="22" t="s">
        <v>104</v>
      </c>
    </row>
    <row r="39" customFormat="false" ht="15" hidden="false" customHeight="false" outlineLevel="0" collapsed="false">
      <c r="A39" s="19" t="n">
        <v>38</v>
      </c>
      <c r="B39" s="20" t="n">
        <v>57</v>
      </c>
      <c r="C39" s="20" t="n">
        <v>1</v>
      </c>
      <c r="D39" s="20" t="n">
        <v>4</v>
      </c>
      <c r="E39" s="20" t="n">
        <v>150</v>
      </c>
      <c r="F39" s="20" t="n">
        <v>276</v>
      </c>
      <c r="G39" s="20" t="n">
        <v>0</v>
      </c>
      <c r="H39" s="20" t="n">
        <v>2</v>
      </c>
      <c r="I39" s="20" t="n">
        <v>112</v>
      </c>
      <c r="J39" s="20" t="n">
        <v>1</v>
      </c>
      <c r="K39" s="21" t="n">
        <v>0.6</v>
      </c>
      <c r="L39" s="20" t="n">
        <v>2</v>
      </c>
      <c r="M39" s="20" t="n">
        <v>1</v>
      </c>
      <c r="N39" s="20" t="n">
        <v>6</v>
      </c>
      <c r="O39" s="20" t="n">
        <v>1</v>
      </c>
      <c r="P39" s="22" t="s">
        <v>104</v>
      </c>
    </row>
    <row r="40" customFormat="false" ht="15" hidden="false" customHeight="false" outlineLevel="0" collapsed="false">
      <c r="A40" s="19" t="n">
        <v>39</v>
      </c>
      <c r="B40" s="20" t="n">
        <v>55</v>
      </c>
      <c r="C40" s="20" t="n">
        <v>1</v>
      </c>
      <c r="D40" s="20" t="n">
        <v>4</v>
      </c>
      <c r="E40" s="20" t="n">
        <v>132</v>
      </c>
      <c r="F40" s="20" t="n">
        <v>353</v>
      </c>
      <c r="G40" s="20" t="n">
        <v>0</v>
      </c>
      <c r="H40" s="20" t="n">
        <v>0</v>
      </c>
      <c r="I40" s="20" t="n">
        <v>132</v>
      </c>
      <c r="J40" s="20" t="n">
        <v>1</v>
      </c>
      <c r="K40" s="21" t="n">
        <v>1.2</v>
      </c>
      <c r="L40" s="20" t="n">
        <v>2</v>
      </c>
      <c r="M40" s="20" t="n">
        <v>1</v>
      </c>
      <c r="N40" s="20" t="n">
        <v>7</v>
      </c>
      <c r="O40" s="20" t="n">
        <v>3</v>
      </c>
      <c r="P40" s="22" t="s">
        <v>104</v>
      </c>
    </row>
    <row r="41" customFormat="false" ht="15" hidden="false" customHeight="false" outlineLevel="0" collapsed="false">
      <c r="A41" s="19" t="n">
        <v>40</v>
      </c>
      <c r="B41" s="20" t="n">
        <v>61</v>
      </c>
      <c r="C41" s="20" t="n">
        <v>1</v>
      </c>
      <c r="D41" s="20" t="n">
        <v>3</v>
      </c>
      <c r="E41" s="20" t="n">
        <v>150</v>
      </c>
      <c r="F41" s="20" t="n">
        <v>243</v>
      </c>
      <c r="G41" s="20" t="n">
        <v>1</v>
      </c>
      <c r="H41" s="20" t="n">
        <v>0</v>
      </c>
      <c r="I41" s="20" t="n">
        <v>137</v>
      </c>
      <c r="J41" s="20" t="n">
        <v>1</v>
      </c>
      <c r="K41" s="21" t="n">
        <v>1</v>
      </c>
      <c r="L41" s="20" t="n">
        <v>2</v>
      </c>
      <c r="M41" s="20" t="n">
        <v>0</v>
      </c>
      <c r="N41" s="20" t="n">
        <v>3</v>
      </c>
      <c r="O41" s="20" t="n">
        <v>0</v>
      </c>
      <c r="P41" s="22" t="s">
        <v>104</v>
      </c>
    </row>
    <row r="42" customFormat="false" ht="15" hidden="false" customHeight="false" outlineLevel="0" collapsed="false">
      <c r="A42" s="19" t="n">
        <v>41</v>
      </c>
      <c r="B42" s="20" t="n">
        <v>65</v>
      </c>
      <c r="C42" s="20" t="n">
        <v>0</v>
      </c>
      <c r="D42" s="20" t="n">
        <v>4</v>
      </c>
      <c r="E42" s="20" t="n">
        <v>150</v>
      </c>
      <c r="F42" s="20" t="n">
        <v>225</v>
      </c>
      <c r="G42" s="20" t="n">
        <v>0</v>
      </c>
      <c r="H42" s="20" t="n">
        <v>2</v>
      </c>
      <c r="I42" s="20" t="n">
        <v>114</v>
      </c>
      <c r="J42" s="20" t="n">
        <v>0</v>
      </c>
      <c r="K42" s="21" t="n">
        <v>1</v>
      </c>
      <c r="L42" s="20" t="n">
        <v>2</v>
      </c>
      <c r="M42" s="20" t="n">
        <v>3</v>
      </c>
      <c r="N42" s="20" t="n">
        <v>7</v>
      </c>
      <c r="O42" s="20" t="n">
        <v>4</v>
      </c>
      <c r="P42" s="22" t="s">
        <v>104</v>
      </c>
    </row>
    <row r="43" customFormat="false" ht="15" hidden="false" customHeight="false" outlineLevel="0" collapsed="false">
      <c r="A43" s="19" t="n">
        <v>42</v>
      </c>
      <c r="B43" s="20" t="n">
        <v>40</v>
      </c>
      <c r="C43" s="20" t="n">
        <v>1</v>
      </c>
      <c r="D43" s="20" t="n">
        <v>1</v>
      </c>
      <c r="E43" s="20" t="n">
        <v>140</v>
      </c>
      <c r="F43" s="20" t="n">
        <v>199</v>
      </c>
      <c r="G43" s="20" t="n">
        <v>0</v>
      </c>
      <c r="H43" s="20" t="n">
        <v>0</v>
      </c>
      <c r="I43" s="20" t="n">
        <v>178</v>
      </c>
      <c r="J43" s="20" t="n">
        <v>1</v>
      </c>
      <c r="K43" s="21" t="n">
        <v>1.4</v>
      </c>
      <c r="L43" s="20" t="n">
        <v>1</v>
      </c>
      <c r="M43" s="20" t="n">
        <v>0</v>
      </c>
      <c r="N43" s="20" t="n">
        <v>7</v>
      </c>
      <c r="O43" s="20" t="n">
        <v>0</v>
      </c>
      <c r="P43" s="22" t="s">
        <v>104</v>
      </c>
    </row>
    <row r="44" customFormat="false" ht="15" hidden="false" customHeight="false" outlineLevel="0" collapsed="false">
      <c r="A44" s="19" t="n">
        <v>43</v>
      </c>
      <c r="B44" s="20" t="n">
        <v>71</v>
      </c>
      <c r="C44" s="20" t="n">
        <v>0</v>
      </c>
      <c r="D44" s="20" t="n">
        <v>2</v>
      </c>
      <c r="E44" s="20" t="n">
        <v>160</v>
      </c>
      <c r="F44" s="20" t="n">
        <v>302</v>
      </c>
      <c r="G44" s="20" t="n">
        <v>0</v>
      </c>
      <c r="H44" s="20" t="n">
        <v>0</v>
      </c>
      <c r="I44" s="20" t="n">
        <v>162</v>
      </c>
      <c r="J44" s="20" t="n">
        <v>0</v>
      </c>
      <c r="K44" s="21" t="n">
        <v>0.4</v>
      </c>
      <c r="L44" s="20" t="n">
        <v>1</v>
      </c>
      <c r="M44" s="20" t="n">
        <v>2</v>
      </c>
      <c r="N44" s="20" t="n">
        <v>3</v>
      </c>
      <c r="O44" s="20" t="n">
        <v>0</v>
      </c>
      <c r="P44" s="22" t="s">
        <v>104</v>
      </c>
    </row>
    <row r="45" customFormat="false" ht="15" hidden="false" customHeight="false" outlineLevel="0" collapsed="false">
      <c r="A45" s="19" t="n">
        <v>44</v>
      </c>
      <c r="B45" s="20" t="n">
        <v>59</v>
      </c>
      <c r="C45" s="20" t="n">
        <v>1</v>
      </c>
      <c r="D45" s="20" t="n">
        <v>3</v>
      </c>
      <c r="E45" s="20" t="n">
        <v>150</v>
      </c>
      <c r="F45" s="20" t="n">
        <v>212</v>
      </c>
      <c r="G45" s="20" t="n">
        <v>1</v>
      </c>
      <c r="H45" s="20" t="n">
        <v>0</v>
      </c>
      <c r="I45" s="20" t="n">
        <v>157</v>
      </c>
      <c r="J45" s="20" t="n">
        <v>0</v>
      </c>
      <c r="K45" s="21" t="n">
        <v>1.6</v>
      </c>
      <c r="L45" s="20" t="n">
        <v>1</v>
      </c>
      <c r="M45" s="20" t="n">
        <v>0</v>
      </c>
      <c r="N45" s="20" t="n">
        <v>3</v>
      </c>
      <c r="O45" s="20" t="n">
        <v>0</v>
      </c>
      <c r="P45" s="22" t="s">
        <v>104</v>
      </c>
    </row>
    <row r="46" customFormat="false" ht="15" hidden="false" customHeight="false" outlineLevel="0" collapsed="false">
      <c r="A46" s="19" t="n">
        <v>45</v>
      </c>
      <c r="B46" s="20" t="n">
        <v>61</v>
      </c>
      <c r="C46" s="20" t="n">
        <v>0</v>
      </c>
      <c r="D46" s="20" t="n">
        <v>4</v>
      </c>
      <c r="E46" s="20" t="n">
        <v>130</v>
      </c>
      <c r="F46" s="20" t="n">
        <v>330</v>
      </c>
      <c r="G46" s="20" t="n">
        <v>0</v>
      </c>
      <c r="H46" s="20" t="n">
        <v>2</v>
      </c>
      <c r="I46" s="20" t="n">
        <v>169</v>
      </c>
      <c r="J46" s="20" t="n">
        <v>0</v>
      </c>
      <c r="K46" s="21" t="n">
        <v>0</v>
      </c>
      <c r="L46" s="20" t="n">
        <v>1</v>
      </c>
      <c r="M46" s="20" t="n">
        <v>0</v>
      </c>
      <c r="N46" s="20" t="n">
        <v>3</v>
      </c>
      <c r="O46" s="20" t="n">
        <v>1</v>
      </c>
      <c r="P46" s="22" t="s">
        <v>104</v>
      </c>
    </row>
    <row r="47" customFormat="false" ht="15" hidden="false" customHeight="false" outlineLevel="0" collapsed="false">
      <c r="A47" s="19" t="n">
        <v>46</v>
      </c>
      <c r="B47" s="20" t="n">
        <v>58</v>
      </c>
      <c r="C47" s="20" t="n">
        <v>1</v>
      </c>
      <c r="D47" s="20" t="n">
        <v>3</v>
      </c>
      <c r="E47" s="20" t="n">
        <v>112</v>
      </c>
      <c r="F47" s="20" t="n">
        <v>230</v>
      </c>
      <c r="G47" s="20" t="n">
        <v>0</v>
      </c>
      <c r="H47" s="20" t="n">
        <v>2</v>
      </c>
      <c r="I47" s="20" t="n">
        <v>165</v>
      </c>
      <c r="J47" s="20" t="n">
        <v>0</v>
      </c>
      <c r="K47" s="21" t="n">
        <v>2.5</v>
      </c>
      <c r="L47" s="20" t="n">
        <v>2</v>
      </c>
      <c r="M47" s="20" t="n">
        <v>1</v>
      </c>
      <c r="N47" s="20" t="n">
        <v>7</v>
      </c>
      <c r="O47" s="20" t="n">
        <v>4</v>
      </c>
      <c r="P47" s="22" t="s">
        <v>104</v>
      </c>
    </row>
    <row r="48" customFormat="false" ht="15" hidden="false" customHeight="false" outlineLevel="0" collapsed="false">
      <c r="A48" s="19" t="n">
        <v>47</v>
      </c>
      <c r="B48" s="20" t="n">
        <v>51</v>
      </c>
      <c r="C48" s="20" t="n">
        <v>1</v>
      </c>
      <c r="D48" s="20" t="n">
        <v>3</v>
      </c>
      <c r="E48" s="20" t="n">
        <v>110</v>
      </c>
      <c r="F48" s="20" t="n">
        <v>175</v>
      </c>
      <c r="G48" s="20" t="n">
        <v>0</v>
      </c>
      <c r="H48" s="20" t="n">
        <v>0</v>
      </c>
      <c r="I48" s="20" t="n">
        <v>123</v>
      </c>
      <c r="J48" s="20" t="n">
        <v>0</v>
      </c>
      <c r="K48" s="21" t="n">
        <v>0.6</v>
      </c>
      <c r="L48" s="20" t="n">
        <v>1</v>
      </c>
      <c r="M48" s="20" t="n">
        <v>0</v>
      </c>
      <c r="N48" s="20" t="n">
        <v>3</v>
      </c>
      <c r="O48" s="20" t="n">
        <v>0</v>
      </c>
      <c r="P48" s="22" t="s">
        <v>104</v>
      </c>
    </row>
    <row r="49" customFormat="false" ht="15" hidden="false" customHeight="false" outlineLevel="0" collapsed="false">
      <c r="A49" s="19" t="n">
        <v>48</v>
      </c>
      <c r="B49" s="20" t="n">
        <v>50</v>
      </c>
      <c r="C49" s="20" t="n">
        <v>1</v>
      </c>
      <c r="D49" s="20" t="n">
        <v>4</v>
      </c>
      <c r="E49" s="20" t="n">
        <v>150</v>
      </c>
      <c r="F49" s="20" t="n">
        <v>243</v>
      </c>
      <c r="G49" s="20" t="n">
        <v>0</v>
      </c>
      <c r="H49" s="20" t="n">
        <v>2</v>
      </c>
      <c r="I49" s="20" t="n">
        <v>128</v>
      </c>
      <c r="J49" s="20" t="n">
        <v>0</v>
      </c>
      <c r="K49" s="21" t="n">
        <v>2.6</v>
      </c>
      <c r="L49" s="20" t="n">
        <v>2</v>
      </c>
      <c r="M49" s="20" t="n">
        <v>0</v>
      </c>
      <c r="N49" s="20" t="n">
        <v>7</v>
      </c>
      <c r="O49" s="20" t="n">
        <v>4</v>
      </c>
      <c r="P49" s="22" t="s">
        <v>104</v>
      </c>
    </row>
    <row r="50" customFormat="false" ht="15" hidden="false" customHeight="false" outlineLevel="0" collapsed="false">
      <c r="A50" s="19" t="n">
        <v>49</v>
      </c>
      <c r="B50" s="20" t="n">
        <v>65</v>
      </c>
      <c r="C50" s="20" t="n">
        <v>0</v>
      </c>
      <c r="D50" s="20" t="n">
        <v>3</v>
      </c>
      <c r="E50" s="20" t="n">
        <v>140</v>
      </c>
      <c r="F50" s="20" t="n">
        <v>417</v>
      </c>
      <c r="G50" s="20" t="n">
        <v>1</v>
      </c>
      <c r="H50" s="20" t="n">
        <v>2</v>
      </c>
      <c r="I50" s="20" t="n">
        <v>157</v>
      </c>
      <c r="J50" s="20" t="n">
        <v>0</v>
      </c>
      <c r="K50" s="21" t="n">
        <v>0.8</v>
      </c>
      <c r="L50" s="20" t="n">
        <v>1</v>
      </c>
      <c r="M50" s="20" t="n">
        <v>1</v>
      </c>
      <c r="N50" s="20" t="n">
        <v>3</v>
      </c>
      <c r="O50" s="20" t="n">
        <v>0</v>
      </c>
      <c r="P50" s="22" t="s">
        <v>104</v>
      </c>
    </row>
    <row r="51" customFormat="false" ht="15" hidden="false" customHeight="false" outlineLevel="0" collapsed="false">
      <c r="A51" s="19" t="n">
        <v>50</v>
      </c>
      <c r="B51" s="20" t="n">
        <v>53</v>
      </c>
      <c r="C51" s="20" t="n">
        <v>1</v>
      </c>
      <c r="D51" s="20" t="n">
        <v>3</v>
      </c>
      <c r="E51" s="20" t="n">
        <v>130</v>
      </c>
      <c r="F51" s="20" t="n">
        <v>197</v>
      </c>
      <c r="G51" s="20" t="n">
        <v>1</v>
      </c>
      <c r="H51" s="20" t="n">
        <v>2</v>
      </c>
      <c r="I51" s="20" t="n">
        <v>152</v>
      </c>
      <c r="J51" s="20" t="n">
        <v>0</v>
      </c>
      <c r="K51" s="21" t="n">
        <v>1.2</v>
      </c>
      <c r="L51" s="20" t="n">
        <v>3</v>
      </c>
      <c r="M51" s="20" t="n">
        <v>0</v>
      </c>
      <c r="N51" s="20" t="n">
        <v>3</v>
      </c>
      <c r="O51" s="20" t="n">
        <v>0</v>
      </c>
      <c r="P51" s="22" t="s">
        <v>104</v>
      </c>
    </row>
    <row r="52" customFormat="false" ht="15" hidden="false" customHeight="false" outlineLevel="0" collapsed="false">
      <c r="A52" s="19" t="n">
        <v>51</v>
      </c>
      <c r="B52" s="20" t="n">
        <v>41</v>
      </c>
      <c r="C52" s="20" t="n">
        <v>0</v>
      </c>
      <c r="D52" s="20" t="n">
        <v>2</v>
      </c>
      <c r="E52" s="20" t="n">
        <v>105</v>
      </c>
      <c r="F52" s="20" t="n">
        <v>198</v>
      </c>
      <c r="G52" s="20" t="n">
        <v>0</v>
      </c>
      <c r="H52" s="20" t="n">
        <v>0</v>
      </c>
      <c r="I52" s="20" t="n">
        <v>168</v>
      </c>
      <c r="J52" s="20" t="n">
        <v>0</v>
      </c>
      <c r="K52" s="21" t="n">
        <v>0</v>
      </c>
      <c r="L52" s="20" t="n">
        <v>1</v>
      </c>
      <c r="M52" s="20" t="n">
        <v>1</v>
      </c>
      <c r="N52" s="20" t="n">
        <v>3</v>
      </c>
      <c r="O52" s="20" t="n">
        <v>0</v>
      </c>
      <c r="P52" s="22" t="s">
        <v>104</v>
      </c>
    </row>
    <row r="53" customFormat="false" ht="15" hidden="false" customHeight="false" outlineLevel="0" collapsed="false">
      <c r="A53" s="19" t="n">
        <v>52</v>
      </c>
      <c r="B53" s="20" t="n">
        <v>65</v>
      </c>
      <c r="C53" s="20" t="n">
        <v>1</v>
      </c>
      <c r="D53" s="20" t="n">
        <v>4</v>
      </c>
      <c r="E53" s="20" t="n">
        <v>120</v>
      </c>
      <c r="F53" s="20" t="n">
        <v>177</v>
      </c>
      <c r="G53" s="20" t="n">
        <v>0</v>
      </c>
      <c r="H53" s="20" t="n">
        <v>0</v>
      </c>
      <c r="I53" s="20" t="n">
        <v>140</v>
      </c>
      <c r="J53" s="20" t="n">
        <v>0</v>
      </c>
      <c r="K53" s="21" t="n">
        <v>0.4</v>
      </c>
      <c r="L53" s="20" t="n">
        <v>1</v>
      </c>
      <c r="M53" s="20" t="n">
        <v>0</v>
      </c>
      <c r="N53" s="20" t="n">
        <v>7</v>
      </c>
      <c r="O53" s="20" t="n">
        <v>0</v>
      </c>
      <c r="P53" s="22" t="s">
        <v>104</v>
      </c>
    </row>
    <row r="54" customFormat="false" ht="15" hidden="false" customHeight="false" outlineLevel="0" collapsed="false">
      <c r="A54" s="19" t="n">
        <v>53</v>
      </c>
      <c r="B54" s="20" t="n">
        <v>44</v>
      </c>
      <c r="C54" s="20" t="n">
        <v>1</v>
      </c>
      <c r="D54" s="20" t="n">
        <v>4</v>
      </c>
      <c r="E54" s="20" t="n">
        <v>112</v>
      </c>
      <c r="F54" s="20" t="n">
        <v>290</v>
      </c>
      <c r="G54" s="20" t="n">
        <v>0</v>
      </c>
      <c r="H54" s="20" t="n">
        <v>2</v>
      </c>
      <c r="I54" s="20" t="n">
        <v>153</v>
      </c>
      <c r="J54" s="20" t="n">
        <v>0</v>
      </c>
      <c r="K54" s="21" t="n">
        <v>0</v>
      </c>
      <c r="L54" s="20" t="n">
        <v>1</v>
      </c>
      <c r="M54" s="20" t="n">
        <v>1</v>
      </c>
      <c r="N54" s="20" t="n">
        <v>3</v>
      </c>
      <c r="O54" s="20" t="n">
        <v>2</v>
      </c>
      <c r="P54" s="22" t="s">
        <v>104</v>
      </c>
    </row>
    <row r="55" customFormat="false" ht="15" hidden="false" customHeight="false" outlineLevel="0" collapsed="false">
      <c r="A55" s="19" t="n">
        <v>54</v>
      </c>
      <c r="B55" s="20" t="n">
        <v>44</v>
      </c>
      <c r="C55" s="20" t="n">
        <v>1</v>
      </c>
      <c r="D55" s="20" t="n">
        <v>2</v>
      </c>
      <c r="E55" s="20" t="n">
        <v>130</v>
      </c>
      <c r="F55" s="20" t="n">
        <v>219</v>
      </c>
      <c r="G55" s="20" t="n">
        <v>0</v>
      </c>
      <c r="H55" s="20" t="n">
        <v>2</v>
      </c>
      <c r="I55" s="20" t="n">
        <v>188</v>
      </c>
      <c r="J55" s="20" t="n">
        <v>0</v>
      </c>
      <c r="K55" s="21" t="n">
        <v>0</v>
      </c>
      <c r="L55" s="20" t="n">
        <v>1</v>
      </c>
      <c r="M55" s="20" t="n">
        <v>0</v>
      </c>
      <c r="N55" s="20" t="n">
        <v>3</v>
      </c>
      <c r="O55" s="20" t="n">
        <v>0</v>
      </c>
      <c r="P55" s="22" t="s">
        <v>104</v>
      </c>
    </row>
    <row r="56" customFormat="false" ht="15" hidden="false" customHeight="false" outlineLevel="0" collapsed="false">
      <c r="A56" s="19" t="n">
        <v>55</v>
      </c>
      <c r="B56" s="20" t="n">
        <v>60</v>
      </c>
      <c r="C56" s="20" t="n">
        <v>1</v>
      </c>
      <c r="D56" s="20" t="n">
        <v>4</v>
      </c>
      <c r="E56" s="20" t="n">
        <v>130</v>
      </c>
      <c r="F56" s="20" t="n">
        <v>253</v>
      </c>
      <c r="G56" s="20" t="n">
        <v>0</v>
      </c>
      <c r="H56" s="20" t="n">
        <v>0</v>
      </c>
      <c r="I56" s="20" t="n">
        <v>144</v>
      </c>
      <c r="J56" s="20" t="n">
        <v>1</v>
      </c>
      <c r="K56" s="21" t="n">
        <v>1.4</v>
      </c>
      <c r="L56" s="20" t="n">
        <v>1</v>
      </c>
      <c r="M56" s="20" t="n">
        <v>1</v>
      </c>
      <c r="N56" s="20" t="n">
        <v>7</v>
      </c>
      <c r="O56" s="20" t="n">
        <v>1</v>
      </c>
      <c r="P56" s="22" t="s">
        <v>104</v>
      </c>
    </row>
    <row r="57" customFormat="false" ht="15" hidden="false" customHeight="false" outlineLevel="0" collapsed="false">
      <c r="A57" s="19" t="n">
        <v>56</v>
      </c>
      <c r="B57" s="20" t="n">
        <v>54</v>
      </c>
      <c r="C57" s="20" t="n">
        <v>1</v>
      </c>
      <c r="D57" s="20" t="n">
        <v>4</v>
      </c>
      <c r="E57" s="20" t="n">
        <v>124</v>
      </c>
      <c r="F57" s="20" t="n">
        <v>266</v>
      </c>
      <c r="G57" s="20" t="n">
        <v>0</v>
      </c>
      <c r="H57" s="20" t="n">
        <v>2</v>
      </c>
      <c r="I57" s="20" t="n">
        <v>109</v>
      </c>
      <c r="J57" s="20" t="n">
        <v>1</v>
      </c>
      <c r="K57" s="21" t="n">
        <v>2.2</v>
      </c>
      <c r="L57" s="20" t="n">
        <v>2</v>
      </c>
      <c r="M57" s="20" t="n">
        <v>1</v>
      </c>
      <c r="N57" s="20" t="n">
        <v>7</v>
      </c>
      <c r="O57" s="20" t="n">
        <v>1</v>
      </c>
      <c r="P57" s="22" t="s">
        <v>104</v>
      </c>
    </row>
    <row r="58" customFormat="false" ht="15" hidden="false" customHeight="false" outlineLevel="0" collapsed="false">
      <c r="A58" s="19" t="n">
        <v>57</v>
      </c>
      <c r="B58" s="20" t="n">
        <v>50</v>
      </c>
      <c r="C58" s="20" t="n">
        <v>1</v>
      </c>
      <c r="D58" s="20" t="n">
        <v>3</v>
      </c>
      <c r="E58" s="20" t="n">
        <v>140</v>
      </c>
      <c r="F58" s="20" t="n">
        <v>233</v>
      </c>
      <c r="G58" s="20" t="n">
        <v>0</v>
      </c>
      <c r="H58" s="20" t="n">
        <v>0</v>
      </c>
      <c r="I58" s="20" t="n">
        <v>163</v>
      </c>
      <c r="J58" s="20" t="n">
        <v>0</v>
      </c>
      <c r="K58" s="21" t="n">
        <v>0.6</v>
      </c>
      <c r="L58" s="20" t="n">
        <v>2</v>
      </c>
      <c r="M58" s="20" t="n">
        <v>1</v>
      </c>
      <c r="N58" s="20" t="n">
        <v>7</v>
      </c>
      <c r="O58" s="20" t="n">
        <v>1</v>
      </c>
      <c r="P58" s="22" t="s">
        <v>104</v>
      </c>
    </row>
    <row r="59" customFormat="false" ht="15" hidden="false" customHeight="false" outlineLevel="0" collapsed="false">
      <c r="A59" s="19" t="n">
        <v>58</v>
      </c>
      <c r="B59" s="20" t="n">
        <v>41</v>
      </c>
      <c r="C59" s="20" t="n">
        <v>1</v>
      </c>
      <c r="D59" s="20" t="n">
        <v>4</v>
      </c>
      <c r="E59" s="20" t="n">
        <v>110</v>
      </c>
      <c r="F59" s="20" t="n">
        <v>172</v>
      </c>
      <c r="G59" s="20" t="n">
        <v>0</v>
      </c>
      <c r="H59" s="20" t="n">
        <v>2</v>
      </c>
      <c r="I59" s="20" t="n">
        <v>158</v>
      </c>
      <c r="J59" s="20" t="n">
        <v>0</v>
      </c>
      <c r="K59" s="21" t="n">
        <v>0</v>
      </c>
      <c r="L59" s="20" t="n">
        <v>1</v>
      </c>
      <c r="M59" s="20" t="n">
        <v>0</v>
      </c>
      <c r="N59" s="20" t="n">
        <v>7</v>
      </c>
      <c r="O59" s="20" t="n">
        <v>1</v>
      </c>
      <c r="P59" s="22" t="s">
        <v>104</v>
      </c>
    </row>
    <row r="60" customFormat="false" ht="15" hidden="false" customHeight="false" outlineLevel="0" collapsed="false">
      <c r="A60" s="19" t="n">
        <v>59</v>
      </c>
      <c r="B60" s="20" t="n">
        <v>54</v>
      </c>
      <c r="C60" s="20" t="n">
        <v>1</v>
      </c>
      <c r="D60" s="20" t="n">
        <v>3</v>
      </c>
      <c r="E60" s="20" t="n">
        <v>125</v>
      </c>
      <c r="F60" s="20" t="n">
        <v>273</v>
      </c>
      <c r="G60" s="20" t="n">
        <v>0</v>
      </c>
      <c r="H60" s="20" t="n">
        <v>2</v>
      </c>
      <c r="I60" s="20" t="n">
        <v>152</v>
      </c>
      <c r="J60" s="20" t="n">
        <v>0</v>
      </c>
      <c r="K60" s="21" t="n">
        <v>0.5</v>
      </c>
      <c r="L60" s="20" t="n">
        <v>3</v>
      </c>
      <c r="M60" s="20" t="n">
        <v>1</v>
      </c>
      <c r="N60" s="20" t="n">
        <v>3</v>
      </c>
      <c r="O60" s="20" t="n">
        <v>0</v>
      </c>
      <c r="P60" s="22" t="s">
        <v>104</v>
      </c>
    </row>
    <row r="61" customFormat="false" ht="15" hidden="false" customHeight="false" outlineLevel="0" collapsed="false">
      <c r="A61" s="19" t="n">
        <v>60</v>
      </c>
      <c r="B61" s="20" t="n">
        <v>51</v>
      </c>
      <c r="C61" s="20" t="n">
        <v>1</v>
      </c>
      <c r="D61" s="20" t="n">
        <v>1</v>
      </c>
      <c r="E61" s="20" t="n">
        <v>125</v>
      </c>
      <c r="F61" s="20" t="n">
        <v>213</v>
      </c>
      <c r="G61" s="20" t="n">
        <v>0</v>
      </c>
      <c r="H61" s="20" t="n">
        <v>2</v>
      </c>
      <c r="I61" s="20" t="n">
        <v>125</v>
      </c>
      <c r="J61" s="20" t="n">
        <v>1</v>
      </c>
      <c r="K61" s="21" t="n">
        <v>1.4</v>
      </c>
      <c r="L61" s="20" t="n">
        <v>1</v>
      </c>
      <c r="M61" s="20" t="n">
        <v>1</v>
      </c>
      <c r="N61" s="20" t="n">
        <v>3</v>
      </c>
      <c r="O61" s="20" t="n">
        <v>0</v>
      </c>
      <c r="P61" s="22" t="s">
        <v>104</v>
      </c>
    </row>
    <row r="62" customFormat="false" ht="15" hidden="false" customHeight="false" outlineLevel="0" collapsed="false">
      <c r="A62" s="19" t="n">
        <v>61</v>
      </c>
      <c r="B62" s="20" t="n">
        <v>51</v>
      </c>
      <c r="C62" s="20" t="n">
        <v>0</v>
      </c>
      <c r="D62" s="20" t="n">
        <v>4</v>
      </c>
      <c r="E62" s="20" t="n">
        <v>130</v>
      </c>
      <c r="F62" s="20" t="n">
        <v>305</v>
      </c>
      <c r="G62" s="20" t="n">
        <v>0</v>
      </c>
      <c r="H62" s="20" t="n">
        <v>0</v>
      </c>
      <c r="I62" s="20" t="n">
        <v>142</v>
      </c>
      <c r="J62" s="20" t="n">
        <v>1</v>
      </c>
      <c r="K62" s="21" t="n">
        <v>1.2</v>
      </c>
      <c r="L62" s="20" t="n">
        <v>2</v>
      </c>
      <c r="M62" s="20" t="n">
        <v>0</v>
      </c>
      <c r="N62" s="20" t="n">
        <v>7</v>
      </c>
      <c r="O62" s="20" t="n">
        <v>2</v>
      </c>
      <c r="P62" s="22" t="s">
        <v>104</v>
      </c>
    </row>
    <row r="63" customFormat="false" ht="15" hidden="false" customHeight="false" outlineLevel="0" collapsed="false">
      <c r="A63" s="19" t="n">
        <v>62</v>
      </c>
      <c r="B63" s="20" t="n">
        <v>46</v>
      </c>
      <c r="C63" s="20" t="n">
        <v>0</v>
      </c>
      <c r="D63" s="20" t="n">
        <v>3</v>
      </c>
      <c r="E63" s="20" t="n">
        <v>142</v>
      </c>
      <c r="F63" s="20" t="n">
        <v>177</v>
      </c>
      <c r="G63" s="20" t="n">
        <v>0</v>
      </c>
      <c r="H63" s="20" t="n">
        <v>2</v>
      </c>
      <c r="I63" s="20" t="n">
        <v>160</v>
      </c>
      <c r="J63" s="20" t="n">
        <v>1</v>
      </c>
      <c r="K63" s="21" t="n">
        <v>1.4</v>
      </c>
      <c r="L63" s="20" t="n">
        <v>3</v>
      </c>
      <c r="M63" s="20" t="n">
        <v>0</v>
      </c>
      <c r="N63" s="20" t="n">
        <v>3</v>
      </c>
      <c r="O63" s="20" t="n">
        <v>0</v>
      </c>
      <c r="P63" s="22" t="s">
        <v>104</v>
      </c>
    </row>
    <row r="64" customFormat="false" ht="15" hidden="false" customHeight="false" outlineLevel="0" collapsed="false">
      <c r="A64" s="19" t="n">
        <v>63</v>
      </c>
      <c r="B64" s="20" t="n">
        <v>58</v>
      </c>
      <c r="C64" s="20" t="n">
        <v>1</v>
      </c>
      <c r="D64" s="20" t="n">
        <v>4</v>
      </c>
      <c r="E64" s="20" t="n">
        <v>128</v>
      </c>
      <c r="F64" s="20" t="n">
        <v>216</v>
      </c>
      <c r="G64" s="20" t="n">
        <v>0</v>
      </c>
      <c r="H64" s="20" t="n">
        <v>2</v>
      </c>
      <c r="I64" s="20" t="n">
        <v>131</v>
      </c>
      <c r="J64" s="20" t="n">
        <v>1</v>
      </c>
      <c r="K64" s="21" t="n">
        <v>2.2</v>
      </c>
      <c r="L64" s="20" t="n">
        <v>2</v>
      </c>
      <c r="M64" s="20" t="n">
        <v>3</v>
      </c>
      <c r="N64" s="20" t="n">
        <v>7</v>
      </c>
      <c r="O64" s="20" t="n">
        <v>1</v>
      </c>
      <c r="P64" s="22" t="s">
        <v>104</v>
      </c>
    </row>
    <row r="65" customFormat="false" ht="15" hidden="false" customHeight="false" outlineLevel="0" collapsed="false">
      <c r="A65" s="19" t="n">
        <v>64</v>
      </c>
      <c r="B65" s="20" t="n">
        <v>54</v>
      </c>
      <c r="C65" s="20" t="n">
        <v>0</v>
      </c>
      <c r="D65" s="20" t="n">
        <v>3</v>
      </c>
      <c r="E65" s="20" t="n">
        <v>135</v>
      </c>
      <c r="F65" s="20" t="n">
        <v>304</v>
      </c>
      <c r="G65" s="20" t="n">
        <v>1</v>
      </c>
      <c r="H65" s="20" t="n">
        <v>0</v>
      </c>
      <c r="I65" s="20" t="n">
        <v>170</v>
      </c>
      <c r="J65" s="20" t="n">
        <v>0</v>
      </c>
      <c r="K65" s="21" t="n">
        <v>0</v>
      </c>
      <c r="L65" s="20" t="n">
        <v>1</v>
      </c>
      <c r="M65" s="20" t="n">
        <v>0</v>
      </c>
      <c r="N65" s="20" t="n">
        <v>3</v>
      </c>
      <c r="O65" s="20" t="n">
        <v>0</v>
      </c>
      <c r="P65" s="22" t="s">
        <v>104</v>
      </c>
    </row>
    <row r="66" customFormat="false" ht="15" hidden="false" customHeight="false" outlineLevel="0" collapsed="false">
      <c r="A66" s="19" t="n">
        <v>65</v>
      </c>
      <c r="B66" s="20" t="n">
        <v>54</v>
      </c>
      <c r="C66" s="20" t="n">
        <v>1</v>
      </c>
      <c r="D66" s="20" t="n">
        <v>4</v>
      </c>
      <c r="E66" s="20" t="n">
        <v>120</v>
      </c>
      <c r="F66" s="20" t="n">
        <v>188</v>
      </c>
      <c r="G66" s="20" t="n">
        <v>0</v>
      </c>
      <c r="H66" s="20" t="n">
        <v>0</v>
      </c>
      <c r="I66" s="20" t="n">
        <v>113</v>
      </c>
      <c r="J66" s="20" t="n">
        <v>0</v>
      </c>
      <c r="K66" s="21" t="n">
        <v>1.4</v>
      </c>
      <c r="L66" s="20" t="n">
        <v>2</v>
      </c>
      <c r="M66" s="20" t="n">
        <v>1</v>
      </c>
      <c r="N66" s="20" t="n">
        <v>7</v>
      </c>
      <c r="O66" s="20" t="n">
        <v>2</v>
      </c>
      <c r="P66" s="22" t="s">
        <v>104</v>
      </c>
    </row>
    <row r="67" customFormat="false" ht="15" hidden="false" customHeight="false" outlineLevel="0" collapsed="false">
      <c r="A67" s="19" t="n">
        <v>66</v>
      </c>
      <c r="B67" s="20" t="n">
        <v>60</v>
      </c>
      <c r="C67" s="20" t="n">
        <v>1</v>
      </c>
      <c r="D67" s="20" t="n">
        <v>4</v>
      </c>
      <c r="E67" s="20" t="n">
        <v>145</v>
      </c>
      <c r="F67" s="20" t="n">
        <v>282</v>
      </c>
      <c r="G67" s="20" t="n">
        <v>0</v>
      </c>
      <c r="H67" s="20" t="n">
        <v>2</v>
      </c>
      <c r="I67" s="20" t="n">
        <v>142</v>
      </c>
      <c r="J67" s="20" t="n">
        <v>1</v>
      </c>
      <c r="K67" s="21" t="n">
        <v>2.8</v>
      </c>
      <c r="L67" s="20" t="n">
        <v>2</v>
      </c>
      <c r="M67" s="20" t="n">
        <v>2</v>
      </c>
      <c r="N67" s="20" t="n">
        <v>7</v>
      </c>
      <c r="O67" s="20" t="n">
        <v>2</v>
      </c>
      <c r="P67" s="22" t="s">
        <v>104</v>
      </c>
    </row>
    <row r="68" customFormat="false" ht="15" hidden="false" customHeight="false" outlineLevel="0" collapsed="false">
      <c r="A68" s="19" t="n">
        <v>67</v>
      </c>
      <c r="B68" s="20" t="n">
        <v>60</v>
      </c>
      <c r="C68" s="20" t="n">
        <v>1</v>
      </c>
      <c r="D68" s="20" t="n">
        <v>3</v>
      </c>
      <c r="E68" s="20" t="n">
        <v>140</v>
      </c>
      <c r="F68" s="20" t="n">
        <v>185</v>
      </c>
      <c r="G68" s="20" t="n">
        <v>0</v>
      </c>
      <c r="H68" s="20" t="n">
        <v>2</v>
      </c>
      <c r="I68" s="20" t="n">
        <v>155</v>
      </c>
      <c r="J68" s="20" t="n">
        <v>0</v>
      </c>
      <c r="K68" s="21" t="n">
        <v>3</v>
      </c>
      <c r="L68" s="20" t="n">
        <v>2</v>
      </c>
      <c r="M68" s="20" t="n">
        <v>0</v>
      </c>
      <c r="N68" s="20" t="n">
        <v>3</v>
      </c>
      <c r="O68" s="20" t="n">
        <v>1</v>
      </c>
      <c r="P68" s="22" t="s">
        <v>104</v>
      </c>
    </row>
    <row r="69" customFormat="false" ht="15" hidden="false" customHeight="false" outlineLevel="0" collapsed="false">
      <c r="A69" s="19" t="n">
        <v>68</v>
      </c>
      <c r="B69" s="20" t="n">
        <v>54</v>
      </c>
      <c r="C69" s="20" t="n">
        <v>1</v>
      </c>
      <c r="D69" s="20" t="n">
        <v>3</v>
      </c>
      <c r="E69" s="20" t="n">
        <v>150</v>
      </c>
      <c r="F69" s="20" t="n">
        <v>232</v>
      </c>
      <c r="G69" s="20" t="n">
        <v>0</v>
      </c>
      <c r="H69" s="20" t="n">
        <v>2</v>
      </c>
      <c r="I69" s="20" t="n">
        <v>165</v>
      </c>
      <c r="J69" s="20" t="n">
        <v>0</v>
      </c>
      <c r="K69" s="21" t="n">
        <v>1.6</v>
      </c>
      <c r="L69" s="20" t="n">
        <v>1</v>
      </c>
      <c r="M69" s="20" t="n">
        <v>0</v>
      </c>
      <c r="N69" s="20" t="n">
        <v>7</v>
      </c>
      <c r="O69" s="20" t="n">
        <v>0</v>
      </c>
      <c r="P69" s="22" t="s">
        <v>104</v>
      </c>
    </row>
    <row r="70" customFormat="false" ht="15" hidden="false" customHeight="false" outlineLevel="0" collapsed="false">
      <c r="A70" s="19" t="n">
        <v>69</v>
      </c>
      <c r="B70" s="20" t="n">
        <v>59</v>
      </c>
      <c r="C70" s="20" t="n">
        <v>1</v>
      </c>
      <c r="D70" s="20" t="n">
        <v>4</v>
      </c>
      <c r="E70" s="20" t="n">
        <v>170</v>
      </c>
      <c r="F70" s="20" t="n">
        <v>326</v>
      </c>
      <c r="G70" s="20" t="n">
        <v>0</v>
      </c>
      <c r="H70" s="20" t="n">
        <v>2</v>
      </c>
      <c r="I70" s="20" t="n">
        <v>140</v>
      </c>
      <c r="J70" s="20" t="n">
        <v>1</v>
      </c>
      <c r="K70" s="21" t="n">
        <v>3.4</v>
      </c>
      <c r="L70" s="20" t="n">
        <v>3</v>
      </c>
      <c r="M70" s="20" t="n">
        <v>0</v>
      </c>
      <c r="N70" s="20" t="n">
        <v>7</v>
      </c>
      <c r="O70" s="20" t="n">
        <v>2</v>
      </c>
      <c r="P70" s="22" t="s">
        <v>104</v>
      </c>
    </row>
    <row r="71" customFormat="false" ht="15" hidden="false" customHeight="false" outlineLevel="0" collapsed="false">
      <c r="A71" s="19" t="n">
        <v>70</v>
      </c>
      <c r="B71" s="20" t="n">
        <v>46</v>
      </c>
      <c r="C71" s="20" t="n">
        <v>1</v>
      </c>
      <c r="D71" s="20" t="n">
        <v>3</v>
      </c>
      <c r="E71" s="20" t="n">
        <v>150</v>
      </c>
      <c r="F71" s="20" t="n">
        <v>231</v>
      </c>
      <c r="G71" s="20" t="n">
        <v>0</v>
      </c>
      <c r="H71" s="20" t="n">
        <v>0</v>
      </c>
      <c r="I71" s="20" t="n">
        <v>147</v>
      </c>
      <c r="J71" s="20" t="n">
        <v>0</v>
      </c>
      <c r="K71" s="21" t="n">
        <v>3.6</v>
      </c>
      <c r="L71" s="20" t="n">
        <v>2</v>
      </c>
      <c r="M71" s="20" t="n">
        <v>0</v>
      </c>
      <c r="N71" s="20" t="n">
        <v>3</v>
      </c>
      <c r="O71" s="20" t="n">
        <v>1</v>
      </c>
      <c r="P71" s="22" t="s">
        <v>104</v>
      </c>
    </row>
    <row r="72" customFormat="false" ht="15" hidden="false" customHeight="false" outlineLevel="0" collapsed="false">
      <c r="A72" s="19" t="n">
        <v>71</v>
      </c>
      <c r="B72" s="20" t="n">
        <v>65</v>
      </c>
      <c r="C72" s="20" t="n">
        <v>0</v>
      </c>
      <c r="D72" s="20" t="n">
        <v>3</v>
      </c>
      <c r="E72" s="20" t="n">
        <v>155</v>
      </c>
      <c r="F72" s="20" t="n">
        <v>269</v>
      </c>
      <c r="G72" s="20" t="n">
        <v>0</v>
      </c>
      <c r="H72" s="20" t="n">
        <v>0</v>
      </c>
      <c r="I72" s="20" t="n">
        <v>148</v>
      </c>
      <c r="J72" s="20" t="n">
        <v>0</v>
      </c>
      <c r="K72" s="21" t="n">
        <v>0.8</v>
      </c>
      <c r="L72" s="20" t="n">
        <v>1</v>
      </c>
      <c r="M72" s="20" t="n">
        <v>0</v>
      </c>
      <c r="N72" s="20" t="n">
        <v>3</v>
      </c>
      <c r="O72" s="20" t="n">
        <v>0</v>
      </c>
      <c r="P72" s="22" t="s">
        <v>104</v>
      </c>
    </row>
    <row r="73" customFormat="false" ht="15" hidden="false" customHeight="false" outlineLevel="0" collapsed="false">
      <c r="A73" s="19" t="n">
        <v>72</v>
      </c>
      <c r="B73" s="20" t="n">
        <v>67</v>
      </c>
      <c r="C73" s="20" t="n">
        <v>1</v>
      </c>
      <c r="D73" s="20" t="n">
        <v>4</v>
      </c>
      <c r="E73" s="20" t="n">
        <v>125</v>
      </c>
      <c r="F73" s="20" t="n">
        <v>254</v>
      </c>
      <c r="G73" s="20" t="n">
        <v>1</v>
      </c>
      <c r="H73" s="20" t="n">
        <v>0</v>
      </c>
      <c r="I73" s="20" t="n">
        <v>163</v>
      </c>
      <c r="J73" s="20" t="n">
        <v>0</v>
      </c>
      <c r="K73" s="21" t="n">
        <v>0.2</v>
      </c>
      <c r="L73" s="20" t="n">
        <v>2</v>
      </c>
      <c r="M73" s="20" t="n">
        <v>2</v>
      </c>
      <c r="N73" s="20" t="n">
        <v>7</v>
      </c>
      <c r="O73" s="20" t="n">
        <v>3</v>
      </c>
      <c r="P73" s="22" t="s">
        <v>104</v>
      </c>
    </row>
    <row r="74" customFormat="false" ht="15" hidden="false" customHeight="false" outlineLevel="0" collapsed="false">
      <c r="A74" s="19" t="n">
        <v>73</v>
      </c>
      <c r="B74" s="20" t="n">
        <v>62</v>
      </c>
      <c r="C74" s="20" t="n">
        <v>1</v>
      </c>
      <c r="D74" s="20" t="n">
        <v>4</v>
      </c>
      <c r="E74" s="20" t="n">
        <v>120</v>
      </c>
      <c r="F74" s="20" t="n">
        <v>267</v>
      </c>
      <c r="G74" s="20" t="n">
        <v>0</v>
      </c>
      <c r="H74" s="20" t="n">
        <v>0</v>
      </c>
      <c r="I74" s="20" t="n">
        <v>99</v>
      </c>
      <c r="J74" s="20" t="n">
        <v>1</v>
      </c>
      <c r="K74" s="21" t="n">
        <v>1.8</v>
      </c>
      <c r="L74" s="20" t="n">
        <v>2</v>
      </c>
      <c r="M74" s="20" t="n">
        <v>2</v>
      </c>
      <c r="N74" s="20" t="n">
        <v>7</v>
      </c>
      <c r="O74" s="20" t="n">
        <v>1</v>
      </c>
      <c r="P74" s="22" t="s">
        <v>104</v>
      </c>
    </row>
    <row r="75" customFormat="false" ht="15" hidden="false" customHeight="false" outlineLevel="0" collapsed="false">
      <c r="A75" s="19" t="n">
        <v>74</v>
      </c>
      <c r="B75" s="20" t="n">
        <v>65</v>
      </c>
      <c r="C75" s="20" t="n">
        <v>1</v>
      </c>
      <c r="D75" s="20" t="n">
        <v>4</v>
      </c>
      <c r="E75" s="20" t="n">
        <v>110</v>
      </c>
      <c r="F75" s="20" t="n">
        <v>248</v>
      </c>
      <c r="G75" s="20" t="n">
        <v>0</v>
      </c>
      <c r="H75" s="20" t="n">
        <v>2</v>
      </c>
      <c r="I75" s="20" t="n">
        <v>158</v>
      </c>
      <c r="J75" s="20" t="n">
        <v>0</v>
      </c>
      <c r="K75" s="21" t="n">
        <v>0.6</v>
      </c>
      <c r="L75" s="20" t="n">
        <v>1</v>
      </c>
      <c r="M75" s="20" t="n">
        <v>2</v>
      </c>
      <c r="N75" s="20" t="n">
        <v>6</v>
      </c>
      <c r="O75" s="20" t="n">
        <v>1</v>
      </c>
      <c r="P75" s="22" t="s">
        <v>104</v>
      </c>
    </row>
    <row r="76" customFormat="false" ht="15" hidden="false" customHeight="false" outlineLevel="0" collapsed="false">
      <c r="A76" s="19" t="n">
        <v>75</v>
      </c>
      <c r="B76" s="20" t="n">
        <v>44</v>
      </c>
      <c r="C76" s="20" t="n">
        <v>1</v>
      </c>
      <c r="D76" s="20" t="n">
        <v>4</v>
      </c>
      <c r="E76" s="20" t="n">
        <v>110</v>
      </c>
      <c r="F76" s="20" t="n">
        <v>197</v>
      </c>
      <c r="G76" s="20" t="n">
        <v>0</v>
      </c>
      <c r="H76" s="20" t="n">
        <v>2</v>
      </c>
      <c r="I76" s="20" t="n">
        <v>177</v>
      </c>
      <c r="J76" s="20" t="n">
        <v>0</v>
      </c>
      <c r="K76" s="21" t="n">
        <v>0</v>
      </c>
      <c r="L76" s="20" t="n">
        <v>1</v>
      </c>
      <c r="M76" s="20" t="n">
        <v>1</v>
      </c>
      <c r="N76" s="20" t="n">
        <v>3</v>
      </c>
      <c r="O76" s="20" t="n">
        <v>1</v>
      </c>
      <c r="P76" s="22" t="s">
        <v>104</v>
      </c>
    </row>
    <row r="77" customFormat="false" ht="15" hidden="false" customHeight="false" outlineLevel="0" collapsed="false">
      <c r="A77" s="19" t="n">
        <v>76</v>
      </c>
      <c r="B77" s="20" t="n">
        <v>65</v>
      </c>
      <c r="C77" s="20" t="n">
        <v>0</v>
      </c>
      <c r="D77" s="20" t="n">
        <v>3</v>
      </c>
      <c r="E77" s="20" t="n">
        <v>160</v>
      </c>
      <c r="F77" s="20" t="n">
        <v>360</v>
      </c>
      <c r="G77" s="20" t="n">
        <v>0</v>
      </c>
      <c r="H77" s="20" t="n">
        <v>2</v>
      </c>
      <c r="I77" s="20" t="n">
        <v>151</v>
      </c>
      <c r="J77" s="20" t="n">
        <v>0</v>
      </c>
      <c r="K77" s="21" t="n">
        <v>0.8</v>
      </c>
      <c r="L77" s="20" t="n">
        <v>1</v>
      </c>
      <c r="M77" s="20" t="n">
        <v>0</v>
      </c>
      <c r="N77" s="20" t="n">
        <v>3</v>
      </c>
      <c r="O77" s="20" t="n">
        <v>0</v>
      </c>
      <c r="P77" s="22" t="s">
        <v>104</v>
      </c>
    </row>
    <row r="78" customFormat="false" ht="15" hidden="false" customHeight="false" outlineLevel="0" collapsed="false">
      <c r="A78" s="19" t="n">
        <v>77</v>
      </c>
      <c r="B78" s="20" t="n">
        <v>60</v>
      </c>
      <c r="C78" s="20" t="n">
        <v>1</v>
      </c>
      <c r="D78" s="20" t="n">
        <v>4</v>
      </c>
      <c r="E78" s="20" t="n">
        <v>125</v>
      </c>
      <c r="F78" s="20" t="n">
        <v>258</v>
      </c>
      <c r="G78" s="20" t="n">
        <v>0</v>
      </c>
      <c r="H78" s="20" t="n">
        <v>2</v>
      </c>
      <c r="I78" s="20" t="n">
        <v>141</v>
      </c>
      <c r="J78" s="20" t="n">
        <v>1</v>
      </c>
      <c r="K78" s="21" t="n">
        <v>2.8</v>
      </c>
      <c r="L78" s="20" t="n">
        <v>2</v>
      </c>
      <c r="M78" s="20" t="n">
        <v>1</v>
      </c>
      <c r="N78" s="20" t="n">
        <v>7</v>
      </c>
      <c r="O78" s="20" t="n">
        <v>1</v>
      </c>
      <c r="P78" s="22" t="s">
        <v>104</v>
      </c>
    </row>
    <row r="79" customFormat="false" ht="15" hidden="false" customHeight="false" outlineLevel="0" collapsed="false">
      <c r="A79" s="19" t="n">
        <v>78</v>
      </c>
      <c r="B79" s="20" t="n">
        <v>51</v>
      </c>
      <c r="C79" s="20" t="n">
        <v>0</v>
      </c>
      <c r="D79" s="20" t="n">
        <v>3</v>
      </c>
      <c r="E79" s="20" t="n">
        <v>140</v>
      </c>
      <c r="F79" s="20" t="n">
        <v>308</v>
      </c>
      <c r="G79" s="20" t="n">
        <v>0</v>
      </c>
      <c r="H79" s="20" t="n">
        <v>2</v>
      </c>
      <c r="I79" s="20" t="n">
        <v>142</v>
      </c>
      <c r="J79" s="20" t="n">
        <v>0</v>
      </c>
      <c r="K79" s="21" t="n">
        <v>1.5</v>
      </c>
      <c r="L79" s="20" t="n">
        <v>1</v>
      </c>
      <c r="M79" s="20" t="n">
        <v>1</v>
      </c>
      <c r="N79" s="20" t="n">
        <v>3</v>
      </c>
      <c r="O79" s="20" t="n">
        <v>0</v>
      </c>
      <c r="P79" s="22" t="s">
        <v>104</v>
      </c>
    </row>
    <row r="80" customFormat="false" ht="15" hidden="false" customHeight="false" outlineLevel="0" collapsed="false">
      <c r="A80" s="19" t="n">
        <v>79</v>
      </c>
      <c r="B80" s="20" t="n">
        <v>48</v>
      </c>
      <c r="C80" s="20" t="n">
        <v>1</v>
      </c>
      <c r="D80" s="20" t="n">
        <v>2</v>
      </c>
      <c r="E80" s="20" t="n">
        <v>130</v>
      </c>
      <c r="F80" s="20" t="n">
        <v>245</v>
      </c>
      <c r="G80" s="20" t="n">
        <v>0</v>
      </c>
      <c r="H80" s="20" t="n">
        <v>2</v>
      </c>
      <c r="I80" s="20" t="n">
        <v>180</v>
      </c>
      <c r="J80" s="20" t="n">
        <v>0</v>
      </c>
      <c r="K80" s="21" t="n">
        <v>0.2</v>
      </c>
      <c r="L80" s="20" t="n">
        <v>2</v>
      </c>
      <c r="M80" s="20" t="n">
        <v>0</v>
      </c>
      <c r="N80" s="20" t="n">
        <v>3</v>
      </c>
      <c r="O80" s="20" t="n">
        <v>0</v>
      </c>
      <c r="P80" s="22" t="s">
        <v>104</v>
      </c>
    </row>
    <row r="81" customFormat="false" ht="15" hidden="false" customHeight="false" outlineLevel="0" collapsed="false">
      <c r="A81" s="19" t="n">
        <v>80</v>
      </c>
      <c r="B81" s="20" t="n">
        <v>58</v>
      </c>
      <c r="C81" s="20" t="n">
        <v>1</v>
      </c>
      <c r="D81" s="20" t="n">
        <v>4</v>
      </c>
      <c r="E81" s="20" t="n">
        <v>150</v>
      </c>
      <c r="F81" s="20" t="n">
        <v>270</v>
      </c>
      <c r="G81" s="20" t="n">
        <v>0</v>
      </c>
      <c r="H81" s="20" t="n">
        <v>2</v>
      </c>
      <c r="I81" s="20" t="n">
        <v>111</v>
      </c>
      <c r="J81" s="20" t="n">
        <v>1</v>
      </c>
      <c r="K81" s="21" t="n">
        <v>0.8</v>
      </c>
      <c r="L81" s="20" t="n">
        <v>1</v>
      </c>
      <c r="M81" s="20" t="n">
        <v>0</v>
      </c>
      <c r="N81" s="20" t="n">
        <v>7</v>
      </c>
      <c r="O81" s="20" t="n">
        <v>3</v>
      </c>
      <c r="P81" s="22" t="s">
        <v>104</v>
      </c>
    </row>
    <row r="82" customFormat="false" ht="15" hidden="false" customHeight="false" outlineLevel="0" collapsed="false">
      <c r="A82" s="19" t="n">
        <v>81</v>
      </c>
      <c r="B82" s="20" t="n">
        <v>45</v>
      </c>
      <c r="C82" s="20" t="n">
        <v>1</v>
      </c>
      <c r="D82" s="20" t="n">
        <v>4</v>
      </c>
      <c r="E82" s="20" t="n">
        <v>104</v>
      </c>
      <c r="F82" s="20" t="n">
        <v>208</v>
      </c>
      <c r="G82" s="20" t="n">
        <v>0</v>
      </c>
      <c r="H82" s="20" t="n">
        <v>2</v>
      </c>
      <c r="I82" s="20" t="n">
        <v>148</v>
      </c>
      <c r="J82" s="20" t="n">
        <v>1</v>
      </c>
      <c r="K82" s="21" t="n">
        <v>3</v>
      </c>
      <c r="L82" s="20" t="n">
        <v>2</v>
      </c>
      <c r="M82" s="20" t="n">
        <v>0</v>
      </c>
      <c r="N82" s="20" t="n">
        <v>3</v>
      </c>
      <c r="O82" s="20" t="n">
        <v>0</v>
      </c>
      <c r="P82" s="22" t="s">
        <v>104</v>
      </c>
    </row>
    <row r="83" customFormat="false" ht="15" hidden="false" customHeight="false" outlineLevel="0" collapsed="false">
      <c r="A83" s="19" t="n">
        <v>82</v>
      </c>
      <c r="B83" s="20" t="n">
        <v>53</v>
      </c>
      <c r="C83" s="20" t="n">
        <v>0</v>
      </c>
      <c r="D83" s="20" t="n">
        <v>4</v>
      </c>
      <c r="E83" s="20" t="n">
        <v>130</v>
      </c>
      <c r="F83" s="20" t="n">
        <v>264</v>
      </c>
      <c r="G83" s="20" t="n">
        <v>0</v>
      </c>
      <c r="H83" s="20" t="n">
        <v>2</v>
      </c>
      <c r="I83" s="20" t="n">
        <v>143</v>
      </c>
      <c r="J83" s="20" t="n">
        <v>0</v>
      </c>
      <c r="K83" s="21" t="n">
        <v>0.4</v>
      </c>
      <c r="L83" s="20" t="n">
        <v>2</v>
      </c>
      <c r="M83" s="20" t="n">
        <v>0</v>
      </c>
      <c r="N83" s="20" t="n">
        <v>3</v>
      </c>
      <c r="O83" s="20" t="n">
        <v>0</v>
      </c>
      <c r="P83" s="22" t="s">
        <v>104</v>
      </c>
    </row>
    <row r="84" customFormat="false" ht="15" hidden="false" customHeight="false" outlineLevel="0" collapsed="false">
      <c r="A84" s="19" t="n">
        <v>83</v>
      </c>
      <c r="B84" s="20" t="n">
        <v>39</v>
      </c>
      <c r="C84" s="20" t="n">
        <v>1</v>
      </c>
      <c r="D84" s="20" t="n">
        <v>3</v>
      </c>
      <c r="E84" s="20" t="n">
        <v>140</v>
      </c>
      <c r="F84" s="20" t="n">
        <v>321</v>
      </c>
      <c r="G84" s="20" t="n">
        <v>0</v>
      </c>
      <c r="H84" s="20" t="n">
        <v>2</v>
      </c>
      <c r="I84" s="20" t="n">
        <v>182</v>
      </c>
      <c r="J84" s="20" t="n">
        <v>0</v>
      </c>
      <c r="K84" s="21" t="n">
        <v>0</v>
      </c>
      <c r="L84" s="20" t="n">
        <v>1</v>
      </c>
      <c r="M84" s="20" t="n">
        <v>0</v>
      </c>
      <c r="N84" s="20" t="n">
        <v>3</v>
      </c>
      <c r="O84" s="20" t="n">
        <v>0</v>
      </c>
      <c r="P84" s="22" t="s">
        <v>104</v>
      </c>
    </row>
    <row r="85" customFormat="false" ht="15" hidden="false" customHeight="false" outlineLevel="0" collapsed="false">
      <c r="A85" s="19" t="n">
        <v>84</v>
      </c>
      <c r="B85" s="20" t="n">
        <v>68</v>
      </c>
      <c r="C85" s="20" t="n">
        <v>1</v>
      </c>
      <c r="D85" s="20" t="n">
        <v>3</v>
      </c>
      <c r="E85" s="20" t="n">
        <v>180</v>
      </c>
      <c r="F85" s="20" t="n">
        <v>274</v>
      </c>
      <c r="G85" s="20" t="n">
        <v>1</v>
      </c>
      <c r="H85" s="20" t="n">
        <v>2</v>
      </c>
      <c r="I85" s="20" t="n">
        <v>150</v>
      </c>
      <c r="J85" s="20" t="n">
        <v>1</v>
      </c>
      <c r="K85" s="21" t="n">
        <v>1.6</v>
      </c>
      <c r="L85" s="20" t="n">
        <v>2</v>
      </c>
      <c r="M85" s="20" t="n">
        <v>0</v>
      </c>
      <c r="N85" s="20" t="n">
        <v>7</v>
      </c>
      <c r="O85" s="20" t="n">
        <v>3</v>
      </c>
      <c r="P85" s="22" t="s">
        <v>104</v>
      </c>
    </row>
    <row r="86" customFormat="false" ht="15" hidden="false" customHeight="false" outlineLevel="0" collapsed="false">
      <c r="A86" s="19" t="n">
        <v>85</v>
      </c>
      <c r="B86" s="20" t="n">
        <v>52</v>
      </c>
      <c r="C86" s="20" t="n">
        <v>1</v>
      </c>
      <c r="D86" s="20" t="n">
        <v>2</v>
      </c>
      <c r="E86" s="20" t="n">
        <v>120</v>
      </c>
      <c r="F86" s="20" t="n">
        <v>325</v>
      </c>
      <c r="G86" s="20" t="n">
        <v>0</v>
      </c>
      <c r="H86" s="20" t="n">
        <v>0</v>
      </c>
      <c r="I86" s="20" t="n">
        <v>172</v>
      </c>
      <c r="J86" s="20" t="n">
        <v>0</v>
      </c>
      <c r="K86" s="21" t="n">
        <v>0.2</v>
      </c>
      <c r="L86" s="20" t="n">
        <v>1</v>
      </c>
      <c r="M86" s="20" t="n">
        <v>0</v>
      </c>
      <c r="N86" s="20" t="n">
        <v>3</v>
      </c>
      <c r="O86" s="20" t="n">
        <v>0</v>
      </c>
      <c r="P86" s="22" t="s">
        <v>104</v>
      </c>
    </row>
    <row r="87" customFormat="false" ht="15" hidden="false" customHeight="false" outlineLevel="0" collapsed="false">
      <c r="A87" s="19" t="n">
        <v>86</v>
      </c>
      <c r="B87" s="20" t="n">
        <v>44</v>
      </c>
      <c r="C87" s="20" t="n">
        <v>1</v>
      </c>
      <c r="D87" s="20" t="n">
        <v>3</v>
      </c>
      <c r="E87" s="20" t="n">
        <v>140</v>
      </c>
      <c r="F87" s="20" t="n">
        <v>235</v>
      </c>
      <c r="G87" s="20" t="n">
        <v>0</v>
      </c>
      <c r="H87" s="20" t="n">
        <v>2</v>
      </c>
      <c r="I87" s="20" t="n">
        <v>180</v>
      </c>
      <c r="J87" s="20" t="n">
        <v>0</v>
      </c>
      <c r="K87" s="21" t="n">
        <v>0</v>
      </c>
      <c r="L87" s="20" t="n">
        <v>1</v>
      </c>
      <c r="M87" s="20" t="n">
        <v>0</v>
      </c>
      <c r="N87" s="20" t="n">
        <v>3</v>
      </c>
      <c r="O87" s="20" t="n">
        <v>0</v>
      </c>
      <c r="P87" s="22" t="s">
        <v>104</v>
      </c>
    </row>
    <row r="88" customFormat="false" ht="15" hidden="false" customHeight="false" outlineLevel="0" collapsed="false">
      <c r="A88" s="19" t="n">
        <v>87</v>
      </c>
      <c r="B88" s="20" t="n">
        <v>47</v>
      </c>
      <c r="C88" s="20" t="n">
        <v>1</v>
      </c>
      <c r="D88" s="20" t="n">
        <v>3</v>
      </c>
      <c r="E88" s="20" t="n">
        <v>138</v>
      </c>
      <c r="F88" s="20" t="n">
        <v>257</v>
      </c>
      <c r="G88" s="20" t="n">
        <v>0</v>
      </c>
      <c r="H88" s="20" t="n">
        <v>2</v>
      </c>
      <c r="I88" s="20" t="n">
        <v>156</v>
      </c>
      <c r="J88" s="20" t="n">
        <v>0</v>
      </c>
      <c r="K88" s="21" t="n">
        <v>0</v>
      </c>
      <c r="L88" s="20" t="n">
        <v>1</v>
      </c>
      <c r="M88" s="20" t="n">
        <v>0</v>
      </c>
      <c r="N88" s="20" t="n">
        <v>3</v>
      </c>
      <c r="O88" s="20" t="n">
        <v>0</v>
      </c>
      <c r="P88" s="22" t="s">
        <v>104</v>
      </c>
    </row>
    <row r="89" customFormat="false" ht="15" hidden="false" customHeight="false" outlineLevel="0" collapsed="false">
      <c r="A89" s="19" t="n">
        <v>88</v>
      </c>
      <c r="B89" s="20" t="n">
        <v>53</v>
      </c>
      <c r="C89" s="20" t="n">
        <v>0</v>
      </c>
      <c r="D89" s="20" t="n">
        <v>3</v>
      </c>
      <c r="E89" s="20" t="n">
        <v>128</v>
      </c>
      <c r="F89" s="20" t="n">
        <v>216</v>
      </c>
      <c r="G89" s="20" t="n">
        <v>0</v>
      </c>
      <c r="H89" s="20" t="n">
        <v>2</v>
      </c>
      <c r="I89" s="20" t="n">
        <v>115</v>
      </c>
      <c r="J89" s="20" t="n">
        <v>0</v>
      </c>
      <c r="K89" s="21" t="n">
        <v>0</v>
      </c>
      <c r="L89" s="20" t="n">
        <v>1</v>
      </c>
      <c r="M89" s="20" t="n">
        <v>0</v>
      </c>
      <c r="N89" s="20"/>
      <c r="O89" s="20" t="n">
        <v>0</v>
      </c>
      <c r="P89" s="22" t="s">
        <v>104</v>
      </c>
    </row>
    <row r="90" customFormat="false" ht="15" hidden="false" customHeight="false" outlineLevel="0" collapsed="false">
      <c r="A90" s="19" t="n">
        <v>89</v>
      </c>
      <c r="B90" s="20" t="n">
        <v>53</v>
      </c>
      <c r="C90" s="20" t="n">
        <v>0</v>
      </c>
      <c r="D90" s="20" t="n">
        <v>4</v>
      </c>
      <c r="E90" s="20" t="n">
        <v>138</v>
      </c>
      <c r="F90" s="20" t="n">
        <v>234</v>
      </c>
      <c r="G90" s="20" t="n">
        <v>0</v>
      </c>
      <c r="H90" s="20" t="n">
        <v>2</v>
      </c>
      <c r="I90" s="20" t="n">
        <v>160</v>
      </c>
      <c r="J90" s="20" t="n">
        <v>0</v>
      </c>
      <c r="K90" s="21" t="n">
        <v>0</v>
      </c>
      <c r="L90" s="20" t="n">
        <v>1</v>
      </c>
      <c r="M90" s="20" t="n">
        <v>0</v>
      </c>
      <c r="N90" s="20" t="n">
        <v>3</v>
      </c>
      <c r="O90" s="20" t="n">
        <v>0</v>
      </c>
      <c r="P90" s="22" t="s">
        <v>104</v>
      </c>
    </row>
    <row r="91" customFormat="false" ht="15" hidden="false" customHeight="false" outlineLevel="0" collapsed="false">
      <c r="A91" s="19" t="n">
        <v>90</v>
      </c>
      <c r="B91" s="20" t="n">
        <v>51</v>
      </c>
      <c r="C91" s="20" t="n">
        <v>0</v>
      </c>
      <c r="D91" s="20" t="n">
        <v>3</v>
      </c>
      <c r="E91" s="20" t="n">
        <v>130</v>
      </c>
      <c r="F91" s="20" t="n">
        <v>256</v>
      </c>
      <c r="G91" s="20" t="n">
        <v>0</v>
      </c>
      <c r="H91" s="20" t="n">
        <v>2</v>
      </c>
      <c r="I91" s="20" t="n">
        <v>149</v>
      </c>
      <c r="J91" s="20" t="n">
        <v>0</v>
      </c>
      <c r="K91" s="21" t="n">
        <v>0.5</v>
      </c>
      <c r="L91" s="20" t="n">
        <v>1</v>
      </c>
      <c r="M91" s="20" t="n">
        <v>0</v>
      </c>
      <c r="N91" s="20" t="n">
        <v>3</v>
      </c>
      <c r="O91" s="20" t="n">
        <v>0</v>
      </c>
      <c r="P91" s="22" t="s">
        <v>104</v>
      </c>
    </row>
    <row r="92" customFormat="false" ht="15" hidden="false" customHeight="false" outlineLevel="0" collapsed="false">
      <c r="A92" s="19" t="n">
        <v>91</v>
      </c>
      <c r="B92" s="20" t="n">
        <v>66</v>
      </c>
      <c r="C92" s="20" t="n">
        <v>1</v>
      </c>
      <c r="D92" s="20" t="n">
        <v>4</v>
      </c>
      <c r="E92" s="20" t="n">
        <v>120</v>
      </c>
      <c r="F92" s="20" t="n">
        <v>302</v>
      </c>
      <c r="G92" s="20" t="n">
        <v>0</v>
      </c>
      <c r="H92" s="20" t="n">
        <v>2</v>
      </c>
      <c r="I92" s="20" t="n">
        <v>151</v>
      </c>
      <c r="J92" s="20" t="n">
        <v>0</v>
      </c>
      <c r="K92" s="21" t="n">
        <v>0.4</v>
      </c>
      <c r="L92" s="20" t="n">
        <v>2</v>
      </c>
      <c r="M92" s="20" t="n">
        <v>0</v>
      </c>
      <c r="N92" s="20" t="n">
        <v>3</v>
      </c>
      <c r="O92" s="20" t="n">
        <v>0</v>
      </c>
      <c r="P92" s="22" t="s">
        <v>104</v>
      </c>
    </row>
    <row r="93" customFormat="false" ht="15" hidden="false" customHeight="false" outlineLevel="0" collapsed="false">
      <c r="A93" s="19" t="n">
        <v>92</v>
      </c>
      <c r="B93" s="20" t="n">
        <v>62</v>
      </c>
      <c r="C93" s="20" t="n">
        <v>0</v>
      </c>
      <c r="D93" s="20" t="n">
        <v>4</v>
      </c>
      <c r="E93" s="20" t="n">
        <v>160</v>
      </c>
      <c r="F93" s="20" t="n">
        <v>164</v>
      </c>
      <c r="G93" s="20" t="n">
        <v>0</v>
      </c>
      <c r="H93" s="20" t="n">
        <v>2</v>
      </c>
      <c r="I93" s="20" t="n">
        <v>145</v>
      </c>
      <c r="J93" s="20" t="n">
        <v>0</v>
      </c>
      <c r="K93" s="21" t="n">
        <v>6.2</v>
      </c>
      <c r="L93" s="20" t="n">
        <v>3</v>
      </c>
      <c r="M93" s="20" t="n">
        <v>3</v>
      </c>
      <c r="N93" s="20" t="n">
        <v>7</v>
      </c>
      <c r="O93" s="20" t="n">
        <v>3</v>
      </c>
      <c r="P93" s="22" t="s">
        <v>104</v>
      </c>
    </row>
    <row r="94" customFormat="false" ht="15" hidden="false" customHeight="false" outlineLevel="0" collapsed="false">
      <c r="A94" s="19" t="n">
        <v>93</v>
      </c>
      <c r="B94" s="20" t="n">
        <v>62</v>
      </c>
      <c r="C94" s="20" t="n">
        <v>1</v>
      </c>
      <c r="D94" s="20" t="n">
        <v>3</v>
      </c>
      <c r="E94" s="20" t="n">
        <v>130</v>
      </c>
      <c r="F94" s="20" t="n">
        <v>231</v>
      </c>
      <c r="G94" s="20" t="n">
        <v>0</v>
      </c>
      <c r="H94" s="20" t="n">
        <v>0</v>
      </c>
      <c r="I94" s="20" t="n">
        <v>146</v>
      </c>
      <c r="J94" s="20" t="n">
        <v>0</v>
      </c>
      <c r="K94" s="21" t="n">
        <v>1.8</v>
      </c>
      <c r="L94" s="20" t="n">
        <v>2</v>
      </c>
      <c r="M94" s="20" t="n">
        <v>3</v>
      </c>
      <c r="N94" s="20" t="n">
        <v>7</v>
      </c>
      <c r="O94" s="20" t="n">
        <v>0</v>
      </c>
      <c r="P94" s="22" t="s">
        <v>104</v>
      </c>
    </row>
    <row r="95" customFormat="false" ht="15" hidden="false" customHeight="false" outlineLevel="0" collapsed="false">
      <c r="A95" s="19" t="n">
        <v>94</v>
      </c>
      <c r="B95" s="20" t="n">
        <v>44</v>
      </c>
      <c r="C95" s="20" t="n">
        <v>0</v>
      </c>
      <c r="D95" s="20" t="n">
        <v>3</v>
      </c>
      <c r="E95" s="20" t="n">
        <v>108</v>
      </c>
      <c r="F95" s="20" t="n">
        <v>141</v>
      </c>
      <c r="G95" s="20" t="n">
        <v>0</v>
      </c>
      <c r="H95" s="20" t="n">
        <v>0</v>
      </c>
      <c r="I95" s="20" t="n">
        <v>175</v>
      </c>
      <c r="J95" s="20" t="n">
        <v>0</v>
      </c>
      <c r="K95" s="21" t="n">
        <v>0.6</v>
      </c>
      <c r="L95" s="20" t="n">
        <v>2</v>
      </c>
      <c r="M95" s="20" t="n">
        <v>0</v>
      </c>
      <c r="N95" s="20" t="n">
        <v>3</v>
      </c>
      <c r="O95" s="20" t="n">
        <v>0</v>
      </c>
      <c r="P95" s="22" t="s">
        <v>104</v>
      </c>
    </row>
    <row r="96" customFormat="false" ht="15" hidden="false" customHeight="false" outlineLevel="0" collapsed="false">
      <c r="A96" s="19" t="n">
        <v>95</v>
      </c>
      <c r="B96" s="20" t="n">
        <v>63</v>
      </c>
      <c r="C96" s="20" t="n">
        <v>0</v>
      </c>
      <c r="D96" s="20" t="n">
        <v>3</v>
      </c>
      <c r="E96" s="20" t="n">
        <v>135</v>
      </c>
      <c r="F96" s="20" t="n">
        <v>252</v>
      </c>
      <c r="G96" s="20" t="n">
        <v>0</v>
      </c>
      <c r="H96" s="20" t="n">
        <v>2</v>
      </c>
      <c r="I96" s="20" t="n">
        <v>172</v>
      </c>
      <c r="J96" s="20" t="n">
        <v>0</v>
      </c>
      <c r="K96" s="21" t="n">
        <v>0</v>
      </c>
      <c r="L96" s="20" t="n">
        <v>1</v>
      </c>
      <c r="M96" s="20" t="n">
        <v>0</v>
      </c>
      <c r="N96" s="20" t="n">
        <v>3</v>
      </c>
      <c r="O96" s="20" t="n">
        <v>0</v>
      </c>
      <c r="P96" s="22" t="s">
        <v>104</v>
      </c>
    </row>
    <row r="97" customFormat="false" ht="15" hidden="false" customHeight="false" outlineLevel="0" collapsed="false">
      <c r="A97" s="19" t="n">
        <v>96</v>
      </c>
      <c r="B97" s="20" t="n">
        <v>52</v>
      </c>
      <c r="C97" s="20" t="n">
        <v>1</v>
      </c>
      <c r="D97" s="20" t="n">
        <v>4</v>
      </c>
      <c r="E97" s="20" t="n">
        <v>128</v>
      </c>
      <c r="F97" s="20" t="n">
        <v>255</v>
      </c>
      <c r="G97" s="20" t="n">
        <v>0</v>
      </c>
      <c r="H97" s="20" t="n">
        <v>0</v>
      </c>
      <c r="I97" s="20" t="n">
        <v>161</v>
      </c>
      <c r="J97" s="20" t="n">
        <v>1</v>
      </c>
      <c r="K97" s="21" t="n">
        <v>0</v>
      </c>
      <c r="L97" s="20" t="n">
        <v>1</v>
      </c>
      <c r="M97" s="20" t="n">
        <v>1</v>
      </c>
      <c r="N97" s="20" t="n">
        <v>7</v>
      </c>
      <c r="O97" s="20" t="n">
        <v>1</v>
      </c>
      <c r="P97" s="22" t="s">
        <v>104</v>
      </c>
    </row>
    <row r="98" customFormat="false" ht="15" hidden="false" customHeight="false" outlineLevel="0" collapsed="false">
      <c r="A98" s="19" t="n">
        <v>97</v>
      </c>
      <c r="B98" s="20" t="n">
        <v>59</v>
      </c>
      <c r="C98" s="20" t="n">
        <v>1</v>
      </c>
      <c r="D98" s="20" t="n">
        <v>4</v>
      </c>
      <c r="E98" s="20" t="n">
        <v>110</v>
      </c>
      <c r="F98" s="20" t="n">
        <v>239</v>
      </c>
      <c r="G98" s="20" t="n">
        <v>0</v>
      </c>
      <c r="H98" s="20" t="n">
        <v>2</v>
      </c>
      <c r="I98" s="20" t="n">
        <v>142</v>
      </c>
      <c r="J98" s="20" t="n">
        <v>1</v>
      </c>
      <c r="K98" s="21" t="n">
        <v>1.2</v>
      </c>
      <c r="L98" s="20" t="n">
        <v>2</v>
      </c>
      <c r="M98" s="20" t="n">
        <v>1</v>
      </c>
      <c r="N98" s="20" t="n">
        <v>7</v>
      </c>
      <c r="O98" s="20" t="n">
        <v>2</v>
      </c>
      <c r="P98" s="22" t="s">
        <v>104</v>
      </c>
    </row>
    <row r="99" customFormat="false" ht="15" hidden="false" customHeight="false" outlineLevel="0" collapsed="false">
      <c r="A99" s="19" t="n">
        <v>98</v>
      </c>
      <c r="B99" s="20" t="n">
        <v>60</v>
      </c>
      <c r="C99" s="20" t="n">
        <v>0</v>
      </c>
      <c r="D99" s="20" t="n">
        <v>4</v>
      </c>
      <c r="E99" s="20" t="n">
        <v>150</v>
      </c>
      <c r="F99" s="20" t="n">
        <v>258</v>
      </c>
      <c r="G99" s="20" t="n">
        <v>0</v>
      </c>
      <c r="H99" s="20" t="n">
        <v>2</v>
      </c>
      <c r="I99" s="20" t="n">
        <v>157</v>
      </c>
      <c r="J99" s="20" t="n">
        <v>0</v>
      </c>
      <c r="K99" s="21" t="n">
        <v>2.6</v>
      </c>
      <c r="L99" s="20" t="n">
        <v>2</v>
      </c>
      <c r="M99" s="20" t="n">
        <v>2</v>
      </c>
      <c r="N99" s="20" t="n">
        <v>7</v>
      </c>
      <c r="O99" s="20" t="n">
        <v>3</v>
      </c>
      <c r="P99" s="22" t="s">
        <v>104</v>
      </c>
    </row>
    <row r="100" customFormat="false" ht="15" hidden="false" customHeight="false" outlineLevel="0" collapsed="false">
      <c r="A100" s="19" t="n">
        <v>99</v>
      </c>
      <c r="B100" s="20" t="n">
        <v>52</v>
      </c>
      <c r="C100" s="20" t="n">
        <v>1</v>
      </c>
      <c r="D100" s="20" t="n">
        <v>2</v>
      </c>
      <c r="E100" s="20" t="n">
        <v>134</v>
      </c>
      <c r="F100" s="20" t="n">
        <v>201</v>
      </c>
      <c r="G100" s="20" t="n">
        <v>0</v>
      </c>
      <c r="H100" s="20" t="n">
        <v>0</v>
      </c>
      <c r="I100" s="20" t="n">
        <v>158</v>
      </c>
      <c r="J100" s="20" t="n">
        <v>0</v>
      </c>
      <c r="K100" s="21" t="n">
        <v>0.8</v>
      </c>
      <c r="L100" s="20" t="n">
        <v>1</v>
      </c>
      <c r="M100" s="20" t="n">
        <v>1</v>
      </c>
      <c r="N100" s="20" t="n">
        <v>3</v>
      </c>
      <c r="O100" s="20" t="n">
        <v>0</v>
      </c>
      <c r="P100" s="22" t="s">
        <v>104</v>
      </c>
    </row>
    <row r="101" customFormat="false" ht="15" hidden="false" customHeight="false" outlineLevel="0" collapsed="false">
      <c r="A101" s="19" t="n">
        <v>100</v>
      </c>
      <c r="B101" s="20" t="n">
        <v>48</v>
      </c>
      <c r="C101" s="20" t="n">
        <v>1</v>
      </c>
      <c r="D101" s="20" t="n">
        <v>4</v>
      </c>
      <c r="E101" s="20" t="n">
        <v>122</v>
      </c>
      <c r="F101" s="20" t="n">
        <v>222</v>
      </c>
      <c r="G101" s="20" t="n">
        <v>0</v>
      </c>
      <c r="H101" s="20" t="n">
        <v>2</v>
      </c>
      <c r="I101" s="20" t="n">
        <v>186</v>
      </c>
      <c r="J101" s="20" t="n">
        <v>0</v>
      </c>
      <c r="K101" s="21" t="n">
        <v>0</v>
      </c>
      <c r="L101" s="20" t="n">
        <v>1</v>
      </c>
      <c r="M101" s="20" t="n">
        <v>0</v>
      </c>
      <c r="N101" s="20" t="n">
        <v>3</v>
      </c>
      <c r="O101" s="20" t="n">
        <v>0</v>
      </c>
      <c r="P101" s="22" t="s">
        <v>104</v>
      </c>
    </row>
    <row r="102" customFormat="false" ht="15" hidden="false" customHeight="false" outlineLevel="0" collapsed="false">
      <c r="A102" s="19" t="n">
        <v>101</v>
      </c>
      <c r="B102" s="20" t="n">
        <v>45</v>
      </c>
      <c r="C102" s="20" t="n">
        <v>1</v>
      </c>
      <c r="D102" s="20" t="n">
        <v>4</v>
      </c>
      <c r="E102" s="20" t="n">
        <v>115</v>
      </c>
      <c r="F102" s="20" t="n">
        <v>260</v>
      </c>
      <c r="G102" s="20" t="n">
        <v>0</v>
      </c>
      <c r="H102" s="20" t="n">
        <v>2</v>
      </c>
      <c r="I102" s="20" t="n">
        <v>185</v>
      </c>
      <c r="J102" s="20" t="n">
        <v>0</v>
      </c>
      <c r="K102" s="21" t="n">
        <v>0</v>
      </c>
      <c r="L102" s="20" t="n">
        <v>1</v>
      </c>
      <c r="M102" s="20" t="n">
        <v>0</v>
      </c>
      <c r="N102" s="20" t="n">
        <v>3</v>
      </c>
      <c r="O102" s="20" t="n">
        <v>0</v>
      </c>
      <c r="P102" s="22" t="s">
        <v>104</v>
      </c>
    </row>
    <row r="103" customFormat="false" ht="15" hidden="false" customHeight="false" outlineLevel="0" collapsed="false">
      <c r="A103" s="19" t="n">
        <v>102</v>
      </c>
      <c r="B103" s="20" t="n">
        <v>34</v>
      </c>
      <c r="C103" s="20" t="n">
        <v>1</v>
      </c>
      <c r="D103" s="20" t="n">
        <v>1</v>
      </c>
      <c r="E103" s="20" t="n">
        <v>118</v>
      </c>
      <c r="F103" s="20" t="n">
        <v>182</v>
      </c>
      <c r="G103" s="20" t="n">
        <v>0</v>
      </c>
      <c r="H103" s="20" t="n">
        <v>2</v>
      </c>
      <c r="I103" s="20" t="n">
        <v>174</v>
      </c>
      <c r="J103" s="20" t="n">
        <v>0</v>
      </c>
      <c r="K103" s="21" t="n">
        <v>0</v>
      </c>
      <c r="L103" s="20" t="n">
        <v>1</v>
      </c>
      <c r="M103" s="20" t="n">
        <v>0</v>
      </c>
      <c r="N103" s="20" t="n">
        <v>3</v>
      </c>
      <c r="O103" s="20" t="n">
        <v>0</v>
      </c>
      <c r="P103" s="22" t="s">
        <v>104</v>
      </c>
    </row>
    <row r="104" customFormat="false" ht="15" hidden="false" customHeight="false" outlineLevel="0" collapsed="false">
      <c r="A104" s="19" t="n">
        <v>103</v>
      </c>
      <c r="B104" s="20" t="n">
        <v>57</v>
      </c>
      <c r="C104" s="20" t="n">
        <v>0</v>
      </c>
      <c r="D104" s="20" t="n">
        <v>4</v>
      </c>
      <c r="E104" s="20" t="n">
        <v>128</v>
      </c>
      <c r="F104" s="20" t="n">
        <v>303</v>
      </c>
      <c r="G104" s="20" t="n">
        <v>0</v>
      </c>
      <c r="H104" s="20" t="n">
        <v>2</v>
      </c>
      <c r="I104" s="20" t="n">
        <v>159</v>
      </c>
      <c r="J104" s="20" t="n">
        <v>0</v>
      </c>
      <c r="K104" s="21" t="n">
        <v>0</v>
      </c>
      <c r="L104" s="20" t="n">
        <v>1</v>
      </c>
      <c r="M104" s="20" t="n">
        <v>1</v>
      </c>
      <c r="N104" s="20" t="n">
        <v>3</v>
      </c>
      <c r="O104" s="20" t="n">
        <v>0</v>
      </c>
      <c r="P104" s="22" t="s">
        <v>104</v>
      </c>
    </row>
    <row r="105" customFormat="false" ht="15" hidden="false" customHeight="false" outlineLevel="0" collapsed="false">
      <c r="A105" s="19" t="n">
        <v>104</v>
      </c>
      <c r="B105" s="20" t="n">
        <v>71</v>
      </c>
      <c r="C105" s="20" t="n">
        <v>0</v>
      </c>
      <c r="D105" s="20" t="n">
        <v>3</v>
      </c>
      <c r="E105" s="20" t="n">
        <v>110</v>
      </c>
      <c r="F105" s="20" t="n">
        <v>265</v>
      </c>
      <c r="G105" s="20" t="n">
        <v>1</v>
      </c>
      <c r="H105" s="20" t="n">
        <v>2</v>
      </c>
      <c r="I105" s="20" t="n">
        <v>130</v>
      </c>
      <c r="J105" s="20" t="n">
        <v>0</v>
      </c>
      <c r="K105" s="21" t="n">
        <v>0</v>
      </c>
      <c r="L105" s="20" t="n">
        <v>1</v>
      </c>
      <c r="M105" s="20" t="n">
        <v>1</v>
      </c>
      <c r="N105" s="20" t="n">
        <v>3</v>
      </c>
      <c r="O105" s="20" t="n">
        <v>0</v>
      </c>
      <c r="P105" s="22" t="s">
        <v>104</v>
      </c>
    </row>
    <row r="106" customFormat="false" ht="15" hidden="false" customHeight="false" outlineLevel="0" collapsed="false">
      <c r="A106" s="19" t="n">
        <v>105</v>
      </c>
      <c r="B106" s="20" t="n">
        <v>49</v>
      </c>
      <c r="C106" s="20" t="n">
        <v>1</v>
      </c>
      <c r="D106" s="20" t="n">
        <v>3</v>
      </c>
      <c r="E106" s="20" t="n">
        <v>120</v>
      </c>
      <c r="F106" s="20" t="n">
        <v>188</v>
      </c>
      <c r="G106" s="20" t="n">
        <v>0</v>
      </c>
      <c r="H106" s="20" t="n">
        <v>0</v>
      </c>
      <c r="I106" s="20" t="n">
        <v>139</v>
      </c>
      <c r="J106" s="20" t="n">
        <v>0</v>
      </c>
      <c r="K106" s="21" t="n">
        <v>2</v>
      </c>
      <c r="L106" s="20" t="n">
        <v>2</v>
      </c>
      <c r="M106" s="20" t="n">
        <v>3</v>
      </c>
      <c r="N106" s="20" t="n">
        <v>7</v>
      </c>
      <c r="O106" s="20" t="n">
        <v>3</v>
      </c>
      <c r="P106" s="22" t="s">
        <v>104</v>
      </c>
    </row>
    <row r="107" customFormat="false" ht="15" hidden="false" customHeight="false" outlineLevel="0" collapsed="false">
      <c r="A107" s="19" t="n">
        <v>106</v>
      </c>
      <c r="B107" s="20" t="n">
        <v>54</v>
      </c>
      <c r="C107" s="20" t="n">
        <v>1</v>
      </c>
      <c r="D107" s="20" t="n">
        <v>2</v>
      </c>
      <c r="E107" s="20" t="n">
        <v>108</v>
      </c>
      <c r="F107" s="20" t="n">
        <v>309</v>
      </c>
      <c r="G107" s="20" t="n">
        <v>0</v>
      </c>
      <c r="H107" s="20" t="n">
        <v>0</v>
      </c>
      <c r="I107" s="20" t="n">
        <v>156</v>
      </c>
      <c r="J107" s="20" t="n">
        <v>0</v>
      </c>
      <c r="K107" s="21" t="n">
        <v>0</v>
      </c>
      <c r="L107" s="20" t="n">
        <v>1</v>
      </c>
      <c r="M107" s="20" t="n">
        <v>0</v>
      </c>
      <c r="N107" s="20" t="n">
        <v>7</v>
      </c>
      <c r="O107" s="20" t="n">
        <v>0</v>
      </c>
      <c r="P107" s="22" t="s">
        <v>104</v>
      </c>
    </row>
    <row r="108" customFormat="false" ht="15" hidden="false" customHeight="false" outlineLevel="0" collapsed="false">
      <c r="A108" s="19" t="n">
        <v>107</v>
      </c>
      <c r="B108" s="20" t="n">
        <v>59</v>
      </c>
      <c r="C108" s="20" t="n">
        <v>1</v>
      </c>
      <c r="D108" s="20" t="n">
        <v>4</v>
      </c>
      <c r="E108" s="20" t="n">
        <v>140</v>
      </c>
      <c r="F108" s="20" t="n">
        <v>177</v>
      </c>
      <c r="G108" s="20" t="n">
        <v>0</v>
      </c>
      <c r="H108" s="20" t="n">
        <v>0</v>
      </c>
      <c r="I108" s="20" t="n">
        <v>162</v>
      </c>
      <c r="J108" s="20" t="n">
        <v>1</v>
      </c>
      <c r="K108" s="21" t="n">
        <v>0</v>
      </c>
      <c r="L108" s="20" t="n">
        <v>1</v>
      </c>
      <c r="M108" s="20" t="n">
        <v>1</v>
      </c>
      <c r="N108" s="20" t="n">
        <v>7</v>
      </c>
      <c r="O108" s="20" t="n">
        <v>2</v>
      </c>
      <c r="P108" s="22" t="s">
        <v>104</v>
      </c>
    </row>
    <row r="109" customFormat="false" ht="15" hidden="false" customHeight="false" outlineLevel="0" collapsed="false">
      <c r="A109" s="19" t="n">
        <v>108</v>
      </c>
      <c r="B109" s="20" t="n">
        <v>57</v>
      </c>
      <c r="C109" s="20" t="n">
        <v>1</v>
      </c>
      <c r="D109" s="20" t="n">
        <v>3</v>
      </c>
      <c r="E109" s="20" t="n">
        <v>128</v>
      </c>
      <c r="F109" s="20" t="n">
        <v>229</v>
      </c>
      <c r="G109" s="20" t="n">
        <v>0</v>
      </c>
      <c r="H109" s="20" t="n">
        <v>2</v>
      </c>
      <c r="I109" s="20" t="n">
        <v>150</v>
      </c>
      <c r="J109" s="20" t="n">
        <v>0</v>
      </c>
      <c r="K109" s="21" t="n">
        <v>0.4</v>
      </c>
      <c r="L109" s="20" t="n">
        <v>2</v>
      </c>
      <c r="M109" s="20" t="n">
        <v>1</v>
      </c>
      <c r="N109" s="20" t="n">
        <v>7</v>
      </c>
      <c r="O109" s="20" t="n">
        <v>1</v>
      </c>
      <c r="P109" s="22" t="s">
        <v>104</v>
      </c>
    </row>
    <row r="110" customFormat="false" ht="15" hidden="false" customHeight="false" outlineLevel="0" collapsed="false">
      <c r="A110" s="19" t="n">
        <v>109</v>
      </c>
      <c r="B110" s="20" t="n">
        <v>61</v>
      </c>
      <c r="C110" s="20" t="n">
        <v>1</v>
      </c>
      <c r="D110" s="20" t="n">
        <v>4</v>
      </c>
      <c r="E110" s="20" t="n">
        <v>120</v>
      </c>
      <c r="F110" s="20" t="n">
        <v>260</v>
      </c>
      <c r="G110" s="20" t="n">
        <v>0</v>
      </c>
      <c r="H110" s="20" t="n">
        <v>0</v>
      </c>
      <c r="I110" s="20" t="n">
        <v>140</v>
      </c>
      <c r="J110" s="20" t="n">
        <v>1</v>
      </c>
      <c r="K110" s="21" t="n">
        <v>3.6</v>
      </c>
      <c r="L110" s="20" t="n">
        <v>2</v>
      </c>
      <c r="M110" s="20" t="n">
        <v>1</v>
      </c>
      <c r="N110" s="20" t="n">
        <v>7</v>
      </c>
      <c r="O110" s="20" t="n">
        <v>2</v>
      </c>
      <c r="P110" s="22" t="s">
        <v>104</v>
      </c>
    </row>
    <row r="111" customFormat="false" ht="15" hidden="false" customHeight="false" outlineLevel="0" collapsed="false">
      <c r="A111" s="19" t="n">
        <v>110</v>
      </c>
      <c r="B111" s="20" t="n">
        <v>39</v>
      </c>
      <c r="C111" s="20" t="n">
        <v>1</v>
      </c>
      <c r="D111" s="20" t="n">
        <v>4</v>
      </c>
      <c r="E111" s="20" t="n">
        <v>118</v>
      </c>
      <c r="F111" s="20" t="n">
        <v>219</v>
      </c>
      <c r="G111" s="20" t="n">
        <v>0</v>
      </c>
      <c r="H111" s="20" t="n">
        <v>0</v>
      </c>
      <c r="I111" s="20" t="n">
        <v>140</v>
      </c>
      <c r="J111" s="20" t="n">
        <v>0</v>
      </c>
      <c r="K111" s="21" t="n">
        <v>1.2</v>
      </c>
      <c r="L111" s="20" t="n">
        <v>2</v>
      </c>
      <c r="M111" s="20" t="n">
        <v>0</v>
      </c>
      <c r="N111" s="20" t="n">
        <v>7</v>
      </c>
      <c r="O111" s="20" t="n">
        <v>3</v>
      </c>
      <c r="P111" s="22" t="s">
        <v>104</v>
      </c>
    </row>
    <row r="112" customFormat="false" ht="15" hidden="false" customHeight="false" outlineLevel="0" collapsed="false">
      <c r="A112" s="19" t="n">
        <v>111</v>
      </c>
      <c r="B112" s="20" t="n">
        <v>61</v>
      </c>
      <c r="C112" s="20" t="n">
        <v>0</v>
      </c>
      <c r="D112" s="20" t="n">
        <v>4</v>
      </c>
      <c r="E112" s="20" t="n">
        <v>145</v>
      </c>
      <c r="F112" s="20" t="n">
        <v>307</v>
      </c>
      <c r="G112" s="20" t="n">
        <v>0</v>
      </c>
      <c r="H112" s="20" t="n">
        <v>2</v>
      </c>
      <c r="I112" s="20" t="n">
        <v>146</v>
      </c>
      <c r="J112" s="20" t="n">
        <v>1</v>
      </c>
      <c r="K112" s="21" t="n">
        <v>1</v>
      </c>
      <c r="L112" s="20" t="n">
        <v>2</v>
      </c>
      <c r="M112" s="20" t="n">
        <v>0</v>
      </c>
      <c r="N112" s="20" t="n">
        <v>7</v>
      </c>
      <c r="O112" s="20" t="n">
        <v>1</v>
      </c>
      <c r="P112" s="22" t="s">
        <v>104</v>
      </c>
    </row>
    <row r="113" customFormat="false" ht="15" hidden="false" customHeight="false" outlineLevel="0" collapsed="false">
      <c r="A113" s="19" t="n">
        <v>112</v>
      </c>
      <c r="B113" s="20" t="n">
        <v>56</v>
      </c>
      <c r="C113" s="20" t="n">
        <v>1</v>
      </c>
      <c r="D113" s="20" t="n">
        <v>4</v>
      </c>
      <c r="E113" s="20" t="n">
        <v>125</v>
      </c>
      <c r="F113" s="20" t="n">
        <v>249</v>
      </c>
      <c r="G113" s="20" t="n">
        <v>1</v>
      </c>
      <c r="H113" s="20" t="n">
        <v>2</v>
      </c>
      <c r="I113" s="20" t="n">
        <v>144</v>
      </c>
      <c r="J113" s="20" t="n">
        <v>1</v>
      </c>
      <c r="K113" s="21" t="n">
        <v>1.2</v>
      </c>
      <c r="L113" s="20" t="n">
        <v>2</v>
      </c>
      <c r="M113" s="20" t="n">
        <v>1</v>
      </c>
      <c r="N113" s="20" t="n">
        <v>3</v>
      </c>
      <c r="O113" s="20" t="n">
        <v>1</v>
      </c>
      <c r="P113" s="22" t="s">
        <v>104</v>
      </c>
    </row>
    <row r="114" customFormat="false" ht="15" hidden="false" customHeight="false" outlineLevel="0" collapsed="false">
      <c r="A114" s="19" t="n">
        <v>113</v>
      </c>
      <c r="B114" s="20" t="n">
        <v>52</v>
      </c>
      <c r="C114" s="20" t="n">
        <v>1</v>
      </c>
      <c r="D114" s="20" t="n">
        <v>1</v>
      </c>
      <c r="E114" s="20" t="n">
        <v>118</v>
      </c>
      <c r="F114" s="20" t="n">
        <v>186</v>
      </c>
      <c r="G114" s="20" t="n">
        <v>0</v>
      </c>
      <c r="H114" s="20" t="n">
        <v>2</v>
      </c>
      <c r="I114" s="20" t="n">
        <v>190</v>
      </c>
      <c r="J114" s="20" t="n">
        <v>0</v>
      </c>
      <c r="K114" s="21" t="n">
        <v>0</v>
      </c>
      <c r="L114" s="20" t="n">
        <v>2</v>
      </c>
      <c r="M114" s="20" t="n">
        <v>0</v>
      </c>
      <c r="N114" s="20" t="n">
        <v>6</v>
      </c>
      <c r="O114" s="20" t="n">
        <v>0</v>
      </c>
      <c r="P114" s="22" t="s">
        <v>104</v>
      </c>
    </row>
    <row r="115" customFormat="false" ht="15" hidden="false" customHeight="false" outlineLevel="0" collapsed="false">
      <c r="A115" s="19" t="n">
        <v>114</v>
      </c>
      <c r="B115" s="20" t="n">
        <v>43</v>
      </c>
      <c r="C115" s="20" t="n">
        <v>0</v>
      </c>
      <c r="D115" s="20" t="n">
        <v>4</v>
      </c>
      <c r="E115" s="20" t="n">
        <v>132</v>
      </c>
      <c r="F115" s="20" t="n">
        <v>341</v>
      </c>
      <c r="G115" s="20" t="n">
        <v>1</v>
      </c>
      <c r="H115" s="20" t="n">
        <v>2</v>
      </c>
      <c r="I115" s="20" t="n">
        <v>136</v>
      </c>
      <c r="J115" s="20" t="n">
        <v>1</v>
      </c>
      <c r="K115" s="21" t="n">
        <v>3</v>
      </c>
      <c r="L115" s="20" t="n">
        <v>2</v>
      </c>
      <c r="M115" s="20" t="n">
        <v>0</v>
      </c>
      <c r="N115" s="20" t="n">
        <v>7</v>
      </c>
      <c r="O115" s="20" t="n">
        <v>2</v>
      </c>
      <c r="P115" s="22" t="s">
        <v>104</v>
      </c>
    </row>
    <row r="116" customFormat="false" ht="15" hidden="false" customHeight="false" outlineLevel="0" collapsed="false">
      <c r="A116" s="19" t="n">
        <v>115</v>
      </c>
      <c r="B116" s="20" t="n">
        <v>62</v>
      </c>
      <c r="C116" s="20" t="n">
        <v>0</v>
      </c>
      <c r="D116" s="20" t="n">
        <v>3</v>
      </c>
      <c r="E116" s="20" t="n">
        <v>130</v>
      </c>
      <c r="F116" s="20" t="n">
        <v>263</v>
      </c>
      <c r="G116" s="20" t="n">
        <v>0</v>
      </c>
      <c r="H116" s="20" t="n">
        <v>0</v>
      </c>
      <c r="I116" s="20" t="n">
        <v>97</v>
      </c>
      <c r="J116" s="20" t="n">
        <v>0</v>
      </c>
      <c r="K116" s="21" t="n">
        <v>1.2</v>
      </c>
      <c r="L116" s="20" t="n">
        <v>2</v>
      </c>
      <c r="M116" s="20" t="n">
        <v>1</v>
      </c>
      <c r="N116" s="20" t="n">
        <v>7</v>
      </c>
      <c r="O116" s="20" t="n">
        <v>2</v>
      </c>
      <c r="P116" s="22" t="s">
        <v>104</v>
      </c>
    </row>
    <row r="117" customFormat="false" ht="15" hidden="false" customHeight="false" outlineLevel="0" collapsed="false">
      <c r="A117" s="19" t="n">
        <v>116</v>
      </c>
      <c r="B117" s="20" t="n">
        <v>41</v>
      </c>
      <c r="C117" s="20" t="n">
        <v>1</v>
      </c>
      <c r="D117" s="20" t="n">
        <v>2</v>
      </c>
      <c r="E117" s="20" t="n">
        <v>135</v>
      </c>
      <c r="F117" s="20" t="n">
        <v>203</v>
      </c>
      <c r="G117" s="20" t="n">
        <v>0</v>
      </c>
      <c r="H117" s="20" t="n">
        <v>0</v>
      </c>
      <c r="I117" s="20" t="n">
        <v>132</v>
      </c>
      <c r="J117" s="20" t="n">
        <v>0</v>
      </c>
      <c r="K117" s="21" t="n">
        <v>0</v>
      </c>
      <c r="L117" s="20" t="n">
        <v>2</v>
      </c>
      <c r="M117" s="20" t="n">
        <v>0</v>
      </c>
      <c r="N117" s="20" t="n">
        <v>6</v>
      </c>
      <c r="O117" s="20" t="n">
        <v>0</v>
      </c>
      <c r="P117" s="22" t="s">
        <v>104</v>
      </c>
    </row>
    <row r="118" customFormat="false" ht="15" hidden="false" customHeight="false" outlineLevel="0" collapsed="false">
      <c r="A118" s="19" t="n">
        <v>117</v>
      </c>
      <c r="B118" s="20" t="n">
        <v>58</v>
      </c>
      <c r="C118" s="20" t="n">
        <v>1</v>
      </c>
      <c r="D118" s="20" t="n">
        <v>3</v>
      </c>
      <c r="E118" s="20" t="n">
        <v>140</v>
      </c>
      <c r="F118" s="20" t="n">
        <v>211</v>
      </c>
      <c r="G118" s="20" t="n">
        <v>1</v>
      </c>
      <c r="H118" s="20" t="n">
        <v>2</v>
      </c>
      <c r="I118" s="20" t="n">
        <v>165</v>
      </c>
      <c r="J118" s="20" t="n">
        <v>0</v>
      </c>
      <c r="K118" s="21" t="n">
        <v>0</v>
      </c>
      <c r="L118" s="20" t="n">
        <v>1</v>
      </c>
      <c r="M118" s="20" t="n">
        <v>0</v>
      </c>
      <c r="N118" s="20" t="n">
        <v>3</v>
      </c>
      <c r="O118" s="20" t="n">
        <v>0</v>
      </c>
      <c r="P118" s="22" t="s">
        <v>104</v>
      </c>
    </row>
    <row r="119" customFormat="false" ht="15" hidden="false" customHeight="false" outlineLevel="0" collapsed="false">
      <c r="A119" s="19" t="n">
        <v>118</v>
      </c>
      <c r="B119" s="20" t="n">
        <v>35</v>
      </c>
      <c r="C119" s="20" t="n">
        <v>0</v>
      </c>
      <c r="D119" s="20" t="n">
        <v>4</v>
      </c>
      <c r="E119" s="20" t="n">
        <v>138</v>
      </c>
      <c r="F119" s="20" t="n">
        <v>183</v>
      </c>
      <c r="G119" s="20" t="n">
        <v>0</v>
      </c>
      <c r="H119" s="20" t="n">
        <v>0</v>
      </c>
      <c r="I119" s="20" t="n">
        <v>182</v>
      </c>
      <c r="J119" s="20" t="n">
        <v>0</v>
      </c>
      <c r="K119" s="21" t="n">
        <v>1.4</v>
      </c>
      <c r="L119" s="20" t="n">
        <v>1</v>
      </c>
      <c r="M119" s="20" t="n">
        <v>0</v>
      </c>
      <c r="N119" s="20" t="n">
        <v>3</v>
      </c>
      <c r="O119" s="20" t="n">
        <v>0</v>
      </c>
      <c r="P119" s="22" t="s">
        <v>104</v>
      </c>
    </row>
    <row r="120" customFormat="false" ht="15" hidden="false" customHeight="false" outlineLevel="0" collapsed="false">
      <c r="A120" s="19" t="n">
        <v>119</v>
      </c>
      <c r="B120" s="20" t="n">
        <v>63</v>
      </c>
      <c r="C120" s="20" t="n">
        <v>1</v>
      </c>
      <c r="D120" s="20" t="n">
        <v>4</v>
      </c>
      <c r="E120" s="20" t="n">
        <v>130</v>
      </c>
      <c r="F120" s="20" t="n">
        <v>330</v>
      </c>
      <c r="G120" s="20" t="n">
        <v>1</v>
      </c>
      <c r="H120" s="20" t="n">
        <v>2</v>
      </c>
      <c r="I120" s="20" t="n">
        <v>132</v>
      </c>
      <c r="J120" s="20" t="n">
        <v>1</v>
      </c>
      <c r="K120" s="21" t="n">
        <v>1.8</v>
      </c>
      <c r="L120" s="20" t="n">
        <v>1</v>
      </c>
      <c r="M120" s="20" t="n">
        <v>3</v>
      </c>
      <c r="N120" s="20" t="n">
        <v>7</v>
      </c>
      <c r="O120" s="20" t="n">
        <v>3</v>
      </c>
      <c r="P120" s="22" t="s">
        <v>104</v>
      </c>
    </row>
    <row r="121" customFormat="false" ht="15" hidden="false" customHeight="false" outlineLevel="0" collapsed="false">
      <c r="A121" s="19" t="n">
        <v>120</v>
      </c>
      <c r="B121" s="20" t="n">
        <v>65</v>
      </c>
      <c r="C121" s="20" t="n">
        <v>1</v>
      </c>
      <c r="D121" s="20" t="n">
        <v>4</v>
      </c>
      <c r="E121" s="20" t="n">
        <v>135</v>
      </c>
      <c r="F121" s="20" t="n">
        <v>254</v>
      </c>
      <c r="G121" s="20" t="n">
        <v>0</v>
      </c>
      <c r="H121" s="20" t="n">
        <v>2</v>
      </c>
      <c r="I121" s="20" t="n">
        <v>127</v>
      </c>
      <c r="J121" s="20" t="n">
        <v>0</v>
      </c>
      <c r="K121" s="21" t="n">
        <v>2.8</v>
      </c>
      <c r="L121" s="20" t="n">
        <v>2</v>
      </c>
      <c r="M121" s="20" t="n">
        <v>1</v>
      </c>
      <c r="N121" s="20" t="n">
        <v>7</v>
      </c>
      <c r="O121" s="20" t="n">
        <v>2</v>
      </c>
      <c r="P121" s="22" t="s">
        <v>104</v>
      </c>
    </row>
    <row r="122" customFormat="false" ht="15" hidden="false" customHeight="false" outlineLevel="0" collapsed="false">
      <c r="A122" s="19" t="n">
        <v>121</v>
      </c>
      <c r="B122" s="20" t="n">
        <v>48</v>
      </c>
      <c r="C122" s="20" t="n">
        <v>1</v>
      </c>
      <c r="D122" s="20" t="n">
        <v>4</v>
      </c>
      <c r="E122" s="20" t="n">
        <v>130</v>
      </c>
      <c r="F122" s="20" t="n">
        <v>256</v>
      </c>
      <c r="G122" s="20" t="n">
        <v>1</v>
      </c>
      <c r="H122" s="20" t="n">
        <v>2</v>
      </c>
      <c r="I122" s="20" t="n">
        <v>150</v>
      </c>
      <c r="J122" s="20" t="n">
        <v>1</v>
      </c>
      <c r="K122" s="21" t="n">
        <v>0</v>
      </c>
      <c r="L122" s="20" t="n">
        <v>1</v>
      </c>
      <c r="M122" s="20" t="n">
        <v>2</v>
      </c>
      <c r="N122" s="20" t="n">
        <v>7</v>
      </c>
      <c r="O122" s="20" t="n">
        <v>3</v>
      </c>
      <c r="P122" s="22" t="s">
        <v>104</v>
      </c>
    </row>
    <row r="123" customFormat="false" ht="15" hidden="false" customHeight="false" outlineLevel="0" collapsed="false">
      <c r="A123" s="19" t="n">
        <v>122</v>
      </c>
      <c r="B123" s="20" t="n">
        <v>63</v>
      </c>
      <c r="C123" s="20" t="n">
        <v>0</v>
      </c>
      <c r="D123" s="20" t="n">
        <v>4</v>
      </c>
      <c r="E123" s="20" t="n">
        <v>150</v>
      </c>
      <c r="F123" s="20" t="n">
        <v>407</v>
      </c>
      <c r="G123" s="20" t="n">
        <v>0</v>
      </c>
      <c r="H123" s="20" t="n">
        <v>2</v>
      </c>
      <c r="I123" s="20" t="n">
        <v>154</v>
      </c>
      <c r="J123" s="20" t="n">
        <v>0</v>
      </c>
      <c r="K123" s="21" t="n">
        <v>4</v>
      </c>
      <c r="L123" s="20" t="n">
        <v>2</v>
      </c>
      <c r="M123" s="20" t="n">
        <v>3</v>
      </c>
      <c r="N123" s="20" t="n">
        <v>7</v>
      </c>
      <c r="O123" s="20" t="n">
        <v>4</v>
      </c>
      <c r="P123" s="22" t="s">
        <v>104</v>
      </c>
    </row>
    <row r="124" customFormat="false" ht="15" hidden="false" customHeight="false" outlineLevel="0" collapsed="false">
      <c r="A124" s="19" t="n">
        <v>123</v>
      </c>
      <c r="B124" s="20" t="n">
        <v>51</v>
      </c>
      <c r="C124" s="20" t="n">
        <v>1</v>
      </c>
      <c r="D124" s="20" t="n">
        <v>3</v>
      </c>
      <c r="E124" s="20" t="n">
        <v>100</v>
      </c>
      <c r="F124" s="20" t="n">
        <v>222</v>
      </c>
      <c r="G124" s="20" t="n">
        <v>0</v>
      </c>
      <c r="H124" s="20" t="n">
        <v>0</v>
      </c>
      <c r="I124" s="20" t="n">
        <v>143</v>
      </c>
      <c r="J124" s="20" t="n">
        <v>1</v>
      </c>
      <c r="K124" s="21" t="n">
        <v>1.2</v>
      </c>
      <c r="L124" s="20" t="n">
        <v>2</v>
      </c>
      <c r="M124" s="20" t="n">
        <v>0</v>
      </c>
      <c r="N124" s="20" t="n">
        <v>3</v>
      </c>
      <c r="O124" s="20" t="n">
        <v>0</v>
      </c>
      <c r="P124" s="22" t="s">
        <v>104</v>
      </c>
    </row>
    <row r="125" customFormat="false" ht="15" hidden="false" customHeight="false" outlineLevel="0" collapsed="false">
      <c r="A125" s="19" t="n">
        <v>124</v>
      </c>
      <c r="B125" s="20" t="n">
        <v>55</v>
      </c>
      <c r="C125" s="20" t="n">
        <v>1</v>
      </c>
      <c r="D125" s="20" t="n">
        <v>4</v>
      </c>
      <c r="E125" s="20" t="n">
        <v>140</v>
      </c>
      <c r="F125" s="20" t="n">
        <v>217</v>
      </c>
      <c r="G125" s="20" t="n">
        <v>0</v>
      </c>
      <c r="H125" s="20" t="n">
        <v>0</v>
      </c>
      <c r="I125" s="20" t="n">
        <v>111</v>
      </c>
      <c r="J125" s="20" t="n">
        <v>1</v>
      </c>
      <c r="K125" s="21" t="n">
        <v>5.6</v>
      </c>
      <c r="L125" s="20" t="n">
        <v>3</v>
      </c>
      <c r="M125" s="20" t="n">
        <v>0</v>
      </c>
      <c r="N125" s="20" t="n">
        <v>7</v>
      </c>
      <c r="O125" s="20" t="n">
        <v>3</v>
      </c>
      <c r="P125" s="22" t="s">
        <v>104</v>
      </c>
    </row>
    <row r="126" customFormat="false" ht="15" hidden="false" customHeight="false" outlineLevel="0" collapsed="false">
      <c r="A126" s="19" t="n">
        <v>125</v>
      </c>
      <c r="B126" s="20" t="n">
        <v>65</v>
      </c>
      <c r="C126" s="20" t="n">
        <v>1</v>
      </c>
      <c r="D126" s="20" t="n">
        <v>1</v>
      </c>
      <c r="E126" s="20" t="n">
        <v>138</v>
      </c>
      <c r="F126" s="20" t="n">
        <v>282</v>
      </c>
      <c r="G126" s="20" t="n">
        <v>1</v>
      </c>
      <c r="H126" s="20" t="n">
        <v>2</v>
      </c>
      <c r="I126" s="20" t="n">
        <v>174</v>
      </c>
      <c r="J126" s="20" t="n">
        <v>0</v>
      </c>
      <c r="K126" s="21" t="n">
        <v>1.4</v>
      </c>
      <c r="L126" s="20" t="n">
        <v>2</v>
      </c>
      <c r="M126" s="20" t="n">
        <v>1</v>
      </c>
      <c r="N126" s="20" t="n">
        <v>3</v>
      </c>
      <c r="O126" s="20" t="n">
        <v>1</v>
      </c>
      <c r="P126" s="22" t="s">
        <v>104</v>
      </c>
    </row>
    <row r="127" customFormat="false" ht="15" hidden="false" customHeight="false" outlineLevel="0" collapsed="false">
      <c r="A127" s="19" t="n">
        <v>126</v>
      </c>
      <c r="B127" s="20" t="n">
        <v>45</v>
      </c>
      <c r="C127" s="20" t="n">
        <v>0</v>
      </c>
      <c r="D127" s="20" t="n">
        <v>2</v>
      </c>
      <c r="E127" s="20" t="n">
        <v>130</v>
      </c>
      <c r="F127" s="20" t="n">
        <v>234</v>
      </c>
      <c r="G127" s="20" t="n">
        <v>0</v>
      </c>
      <c r="H127" s="20" t="n">
        <v>2</v>
      </c>
      <c r="I127" s="20" t="n">
        <v>175</v>
      </c>
      <c r="J127" s="20" t="n">
        <v>0</v>
      </c>
      <c r="K127" s="21" t="n">
        <v>0.6</v>
      </c>
      <c r="L127" s="20" t="n">
        <v>2</v>
      </c>
      <c r="M127" s="20" t="n">
        <v>0</v>
      </c>
      <c r="N127" s="20" t="n">
        <v>3</v>
      </c>
      <c r="O127" s="20" t="n">
        <v>0</v>
      </c>
      <c r="P127" s="22" t="s">
        <v>104</v>
      </c>
    </row>
    <row r="128" customFormat="false" ht="15" hidden="false" customHeight="false" outlineLevel="0" collapsed="false">
      <c r="A128" s="19" t="n">
        <v>127</v>
      </c>
      <c r="B128" s="20" t="n">
        <v>56</v>
      </c>
      <c r="C128" s="20" t="n">
        <v>0</v>
      </c>
      <c r="D128" s="20" t="n">
        <v>4</v>
      </c>
      <c r="E128" s="20" t="n">
        <v>200</v>
      </c>
      <c r="F128" s="20" t="n">
        <v>288</v>
      </c>
      <c r="G128" s="20" t="n">
        <v>1</v>
      </c>
      <c r="H128" s="20" t="n">
        <v>2</v>
      </c>
      <c r="I128" s="20" t="n">
        <v>133</v>
      </c>
      <c r="J128" s="20" t="n">
        <v>1</v>
      </c>
      <c r="K128" s="21" t="n">
        <v>4</v>
      </c>
      <c r="L128" s="20" t="n">
        <v>3</v>
      </c>
      <c r="M128" s="20" t="n">
        <v>2</v>
      </c>
      <c r="N128" s="20" t="n">
        <v>7</v>
      </c>
      <c r="O128" s="20" t="n">
        <v>3</v>
      </c>
      <c r="P128" s="22" t="s">
        <v>104</v>
      </c>
    </row>
    <row r="129" customFormat="false" ht="15" hidden="false" customHeight="false" outlineLevel="0" collapsed="false">
      <c r="A129" s="19" t="n">
        <v>128</v>
      </c>
      <c r="B129" s="20" t="n">
        <v>54</v>
      </c>
      <c r="C129" s="20" t="n">
        <v>1</v>
      </c>
      <c r="D129" s="20" t="n">
        <v>4</v>
      </c>
      <c r="E129" s="20" t="n">
        <v>110</v>
      </c>
      <c r="F129" s="20" t="n">
        <v>239</v>
      </c>
      <c r="G129" s="20" t="n">
        <v>0</v>
      </c>
      <c r="H129" s="20" t="n">
        <v>0</v>
      </c>
      <c r="I129" s="20" t="n">
        <v>126</v>
      </c>
      <c r="J129" s="20" t="n">
        <v>1</v>
      </c>
      <c r="K129" s="21" t="n">
        <v>2.8</v>
      </c>
      <c r="L129" s="20" t="n">
        <v>2</v>
      </c>
      <c r="M129" s="20" t="n">
        <v>1</v>
      </c>
      <c r="N129" s="20" t="n">
        <v>7</v>
      </c>
      <c r="O129" s="20" t="n">
        <v>3</v>
      </c>
      <c r="P129" s="22" t="s">
        <v>104</v>
      </c>
    </row>
    <row r="130" customFormat="false" ht="15" hidden="false" customHeight="false" outlineLevel="0" collapsed="false">
      <c r="A130" s="19" t="n">
        <v>129</v>
      </c>
      <c r="B130" s="20" t="n">
        <v>44</v>
      </c>
      <c r="C130" s="20" t="n">
        <v>1</v>
      </c>
      <c r="D130" s="20" t="n">
        <v>2</v>
      </c>
      <c r="E130" s="20" t="n">
        <v>120</v>
      </c>
      <c r="F130" s="20" t="n">
        <v>220</v>
      </c>
      <c r="G130" s="20" t="n">
        <v>0</v>
      </c>
      <c r="H130" s="20" t="n">
        <v>0</v>
      </c>
      <c r="I130" s="20" t="n">
        <v>170</v>
      </c>
      <c r="J130" s="20" t="n">
        <v>0</v>
      </c>
      <c r="K130" s="21" t="n">
        <v>0</v>
      </c>
      <c r="L130" s="20" t="n">
        <v>1</v>
      </c>
      <c r="M130" s="20" t="n">
        <v>0</v>
      </c>
      <c r="N130" s="20" t="n">
        <v>3</v>
      </c>
      <c r="O130" s="20" t="n">
        <v>0</v>
      </c>
      <c r="P130" s="22" t="s">
        <v>104</v>
      </c>
    </row>
    <row r="131" customFormat="false" ht="15" hidden="false" customHeight="false" outlineLevel="0" collapsed="false">
      <c r="A131" s="19" t="n">
        <v>130</v>
      </c>
      <c r="B131" s="20" t="n">
        <v>62</v>
      </c>
      <c r="C131" s="20" t="n">
        <v>0</v>
      </c>
      <c r="D131" s="20" t="n">
        <v>4</v>
      </c>
      <c r="E131" s="20" t="n">
        <v>124</v>
      </c>
      <c r="F131" s="20" t="n">
        <v>209</v>
      </c>
      <c r="G131" s="20" t="n">
        <v>0</v>
      </c>
      <c r="H131" s="20" t="n">
        <v>0</v>
      </c>
      <c r="I131" s="20" t="n">
        <v>163</v>
      </c>
      <c r="J131" s="20" t="n">
        <v>0</v>
      </c>
      <c r="K131" s="21" t="n">
        <v>0</v>
      </c>
      <c r="L131" s="20" t="n">
        <v>1</v>
      </c>
      <c r="M131" s="20" t="n">
        <v>0</v>
      </c>
      <c r="N131" s="20" t="n">
        <v>3</v>
      </c>
      <c r="O131" s="20" t="n">
        <v>0</v>
      </c>
      <c r="P131" s="22" t="s">
        <v>104</v>
      </c>
    </row>
    <row r="132" customFormat="false" ht="15" hidden="false" customHeight="false" outlineLevel="0" collapsed="false">
      <c r="A132" s="19" t="n">
        <v>131</v>
      </c>
      <c r="B132" s="20" t="n">
        <v>54</v>
      </c>
      <c r="C132" s="20" t="n">
        <v>1</v>
      </c>
      <c r="D132" s="20" t="n">
        <v>3</v>
      </c>
      <c r="E132" s="20" t="n">
        <v>120</v>
      </c>
      <c r="F132" s="20" t="n">
        <v>258</v>
      </c>
      <c r="G132" s="20" t="n">
        <v>0</v>
      </c>
      <c r="H132" s="20" t="n">
        <v>2</v>
      </c>
      <c r="I132" s="20" t="n">
        <v>147</v>
      </c>
      <c r="J132" s="20" t="n">
        <v>0</v>
      </c>
      <c r="K132" s="21" t="n">
        <v>0.4</v>
      </c>
      <c r="L132" s="20" t="n">
        <v>2</v>
      </c>
      <c r="M132" s="20" t="n">
        <v>0</v>
      </c>
      <c r="N132" s="20" t="n">
        <v>7</v>
      </c>
      <c r="O132" s="20" t="n">
        <v>0</v>
      </c>
      <c r="P132" s="22" t="s">
        <v>104</v>
      </c>
    </row>
    <row r="133" customFormat="false" ht="15" hidden="false" customHeight="false" outlineLevel="0" collapsed="false">
      <c r="A133" s="19" t="n">
        <v>132</v>
      </c>
      <c r="B133" s="20" t="n">
        <v>51</v>
      </c>
      <c r="C133" s="20" t="n">
        <v>1</v>
      </c>
      <c r="D133" s="20" t="n">
        <v>3</v>
      </c>
      <c r="E133" s="20" t="n">
        <v>94</v>
      </c>
      <c r="F133" s="20" t="n">
        <v>227</v>
      </c>
      <c r="G133" s="20" t="n">
        <v>0</v>
      </c>
      <c r="H133" s="20" t="n">
        <v>0</v>
      </c>
      <c r="I133" s="20" t="n">
        <v>154</v>
      </c>
      <c r="J133" s="20" t="n">
        <v>1</v>
      </c>
      <c r="K133" s="21" t="n">
        <v>0</v>
      </c>
      <c r="L133" s="20" t="n">
        <v>1</v>
      </c>
      <c r="M133" s="20" t="n">
        <v>1</v>
      </c>
      <c r="N133" s="20" t="n">
        <v>7</v>
      </c>
      <c r="O133" s="20" t="n">
        <v>0</v>
      </c>
      <c r="P133" s="22" t="s">
        <v>104</v>
      </c>
    </row>
    <row r="134" customFormat="false" ht="15" hidden="false" customHeight="false" outlineLevel="0" collapsed="false">
      <c r="A134" s="19" t="n">
        <v>133</v>
      </c>
      <c r="B134" s="20" t="n">
        <v>29</v>
      </c>
      <c r="C134" s="20" t="n">
        <v>1</v>
      </c>
      <c r="D134" s="20" t="n">
        <v>2</v>
      </c>
      <c r="E134" s="20" t="n">
        <v>130</v>
      </c>
      <c r="F134" s="20" t="n">
        <v>204</v>
      </c>
      <c r="G134" s="20" t="n">
        <v>0</v>
      </c>
      <c r="H134" s="20" t="n">
        <v>2</v>
      </c>
      <c r="I134" s="20" t="n">
        <v>202</v>
      </c>
      <c r="J134" s="20" t="n">
        <v>0</v>
      </c>
      <c r="K134" s="21" t="n">
        <v>0</v>
      </c>
      <c r="L134" s="20" t="n">
        <v>1</v>
      </c>
      <c r="M134" s="20" t="n">
        <v>0</v>
      </c>
      <c r="N134" s="20" t="n">
        <v>3</v>
      </c>
      <c r="O134" s="20" t="n">
        <v>0</v>
      </c>
      <c r="P134" s="22" t="s">
        <v>104</v>
      </c>
    </row>
    <row r="135" customFormat="false" ht="15" hidden="false" customHeight="false" outlineLevel="0" collapsed="false">
      <c r="A135" s="19" t="n">
        <v>134</v>
      </c>
      <c r="B135" s="20" t="n">
        <v>51</v>
      </c>
      <c r="C135" s="20" t="n">
        <v>1</v>
      </c>
      <c r="D135" s="20" t="n">
        <v>4</v>
      </c>
      <c r="E135" s="20" t="n">
        <v>140</v>
      </c>
      <c r="F135" s="20" t="n">
        <v>261</v>
      </c>
      <c r="G135" s="20" t="n">
        <v>0</v>
      </c>
      <c r="H135" s="20" t="n">
        <v>2</v>
      </c>
      <c r="I135" s="20" t="n">
        <v>186</v>
      </c>
      <c r="J135" s="20" t="n">
        <v>1</v>
      </c>
      <c r="K135" s="21" t="n">
        <v>0</v>
      </c>
      <c r="L135" s="20" t="n">
        <v>1</v>
      </c>
      <c r="M135" s="20" t="n">
        <v>0</v>
      </c>
      <c r="N135" s="20" t="n">
        <v>3</v>
      </c>
      <c r="O135" s="20" t="n">
        <v>0</v>
      </c>
      <c r="P135" s="22" t="s">
        <v>104</v>
      </c>
    </row>
    <row r="136" customFormat="false" ht="15" hidden="false" customHeight="false" outlineLevel="0" collapsed="false">
      <c r="A136" s="19" t="n">
        <v>135</v>
      </c>
      <c r="B136" s="20" t="n">
        <v>43</v>
      </c>
      <c r="C136" s="20" t="n">
        <v>0</v>
      </c>
      <c r="D136" s="20" t="n">
        <v>3</v>
      </c>
      <c r="E136" s="20" t="n">
        <v>122</v>
      </c>
      <c r="F136" s="20" t="n">
        <v>213</v>
      </c>
      <c r="G136" s="20" t="n">
        <v>0</v>
      </c>
      <c r="H136" s="20" t="n">
        <v>0</v>
      </c>
      <c r="I136" s="20" t="n">
        <v>165</v>
      </c>
      <c r="J136" s="20" t="n">
        <v>0</v>
      </c>
      <c r="K136" s="21" t="n">
        <v>0.2</v>
      </c>
      <c r="L136" s="20" t="n">
        <v>2</v>
      </c>
      <c r="M136" s="20" t="n">
        <v>0</v>
      </c>
      <c r="N136" s="20" t="n">
        <v>3</v>
      </c>
      <c r="O136" s="20" t="n">
        <v>0</v>
      </c>
      <c r="P136" s="22" t="s">
        <v>104</v>
      </c>
    </row>
    <row r="137" customFormat="false" ht="15" hidden="false" customHeight="false" outlineLevel="0" collapsed="false">
      <c r="A137" s="19" t="n">
        <v>136</v>
      </c>
      <c r="B137" s="20" t="n">
        <v>55</v>
      </c>
      <c r="C137" s="20" t="n">
        <v>0</v>
      </c>
      <c r="D137" s="20" t="n">
        <v>2</v>
      </c>
      <c r="E137" s="20" t="n">
        <v>135</v>
      </c>
      <c r="F137" s="20" t="n">
        <v>250</v>
      </c>
      <c r="G137" s="20" t="n">
        <v>0</v>
      </c>
      <c r="H137" s="20" t="n">
        <v>2</v>
      </c>
      <c r="I137" s="20" t="n">
        <v>161</v>
      </c>
      <c r="J137" s="20" t="n">
        <v>0</v>
      </c>
      <c r="K137" s="21" t="n">
        <v>1.4</v>
      </c>
      <c r="L137" s="20" t="n">
        <v>2</v>
      </c>
      <c r="M137" s="20" t="n">
        <v>0</v>
      </c>
      <c r="N137" s="20" t="n">
        <v>3</v>
      </c>
      <c r="O137" s="20" t="n">
        <v>0</v>
      </c>
      <c r="P137" s="22" t="s">
        <v>104</v>
      </c>
    </row>
    <row r="138" customFormat="false" ht="15" hidden="false" customHeight="false" outlineLevel="0" collapsed="false">
      <c r="A138" s="19" t="n">
        <v>137</v>
      </c>
      <c r="B138" s="20" t="n">
        <v>70</v>
      </c>
      <c r="C138" s="20" t="n">
        <v>1</v>
      </c>
      <c r="D138" s="20" t="n">
        <v>4</v>
      </c>
      <c r="E138" s="20" t="n">
        <v>145</v>
      </c>
      <c r="F138" s="20" t="n">
        <v>174</v>
      </c>
      <c r="G138" s="20" t="n">
        <v>0</v>
      </c>
      <c r="H138" s="20" t="n">
        <v>0</v>
      </c>
      <c r="I138" s="20" t="n">
        <v>125</v>
      </c>
      <c r="J138" s="20" t="n">
        <v>1</v>
      </c>
      <c r="K138" s="21" t="n">
        <v>2.6</v>
      </c>
      <c r="L138" s="20" t="n">
        <v>3</v>
      </c>
      <c r="M138" s="20" t="n">
        <v>0</v>
      </c>
      <c r="N138" s="20" t="n">
        <v>7</v>
      </c>
      <c r="O138" s="20" t="n">
        <v>4</v>
      </c>
      <c r="P138" s="22" t="s">
        <v>104</v>
      </c>
    </row>
    <row r="139" customFormat="false" ht="15" hidden="false" customHeight="false" outlineLevel="0" collapsed="false">
      <c r="A139" s="19" t="n">
        <v>138</v>
      </c>
      <c r="B139" s="20" t="n">
        <v>62</v>
      </c>
      <c r="C139" s="20" t="n">
        <v>1</v>
      </c>
      <c r="D139" s="20" t="n">
        <v>2</v>
      </c>
      <c r="E139" s="20" t="n">
        <v>120</v>
      </c>
      <c r="F139" s="20" t="n">
        <v>281</v>
      </c>
      <c r="G139" s="20" t="n">
        <v>0</v>
      </c>
      <c r="H139" s="20" t="n">
        <v>2</v>
      </c>
      <c r="I139" s="20" t="n">
        <v>103</v>
      </c>
      <c r="J139" s="20" t="n">
        <v>0</v>
      </c>
      <c r="K139" s="21" t="n">
        <v>1.4</v>
      </c>
      <c r="L139" s="20" t="n">
        <v>2</v>
      </c>
      <c r="M139" s="20" t="n">
        <v>1</v>
      </c>
      <c r="N139" s="20" t="n">
        <v>7</v>
      </c>
      <c r="O139" s="20" t="n">
        <v>3</v>
      </c>
      <c r="P139" s="22" t="s">
        <v>104</v>
      </c>
    </row>
    <row r="140" customFormat="false" ht="15" hidden="false" customHeight="false" outlineLevel="0" collapsed="false">
      <c r="A140" s="19" t="n">
        <v>139</v>
      </c>
      <c r="B140" s="20" t="n">
        <v>35</v>
      </c>
      <c r="C140" s="20" t="n">
        <v>1</v>
      </c>
      <c r="D140" s="20" t="n">
        <v>4</v>
      </c>
      <c r="E140" s="20" t="n">
        <v>120</v>
      </c>
      <c r="F140" s="20" t="n">
        <v>198</v>
      </c>
      <c r="G140" s="20" t="n">
        <v>0</v>
      </c>
      <c r="H140" s="20" t="n">
        <v>0</v>
      </c>
      <c r="I140" s="20" t="n">
        <v>130</v>
      </c>
      <c r="J140" s="20" t="n">
        <v>1</v>
      </c>
      <c r="K140" s="21" t="n">
        <v>1.6</v>
      </c>
      <c r="L140" s="20" t="n">
        <v>2</v>
      </c>
      <c r="M140" s="20" t="n">
        <v>0</v>
      </c>
      <c r="N140" s="20" t="n">
        <v>7</v>
      </c>
      <c r="O140" s="20" t="n">
        <v>1</v>
      </c>
      <c r="P140" s="22" t="s">
        <v>104</v>
      </c>
    </row>
    <row r="141" customFormat="false" ht="15" hidden="false" customHeight="false" outlineLevel="0" collapsed="false">
      <c r="A141" s="19" t="n">
        <v>140</v>
      </c>
      <c r="B141" s="20" t="n">
        <v>51</v>
      </c>
      <c r="C141" s="20" t="n">
        <v>1</v>
      </c>
      <c r="D141" s="20" t="n">
        <v>3</v>
      </c>
      <c r="E141" s="20" t="n">
        <v>125</v>
      </c>
      <c r="F141" s="20" t="n">
        <v>245</v>
      </c>
      <c r="G141" s="20" t="n">
        <v>1</v>
      </c>
      <c r="H141" s="20" t="n">
        <v>2</v>
      </c>
      <c r="I141" s="20" t="n">
        <v>166</v>
      </c>
      <c r="J141" s="20" t="n">
        <v>0</v>
      </c>
      <c r="K141" s="21" t="n">
        <v>2.4</v>
      </c>
      <c r="L141" s="20" t="n">
        <v>2</v>
      </c>
      <c r="M141" s="20" t="n">
        <v>0</v>
      </c>
      <c r="N141" s="20" t="n">
        <v>3</v>
      </c>
      <c r="O141" s="20" t="n">
        <v>0</v>
      </c>
      <c r="P141" s="22" t="s">
        <v>104</v>
      </c>
    </row>
    <row r="142" customFormat="false" ht="15" hidden="false" customHeight="false" outlineLevel="0" collapsed="false">
      <c r="A142" s="19" t="n">
        <v>141</v>
      </c>
      <c r="B142" s="20" t="n">
        <v>59</v>
      </c>
      <c r="C142" s="20" t="n">
        <v>1</v>
      </c>
      <c r="D142" s="20" t="n">
        <v>2</v>
      </c>
      <c r="E142" s="20" t="n">
        <v>140</v>
      </c>
      <c r="F142" s="20" t="n">
        <v>221</v>
      </c>
      <c r="G142" s="20" t="n">
        <v>0</v>
      </c>
      <c r="H142" s="20" t="n">
        <v>0</v>
      </c>
      <c r="I142" s="20" t="n">
        <v>164</v>
      </c>
      <c r="J142" s="20" t="n">
        <v>1</v>
      </c>
      <c r="K142" s="21" t="n">
        <v>0</v>
      </c>
      <c r="L142" s="20" t="n">
        <v>1</v>
      </c>
      <c r="M142" s="20" t="n">
        <v>0</v>
      </c>
      <c r="N142" s="20" t="n">
        <v>3</v>
      </c>
      <c r="O142" s="20" t="n">
        <v>0</v>
      </c>
      <c r="P142" s="22" t="s">
        <v>104</v>
      </c>
    </row>
    <row r="143" customFormat="false" ht="15" hidden="false" customHeight="false" outlineLevel="0" collapsed="false">
      <c r="A143" s="19" t="n">
        <v>142</v>
      </c>
      <c r="B143" s="20" t="n">
        <v>59</v>
      </c>
      <c r="C143" s="20" t="n">
        <v>1</v>
      </c>
      <c r="D143" s="20" t="n">
        <v>1</v>
      </c>
      <c r="E143" s="20" t="n">
        <v>170</v>
      </c>
      <c r="F143" s="20" t="n">
        <v>288</v>
      </c>
      <c r="G143" s="20" t="n">
        <v>0</v>
      </c>
      <c r="H143" s="20" t="n">
        <v>2</v>
      </c>
      <c r="I143" s="20" t="n">
        <v>159</v>
      </c>
      <c r="J143" s="20" t="n">
        <v>0</v>
      </c>
      <c r="K143" s="21" t="n">
        <v>0.2</v>
      </c>
      <c r="L143" s="20" t="n">
        <v>2</v>
      </c>
      <c r="M143" s="20" t="n">
        <v>0</v>
      </c>
      <c r="N143" s="20" t="n">
        <v>7</v>
      </c>
      <c r="O143" s="20" t="n">
        <v>1</v>
      </c>
      <c r="P143" s="22" t="s">
        <v>104</v>
      </c>
    </row>
    <row r="144" customFormat="false" ht="15" hidden="false" customHeight="false" outlineLevel="0" collapsed="false">
      <c r="A144" s="19" t="n">
        <v>143</v>
      </c>
      <c r="B144" s="20" t="n">
        <v>52</v>
      </c>
      <c r="C144" s="20" t="n">
        <v>1</v>
      </c>
      <c r="D144" s="20" t="n">
        <v>2</v>
      </c>
      <c r="E144" s="20" t="n">
        <v>128</v>
      </c>
      <c r="F144" s="20" t="n">
        <v>205</v>
      </c>
      <c r="G144" s="20" t="n">
        <v>1</v>
      </c>
      <c r="H144" s="20" t="n">
        <v>0</v>
      </c>
      <c r="I144" s="20" t="n">
        <v>184</v>
      </c>
      <c r="J144" s="20" t="n">
        <v>0</v>
      </c>
      <c r="K144" s="21" t="n">
        <v>0</v>
      </c>
      <c r="L144" s="20" t="n">
        <v>1</v>
      </c>
      <c r="M144" s="20" t="n">
        <v>0</v>
      </c>
      <c r="N144" s="20" t="n">
        <v>3</v>
      </c>
      <c r="O144" s="20" t="n">
        <v>0</v>
      </c>
      <c r="P144" s="22" t="s">
        <v>104</v>
      </c>
    </row>
    <row r="145" customFormat="false" ht="15" hidden="false" customHeight="false" outlineLevel="0" collapsed="false">
      <c r="A145" s="19" t="n">
        <v>144</v>
      </c>
      <c r="B145" s="20" t="n">
        <v>64</v>
      </c>
      <c r="C145" s="20" t="n">
        <v>1</v>
      </c>
      <c r="D145" s="20" t="n">
        <v>3</v>
      </c>
      <c r="E145" s="20" t="n">
        <v>125</v>
      </c>
      <c r="F145" s="20" t="n">
        <v>309</v>
      </c>
      <c r="G145" s="20" t="n">
        <v>0</v>
      </c>
      <c r="H145" s="20" t="n">
        <v>0</v>
      </c>
      <c r="I145" s="20" t="n">
        <v>131</v>
      </c>
      <c r="J145" s="20" t="n">
        <v>1</v>
      </c>
      <c r="K145" s="21" t="n">
        <v>1.8</v>
      </c>
      <c r="L145" s="20" t="n">
        <v>2</v>
      </c>
      <c r="M145" s="20" t="n">
        <v>0</v>
      </c>
      <c r="N145" s="20" t="n">
        <v>7</v>
      </c>
      <c r="O145" s="20" t="n">
        <v>1</v>
      </c>
      <c r="P145" s="22" t="s">
        <v>104</v>
      </c>
    </row>
    <row r="146" customFormat="false" ht="15" hidden="false" customHeight="false" outlineLevel="0" collapsed="false">
      <c r="A146" s="19" t="n">
        <v>145</v>
      </c>
      <c r="B146" s="20" t="n">
        <v>58</v>
      </c>
      <c r="C146" s="20" t="n">
        <v>1</v>
      </c>
      <c r="D146" s="20" t="n">
        <v>3</v>
      </c>
      <c r="E146" s="20" t="n">
        <v>105</v>
      </c>
      <c r="F146" s="20" t="n">
        <v>240</v>
      </c>
      <c r="G146" s="20" t="n">
        <v>0</v>
      </c>
      <c r="H146" s="20" t="n">
        <v>2</v>
      </c>
      <c r="I146" s="20" t="n">
        <v>154</v>
      </c>
      <c r="J146" s="20" t="n">
        <v>1</v>
      </c>
      <c r="K146" s="21" t="n">
        <v>0.6</v>
      </c>
      <c r="L146" s="20" t="n">
        <v>2</v>
      </c>
      <c r="M146" s="20" t="n">
        <v>0</v>
      </c>
      <c r="N146" s="20" t="n">
        <v>7</v>
      </c>
      <c r="O146" s="20" t="n">
        <v>0</v>
      </c>
      <c r="P146" s="22" t="s">
        <v>104</v>
      </c>
    </row>
    <row r="147" customFormat="false" ht="15" hidden="false" customHeight="false" outlineLevel="0" collapsed="false">
      <c r="A147" s="19" t="n">
        <v>146</v>
      </c>
      <c r="B147" s="20" t="n">
        <v>47</v>
      </c>
      <c r="C147" s="20" t="n">
        <v>1</v>
      </c>
      <c r="D147" s="20" t="n">
        <v>3</v>
      </c>
      <c r="E147" s="20" t="n">
        <v>108</v>
      </c>
      <c r="F147" s="20" t="n">
        <v>243</v>
      </c>
      <c r="G147" s="20" t="n">
        <v>0</v>
      </c>
      <c r="H147" s="20" t="n">
        <v>0</v>
      </c>
      <c r="I147" s="20" t="n">
        <v>152</v>
      </c>
      <c r="J147" s="20" t="n">
        <v>0</v>
      </c>
      <c r="K147" s="21" t="n">
        <v>0</v>
      </c>
      <c r="L147" s="20" t="n">
        <v>1</v>
      </c>
      <c r="M147" s="20" t="n">
        <v>0</v>
      </c>
      <c r="N147" s="20" t="n">
        <v>3</v>
      </c>
      <c r="O147" s="20" t="n">
        <v>1</v>
      </c>
      <c r="P147" s="22" t="s">
        <v>104</v>
      </c>
    </row>
    <row r="148" customFormat="false" ht="15" hidden="false" customHeight="false" outlineLevel="0" collapsed="false">
      <c r="A148" s="19" t="n">
        <v>147</v>
      </c>
      <c r="B148" s="20" t="n">
        <v>57</v>
      </c>
      <c r="C148" s="20" t="n">
        <v>1</v>
      </c>
      <c r="D148" s="20" t="n">
        <v>4</v>
      </c>
      <c r="E148" s="20" t="n">
        <v>165</v>
      </c>
      <c r="F148" s="20" t="n">
        <v>289</v>
      </c>
      <c r="G148" s="20" t="n">
        <v>1</v>
      </c>
      <c r="H148" s="20" t="n">
        <v>2</v>
      </c>
      <c r="I148" s="20" t="n">
        <v>124</v>
      </c>
      <c r="J148" s="20" t="n">
        <v>0</v>
      </c>
      <c r="K148" s="21" t="n">
        <v>1</v>
      </c>
      <c r="L148" s="20" t="n">
        <v>2</v>
      </c>
      <c r="M148" s="20" t="n">
        <v>3</v>
      </c>
      <c r="N148" s="20" t="n">
        <v>7</v>
      </c>
      <c r="O148" s="20" t="n">
        <v>4</v>
      </c>
      <c r="P148" s="22" t="s">
        <v>104</v>
      </c>
    </row>
    <row r="149" customFormat="false" ht="15" hidden="false" customHeight="false" outlineLevel="0" collapsed="false">
      <c r="A149" s="19" t="n">
        <v>148</v>
      </c>
      <c r="B149" s="20" t="n">
        <v>41</v>
      </c>
      <c r="C149" s="20" t="n">
        <v>1</v>
      </c>
      <c r="D149" s="20" t="n">
        <v>3</v>
      </c>
      <c r="E149" s="20" t="n">
        <v>112</v>
      </c>
      <c r="F149" s="20" t="n">
        <v>250</v>
      </c>
      <c r="G149" s="20" t="n">
        <v>0</v>
      </c>
      <c r="H149" s="20" t="n">
        <v>0</v>
      </c>
      <c r="I149" s="20" t="n">
        <v>179</v>
      </c>
      <c r="J149" s="20" t="n">
        <v>0</v>
      </c>
      <c r="K149" s="21" t="n">
        <v>0</v>
      </c>
      <c r="L149" s="20" t="n">
        <v>1</v>
      </c>
      <c r="M149" s="20" t="n">
        <v>0</v>
      </c>
      <c r="N149" s="20" t="n">
        <v>3</v>
      </c>
      <c r="O149" s="20" t="n">
        <v>0</v>
      </c>
      <c r="P149" s="22" t="s">
        <v>104</v>
      </c>
    </row>
    <row r="150" customFormat="false" ht="15" hidden="false" customHeight="false" outlineLevel="0" collapsed="false">
      <c r="A150" s="19" t="n">
        <v>149</v>
      </c>
      <c r="B150" s="20" t="n">
        <v>45</v>
      </c>
      <c r="C150" s="20" t="n">
        <v>1</v>
      </c>
      <c r="D150" s="20" t="n">
        <v>2</v>
      </c>
      <c r="E150" s="20" t="n">
        <v>128</v>
      </c>
      <c r="F150" s="20" t="n">
        <v>308</v>
      </c>
      <c r="G150" s="20" t="n">
        <v>0</v>
      </c>
      <c r="H150" s="20" t="n">
        <v>2</v>
      </c>
      <c r="I150" s="20" t="n">
        <v>170</v>
      </c>
      <c r="J150" s="20" t="n">
        <v>0</v>
      </c>
      <c r="K150" s="21" t="n">
        <v>0</v>
      </c>
      <c r="L150" s="20" t="n">
        <v>1</v>
      </c>
      <c r="M150" s="20" t="n">
        <v>0</v>
      </c>
      <c r="N150" s="20" t="n">
        <v>3</v>
      </c>
      <c r="O150" s="20" t="n">
        <v>0</v>
      </c>
      <c r="P150" s="22" t="s">
        <v>104</v>
      </c>
    </row>
    <row r="151" customFormat="false" ht="15" hidden="false" customHeight="false" outlineLevel="0" collapsed="false">
      <c r="A151" s="19" t="n">
        <v>150</v>
      </c>
      <c r="B151" s="20" t="n">
        <v>60</v>
      </c>
      <c r="C151" s="20" t="n">
        <v>0</v>
      </c>
      <c r="D151" s="20" t="n">
        <v>3</v>
      </c>
      <c r="E151" s="20" t="n">
        <v>102</v>
      </c>
      <c r="F151" s="20" t="n">
        <v>318</v>
      </c>
      <c r="G151" s="20" t="n">
        <v>0</v>
      </c>
      <c r="H151" s="20" t="n">
        <v>0</v>
      </c>
      <c r="I151" s="20" t="n">
        <v>160</v>
      </c>
      <c r="J151" s="20" t="n">
        <v>0</v>
      </c>
      <c r="K151" s="21" t="n">
        <v>0</v>
      </c>
      <c r="L151" s="20" t="n">
        <v>1</v>
      </c>
      <c r="M151" s="20" t="n">
        <v>1</v>
      </c>
      <c r="N151" s="20" t="n">
        <v>3</v>
      </c>
      <c r="O151" s="20" t="n">
        <v>0</v>
      </c>
      <c r="P151" s="22" t="s">
        <v>104</v>
      </c>
    </row>
    <row r="152" customFormat="false" ht="15" hidden="false" customHeight="false" outlineLevel="0" collapsed="false">
      <c r="A152" s="19" t="n">
        <v>151</v>
      </c>
      <c r="B152" s="20" t="n">
        <v>52</v>
      </c>
      <c r="C152" s="20" t="n">
        <v>1</v>
      </c>
      <c r="D152" s="20" t="n">
        <v>1</v>
      </c>
      <c r="E152" s="20" t="n">
        <v>152</v>
      </c>
      <c r="F152" s="20" t="n">
        <v>298</v>
      </c>
      <c r="G152" s="20" t="n">
        <v>1</v>
      </c>
      <c r="H152" s="20" t="n">
        <v>0</v>
      </c>
      <c r="I152" s="20" t="n">
        <v>178</v>
      </c>
      <c r="J152" s="20" t="n">
        <v>0</v>
      </c>
      <c r="K152" s="21" t="n">
        <v>1.2</v>
      </c>
      <c r="L152" s="20" t="n">
        <v>2</v>
      </c>
      <c r="M152" s="20" t="n">
        <v>0</v>
      </c>
      <c r="N152" s="20" t="n">
        <v>7</v>
      </c>
      <c r="O152" s="20" t="n">
        <v>0</v>
      </c>
      <c r="P152" s="22" t="s">
        <v>104</v>
      </c>
    </row>
    <row r="153" customFormat="false" ht="15" hidden="false" customHeight="false" outlineLevel="0" collapsed="false">
      <c r="A153" s="19" t="n">
        <v>152</v>
      </c>
      <c r="B153" s="20" t="n">
        <v>42</v>
      </c>
      <c r="C153" s="20" t="n">
        <v>0</v>
      </c>
      <c r="D153" s="20" t="n">
        <v>4</v>
      </c>
      <c r="E153" s="20" t="n">
        <v>102</v>
      </c>
      <c r="F153" s="20" t="n">
        <v>265</v>
      </c>
      <c r="G153" s="20" t="n">
        <v>0</v>
      </c>
      <c r="H153" s="20" t="n">
        <v>2</v>
      </c>
      <c r="I153" s="20" t="n">
        <v>122</v>
      </c>
      <c r="J153" s="20" t="n">
        <v>0</v>
      </c>
      <c r="K153" s="21" t="n">
        <v>0.6</v>
      </c>
      <c r="L153" s="20" t="n">
        <v>2</v>
      </c>
      <c r="M153" s="20" t="n">
        <v>0</v>
      </c>
      <c r="N153" s="20" t="n">
        <v>3</v>
      </c>
      <c r="O153" s="20" t="n">
        <v>0</v>
      </c>
      <c r="P153" s="22" t="s">
        <v>104</v>
      </c>
    </row>
    <row r="154" customFormat="false" ht="15" hidden="false" customHeight="false" outlineLevel="0" collapsed="false">
      <c r="A154" s="19" t="n">
        <v>153</v>
      </c>
      <c r="B154" s="20" t="n">
        <v>67</v>
      </c>
      <c r="C154" s="20" t="n">
        <v>0</v>
      </c>
      <c r="D154" s="20" t="n">
        <v>3</v>
      </c>
      <c r="E154" s="20" t="n">
        <v>115</v>
      </c>
      <c r="F154" s="20" t="n">
        <v>564</v>
      </c>
      <c r="G154" s="20" t="n">
        <v>0</v>
      </c>
      <c r="H154" s="20" t="n">
        <v>2</v>
      </c>
      <c r="I154" s="20" t="n">
        <v>160</v>
      </c>
      <c r="J154" s="20" t="n">
        <v>0</v>
      </c>
      <c r="K154" s="21" t="n">
        <v>1.6</v>
      </c>
      <c r="L154" s="20" t="n">
        <v>2</v>
      </c>
      <c r="M154" s="20" t="n">
        <v>0</v>
      </c>
      <c r="N154" s="20" t="n">
        <v>7</v>
      </c>
      <c r="O154" s="20" t="n">
        <v>0</v>
      </c>
      <c r="P154" s="22" t="s">
        <v>104</v>
      </c>
    </row>
    <row r="155" customFormat="false" ht="15" hidden="false" customHeight="false" outlineLevel="0" collapsed="false">
      <c r="A155" s="19" t="n">
        <v>154</v>
      </c>
      <c r="B155" s="20" t="n">
        <v>55</v>
      </c>
      <c r="C155" s="20" t="n">
        <v>1</v>
      </c>
      <c r="D155" s="20" t="n">
        <v>4</v>
      </c>
      <c r="E155" s="20" t="n">
        <v>160</v>
      </c>
      <c r="F155" s="20" t="n">
        <v>289</v>
      </c>
      <c r="G155" s="20" t="n">
        <v>0</v>
      </c>
      <c r="H155" s="20" t="n">
        <v>2</v>
      </c>
      <c r="I155" s="20" t="n">
        <v>145</v>
      </c>
      <c r="J155" s="20" t="n">
        <v>1</v>
      </c>
      <c r="K155" s="21" t="n">
        <v>0.8</v>
      </c>
      <c r="L155" s="20" t="n">
        <v>2</v>
      </c>
      <c r="M155" s="20" t="n">
        <v>1</v>
      </c>
      <c r="N155" s="20" t="n">
        <v>7</v>
      </c>
      <c r="O155" s="20" t="n">
        <v>4</v>
      </c>
      <c r="P155" s="22" t="s">
        <v>104</v>
      </c>
    </row>
    <row r="156" customFormat="false" ht="15" hidden="false" customHeight="false" outlineLevel="0" collapsed="false">
      <c r="A156" s="19" t="n">
        <v>155</v>
      </c>
      <c r="B156" s="20" t="n">
        <v>64</v>
      </c>
      <c r="C156" s="20" t="n">
        <v>1</v>
      </c>
      <c r="D156" s="20" t="n">
        <v>4</v>
      </c>
      <c r="E156" s="20" t="n">
        <v>120</v>
      </c>
      <c r="F156" s="20" t="n">
        <v>246</v>
      </c>
      <c r="G156" s="20" t="n">
        <v>0</v>
      </c>
      <c r="H156" s="20" t="n">
        <v>2</v>
      </c>
      <c r="I156" s="20" t="n">
        <v>96</v>
      </c>
      <c r="J156" s="20" t="n">
        <v>1</v>
      </c>
      <c r="K156" s="21" t="n">
        <v>2.2</v>
      </c>
      <c r="L156" s="20" t="n">
        <v>3</v>
      </c>
      <c r="M156" s="20" t="n">
        <v>1</v>
      </c>
      <c r="N156" s="20" t="n">
        <v>3</v>
      </c>
      <c r="O156" s="20" t="n">
        <v>3</v>
      </c>
      <c r="P156" s="22" t="s">
        <v>104</v>
      </c>
    </row>
    <row r="157" customFormat="false" ht="15" hidden="false" customHeight="false" outlineLevel="0" collapsed="false">
      <c r="A157" s="19" t="n">
        <v>156</v>
      </c>
      <c r="B157" s="20" t="n">
        <v>70</v>
      </c>
      <c r="C157" s="20" t="n">
        <v>1</v>
      </c>
      <c r="D157" s="20" t="n">
        <v>4</v>
      </c>
      <c r="E157" s="20" t="n">
        <v>130</v>
      </c>
      <c r="F157" s="20" t="n">
        <v>322</v>
      </c>
      <c r="G157" s="20" t="n">
        <v>0</v>
      </c>
      <c r="H157" s="20" t="n">
        <v>2</v>
      </c>
      <c r="I157" s="20" t="n">
        <v>109</v>
      </c>
      <c r="J157" s="20" t="n">
        <v>0</v>
      </c>
      <c r="K157" s="21" t="n">
        <v>2.4</v>
      </c>
      <c r="L157" s="20" t="n">
        <v>2</v>
      </c>
      <c r="M157" s="20" t="n">
        <v>3</v>
      </c>
      <c r="N157" s="20" t="n">
        <v>3</v>
      </c>
      <c r="O157" s="20" t="n">
        <v>1</v>
      </c>
      <c r="P157" s="22" t="s">
        <v>104</v>
      </c>
    </row>
    <row r="158" customFormat="false" ht="15" hidden="false" customHeight="false" outlineLevel="0" collapsed="false">
      <c r="A158" s="19" t="n">
        <v>157</v>
      </c>
      <c r="B158" s="20" t="n">
        <v>51</v>
      </c>
      <c r="C158" s="20" t="n">
        <v>1</v>
      </c>
      <c r="D158" s="20" t="n">
        <v>4</v>
      </c>
      <c r="E158" s="20" t="n">
        <v>140</v>
      </c>
      <c r="F158" s="20" t="n">
        <v>299</v>
      </c>
      <c r="G158" s="20" t="n">
        <v>0</v>
      </c>
      <c r="H158" s="20" t="n">
        <v>0</v>
      </c>
      <c r="I158" s="20" t="n">
        <v>173</v>
      </c>
      <c r="J158" s="20" t="n">
        <v>1</v>
      </c>
      <c r="K158" s="21" t="n">
        <v>1.6</v>
      </c>
      <c r="L158" s="20" t="n">
        <v>1</v>
      </c>
      <c r="M158" s="20" t="n">
        <v>0</v>
      </c>
      <c r="N158" s="20" t="n">
        <v>7</v>
      </c>
      <c r="O158" s="20" t="n">
        <v>1</v>
      </c>
      <c r="P158" s="22" t="s">
        <v>104</v>
      </c>
    </row>
    <row r="159" customFormat="false" ht="15" hidden="false" customHeight="false" outlineLevel="0" collapsed="false">
      <c r="A159" s="19" t="n">
        <v>158</v>
      </c>
      <c r="B159" s="20" t="n">
        <v>58</v>
      </c>
      <c r="C159" s="20" t="n">
        <v>1</v>
      </c>
      <c r="D159" s="20" t="n">
        <v>4</v>
      </c>
      <c r="E159" s="20" t="n">
        <v>125</v>
      </c>
      <c r="F159" s="20" t="n">
        <v>300</v>
      </c>
      <c r="G159" s="20" t="n">
        <v>0</v>
      </c>
      <c r="H159" s="20" t="n">
        <v>2</v>
      </c>
      <c r="I159" s="20" t="n">
        <v>171</v>
      </c>
      <c r="J159" s="20" t="n">
        <v>0</v>
      </c>
      <c r="K159" s="21" t="n">
        <v>0</v>
      </c>
      <c r="L159" s="20" t="n">
        <v>1</v>
      </c>
      <c r="M159" s="20" t="n">
        <v>2</v>
      </c>
      <c r="N159" s="20" t="n">
        <v>7</v>
      </c>
      <c r="O159" s="20" t="n">
        <v>1</v>
      </c>
      <c r="P159" s="22" t="s">
        <v>104</v>
      </c>
    </row>
    <row r="160" customFormat="false" ht="15" hidden="false" customHeight="false" outlineLevel="0" collapsed="false">
      <c r="A160" s="19" t="n">
        <v>159</v>
      </c>
      <c r="B160" s="20" t="n">
        <v>60</v>
      </c>
      <c r="C160" s="20" t="n">
        <v>1</v>
      </c>
      <c r="D160" s="20" t="n">
        <v>4</v>
      </c>
      <c r="E160" s="20" t="n">
        <v>140</v>
      </c>
      <c r="F160" s="20" t="n">
        <v>293</v>
      </c>
      <c r="G160" s="20" t="n">
        <v>0</v>
      </c>
      <c r="H160" s="20" t="n">
        <v>2</v>
      </c>
      <c r="I160" s="20" t="n">
        <v>170</v>
      </c>
      <c r="J160" s="20" t="n">
        <v>0</v>
      </c>
      <c r="K160" s="21" t="n">
        <v>1.2</v>
      </c>
      <c r="L160" s="20" t="n">
        <v>2</v>
      </c>
      <c r="M160" s="20" t="n">
        <v>2</v>
      </c>
      <c r="N160" s="20" t="n">
        <v>7</v>
      </c>
      <c r="O160" s="20" t="n">
        <v>2</v>
      </c>
      <c r="P160" s="22" t="s">
        <v>104</v>
      </c>
    </row>
    <row r="161" customFormat="false" ht="15" hidden="false" customHeight="false" outlineLevel="0" collapsed="false">
      <c r="A161" s="19" t="n">
        <v>160</v>
      </c>
      <c r="B161" s="20" t="n">
        <v>68</v>
      </c>
      <c r="C161" s="20" t="n">
        <v>1</v>
      </c>
      <c r="D161" s="20" t="n">
        <v>3</v>
      </c>
      <c r="E161" s="20" t="n">
        <v>118</v>
      </c>
      <c r="F161" s="20" t="n">
        <v>277</v>
      </c>
      <c r="G161" s="20" t="n">
        <v>0</v>
      </c>
      <c r="H161" s="20" t="n">
        <v>0</v>
      </c>
      <c r="I161" s="20" t="n">
        <v>151</v>
      </c>
      <c r="J161" s="20" t="n">
        <v>0</v>
      </c>
      <c r="K161" s="21" t="n">
        <v>1</v>
      </c>
      <c r="L161" s="20" t="n">
        <v>1</v>
      </c>
      <c r="M161" s="20" t="n">
        <v>1</v>
      </c>
      <c r="N161" s="20" t="n">
        <v>7</v>
      </c>
      <c r="O161" s="20" t="n">
        <v>0</v>
      </c>
      <c r="P161" s="22" t="s">
        <v>104</v>
      </c>
    </row>
    <row r="162" customFormat="false" ht="15" hidden="false" customHeight="false" outlineLevel="0" collapsed="false">
      <c r="A162" s="19" t="n">
        <v>161</v>
      </c>
      <c r="B162" s="20" t="n">
        <v>46</v>
      </c>
      <c r="C162" s="20" t="n">
        <v>1</v>
      </c>
      <c r="D162" s="20" t="n">
        <v>2</v>
      </c>
      <c r="E162" s="20" t="n">
        <v>101</v>
      </c>
      <c r="F162" s="20" t="n">
        <v>197</v>
      </c>
      <c r="G162" s="20" t="n">
        <v>1</v>
      </c>
      <c r="H162" s="20" t="n">
        <v>0</v>
      </c>
      <c r="I162" s="20" t="n">
        <v>156</v>
      </c>
      <c r="J162" s="20" t="n">
        <v>0</v>
      </c>
      <c r="K162" s="21" t="n">
        <v>0</v>
      </c>
      <c r="L162" s="20" t="n">
        <v>1</v>
      </c>
      <c r="M162" s="20" t="n">
        <v>0</v>
      </c>
      <c r="N162" s="20" t="n">
        <v>7</v>
      </c>
      <c r="O162" s="20" t="n">
        <v>0</v>
      </c>
      <c r="P162" s="22" t="s">
        <v>104</v>
      </c>
    </row>
    <row r="163" customFormat="false" ht="15" hidden="false" customHeight="false" outlineLevel="0" collapsed="false">
      <c r="A163" s="19" t="n">
        <v>162</v>
      </c>
      <c r="B163" s="20" t="n">
        <v>77</v>
      </c>
      <c r="C163" s="20" t="n">
        <v>1</v>
      </c>
      <c r="D163" s="20" t="n">
        <v>4</v>
      </c>
      <c r="E163" s="20" t="n">
        <v>125</v>
      </c>
      <c r="F163" s="20" t="n">
        <v>304</v>
      </c>
      <c r="G163" s="20" t="n">
        <v>0</v>
      </c>
      <c r="H163" s="20" t="n">
        <v>2</v>
      </c>
      <c r="I163" s="20" t="n">
        <v>162</v>
      </c>
      <c r="J163" s="20" t="n">
        <v>1</v>
      </c>
      <c r="K163" s="21" t="n">
        <v>0</v>
      </c>
      <c r="L163" s="20" t="n">
        <v>1</v>
      </c>
      <c r="M163" s="20" t="n">
        <v>3</v>
      </c>
      <c r="N163" s="20" t="n">
        <v>3</v>
      </c>
      <c r="O163" s="20" t="n">
        <v>4</v>
      </c>
      <c r="P163" s="22" t="s">
        <v>104</v>
      </c>
    </row>
    <row r="164" customFormat="false" ht="15" hidden="false" customHeight="false" outlineLevel="0" collapsed="false">
      <c r="A164" s="19" t="n">
        <v>163</v>
      </c>
      <c r="B164" s="20" t="n">
        <v>54</v>
      </c>
      <c r="C164" s="20" t="n">
        <v>0</v>
      </c>
      <c r="D164" s="20" t="n">
        <v>3</v>
      </c>
      <c r="E164" s="20" t="n">
        <v>110</v>
      </c>
      <c r="F164" s="20" t="n">
        <v>214</v>
      </c>
      <c r="G164" s="20" t="n">
        <v>0</v>
      </c>
      <c r="H164" s="20" t="n">
        <v>0</v>
      </c>
      <c r="I164" s="20" t="n">
        <v>158</v>
      </c>
      <c r="J164" s="20" t="n">
        <v>0</v>
      </c>
      <c r="K164" s="21" t="n">
        <v>1.6</v>
      </c>
      <c r="L164" s="20" t="n">
        <v>2</v>
      </c>
      <c r="M164" s="20" t="n">
        <v>0</v>
      </c>
      <c r="N164" s="20" t="n">
        <v>3</v>
      </c>
      <c r="O164" s="20" t="n">
        <v>0</v>
      </c>
      <c r="P164" s="22" t="s">
        <v>104</v>
      </c>
    </row>
    <row r="165" customFormat="false" ht="15" hidden="false" customHeight="false" outlineLevel="0" collapsed="false">
      <c r="A165" s="19" t="n">
        <v>164</v>
      </c>
      <c r="B165" s="20" t="n">
        <v>58</v>
      </c>
      <c r="C165" s="20" t="n">
        <v>0</v>
      </c>
      <c r="D165" s="20" t="n">
        <v>4</v>
      </c>
      <c r="E165" s="20" t="n">
        <v>100</v>
      </c>
      <c r="F165" s="20" t="n">
        <v>248</v>
      </c>
      <c r="G165" s="20" t="n">
        <v>0</v>
      </c>
      <c r="H165" s="20" t="n">
        <v>2</v>
      </c>
      <c r="I165" s="20" t="n">
        <v>122</v>
      </c>
      <c r="J165" s="20" t="n">
        <v>0</v>
      </c>
      <c r="K165" s="21" t="n">
        <v>1</v>
      </c>
      <c r="L165" s="20" t="n">
        <v>2</v>
      </c>
      <c r="M165" s="20" t="n">
        <v>0</v>
      </c>
      <c r="N165" s="20" t="n">
        <v>3</v>
      </c>
      <c r="O165" s="20" t="n">
        <v>0</v>
      </c>
      <c r="P165" s="22" t="s">
        <v>104</v>
      </c>
    </row>
    <row r="166" customFormat="false" ht="15" hidden="false" customHeight="false" outlineLevel="0" collapsed="false">
      <c r="A166" s="19" t="n">
        <v>165</v>
      </c>
      <c r="B166" s="20" t="n">
        <v>48</v>
      </c>
      <c r="C166" s="20" t="n">
        <v>1</v>
      </c>
      <c r="D166" s="20" t="n">
        <v>3</v>
      </c>
      <c r="E166" s="20" t="n">
        <v>124</v>
      </c>
      <c r="F166" s="20" t="n">
        <v>255</v>
      </c>
      <c r="G166" s="20" t="n">
        <v>1</v>
      </c>
      <c r="H166" s="20" t="n">
        <v>0</v>
      </c>
      <c r="I166" s="20" t="n">
        <v>175</v>
      </c>
      <c r="J166" s="20" t="n">
        <v>0</v>
      </c>
      <c r="K166" s="21" t="n">
        <v>0</v>
      </c>
      <c r="L166" s="20" t="n">
        <v>1</v>
      </c>
      <c r="M166" s="20" t="n">
        <v>2</v>
      </c>
      <c r="N166" s="20" t="n">
        <v>3</v>
      </c>
      <c r="O166" s="20" t="n">
        <v>0</v>
      </c>
      <c r="P166" s="22" t="s">
        <v>104</v>
      </c>
    </row>
    <row r="167" customFormat="false" ht="15" hidden="false" customHeight="false" outlineLevel="0" collapsed="false">
      <c r="A167" s="19" t="n">
        <v>166</v>
      </c>
      <c r="B167" s="20" t="n">
        <v>57</v>
      </c>
      <c r="C167" s="20" t="n">
        <v>1</v>
      </c>
      <c r="D167" s="20" t="n">
        <v>4</v>
      </c>
      <c r="E167" s="20" t="n">
        <v>132</v>
      </c>
      <c r="F167" s="20" t="n">
        <v>207</v>
      </c>
      <c r="G167" s="20" t="n">
        <v>0</v>
      </c>
      <c r="H167" s="20" t="n">
        <v>0</v>
      </c>
      <c r="I167" s="20" t="n">
        <v>168</v>
      </c>
      <c r="J167" s="20" t="n">
        <v>1</v>
      </c>
      <c r="K167" s="21" t="n">
        <v>0</v>
      </c>
      <c r="L167" s="20" t="n">
        <v>1</v>
      </c>
      <c r="M167" s="20" t="n">
        <v>0</v>
      </c>
      <c r="N167" s="20" t="n">
        <v>7</v>
      </c>
      <c r="O167" s="20" t="n">
        <v>0</v>
      </c>
      <c r="P167" s="22" t="s">
        <v>104</v>
      </c>
    </row>
    <row r="168" customFormat="false" ht="15" hidden="false" customHeight="false" outlineLevel="0" collapsed="false">
      <c r="A168" s="19" t="n">
        <v>167</v>
      </c>
      <c r="B168" s="20" t="n">
        <v>52</v>
      </c>
      <c r="C168" s="20" t="n">
        <v>1</v>
      </c>
      <c r="D168" s="20" t="n">
        <v>3</v>
      </c>
      <c r="E168" s="20" t="n">
        <v>138</v>
      </c>
      <c r="F168" s="20" t="n">
        <v>223</v>
      </c>
      <c r="G168" s="20" t="n">
        <v>0</v>
      </c>
      <c r="H168" s="20" t="n">
        <v>0</v>
      </c>
      <c r="I168" s="20" t="n">
        <v>169</v>
      </c>
      <c r="J168" s="20" t="n">
        <v>0</v>
      </c>
      <c r="K168" s="21" t="n">
        <v>0</v>
      </c>
      <c r="L168" s="20" t="n">
        <v>1</v>
      </c>
      <c r="M168" s="20"/>
      <c r="N168" s="20" t="n">
        <v>3</v>
      </c>
      <c r="O168" s="20" t="n">
        <v>0</v>
      </c>
      <c r="P168" s="22" t="s">
        <v>104</v>
      </c>
    </row>
    <row r="169" customFormat="false" ht="15" hidden="false" customHeight="false" outlineLevel="0" collapsed="false">
      <c r="A169" s="19" t="n">
        <v>168</v>
      </c>
      <c r="B169" s="20" t="n">
        <v>54</v>
      </c>
      <c r="C169" s="20" t="n">
        <v>0</v>
      </c>
      <c r="D169" s="20" t="n">
        <v>2</v>
      </c>
      <c r="E169" s="20" t="n">
        <v>132</v>
      </c>
      <c r="F169" s="20" t="n">
        <v>288</v>
      </c>
      <c r="G169" s="20" t="n">
        <v>1</v>
      </c>
      <c r="H169" s="20" t="n">
        <v>2</v>
      </c>
      <c r="I169" s="20" t="n">
        <v>159</v>
      </c>
      <c r="J169" s="20" t="n">
        <v>1</v>
      </c>
      <c r="K169" s="21" t="n">
        <v>0</v>
      </c>
      <c r="L169" s="20" t="n">
        <v>1</v>
      </c>
      <c r="M169" s="20" t="n">
        <v>1</v>
      </c>
      <c r="N169" s="20" t="n">
        <v>3</v>
      </c>
      <c r="O169" s="20" t="n">
        <v>0</v>
      </c>
      <c r="P169" s="22" t="s">
        <v>104</v>
      </c>
    </row>
    <row r="170" customFormat="false" ht="15" hidden="false" customHeight="false" outlineLevel="0" collapsed="false">
      <c r="A170" s="19" t="n">
        <v>169</v>
      </c>
      <c r="B170" s="20" t="n">
        <v>35</v>
      </c>
      <c r="C170" s="20" t="n">
        <v>1</v>
      </c>
      <c r="D170" s="20" t="n">
        <v>4</v>
      </c>
      <c r="E170" s="20" t="n">
        <v>126</v>
      </c>
      <c r="F170" s="20" t="n">
        <v>282</v>
      </c>
      <c r="G170" s="20" t="n">
        <v>0</v>
      </c>
      <c r="H170" s="20" t="n">
        <v>2</v>
      </c>
      <c r="I170" s="20" t="n">
        <v>156</v>
      </c>
      <c r="J170" s="20" t="n">
        <v>1</v>
      </c>
      <c r="K170" s="21" t="n">
        <v>0</v>
      </c>
      <c r="L170" s="20" t="n">
        <v>1</v>
      </c>
      <c r="M170" s="20" t="n">
        <v>0</v>
      </c>
      <c r="N170" s="20" t="n">
        <v>7</v>
      </c>
      <c r="O170" s="20" t="n">
        <v>1</v>
      </c>
      <c r="P170" s="22" t="s">
        <v>104</v>
      </c>
    </row>
    <row r="171" customFormat="false" ht="15" hidden="false" customHeight="false" outlineLevel="0" collapsed="false">
      <c r="A171" s="19" t="n">
        <v>170</v>
      </c>
      <c r="B171" s="20" t="n">
        <v>45</v>
      </c>
      <c r="C171" s="20" t="n">
        <v>0</v>
      </c>
      <c r="D171" s="20" t="n">
        <v>2</v>
      </c>
      <c r="E171" s="20" t="n">
        <v>112</v>
      </c>
      <c r="F171" s="20" t="n">
        <v>160</v>
      </c>
      <c r="G171" s="20" t="n">
        <v>0</v>
      </c>
      <c r="H171" s="20" t="n">
        <v>0</v>
      </c>
      <c r="I171" s="20" t="n">
        <v>138</v>
      </c>
      <c r="J171" s="20" t="n">
        <v>0</v>
      </c>
      <c r="K171" s="21" t="n">
        <v>0</v>
      </c>
      <c r="L171" s="20" t="n">
        <v>2</v>
      </c>
      <c r="M171" s="20" t="n">
        <v>0</v>
      </c>
      <c r="N171" s="20" t="n">
        <v>3</v>
      </c>
      <c r="O171" s="20" t="n">
        <v>0</v>
      </c>
      <c r="P171" s="22" t="s">
        <v>104</v>
      </c>
    </row>
    <row r="172" customFormat="false" ht="15" hidden="false" customHeight="false" outlineLevel="0" collapsed="false">
      <c r="A172" s="19" t="n">
        <v>171</v>
      </c>
      <c r="B172" s="20" t="n">
        <v>70</v>
      </c>
      <c r="C172" s="20" t="n">
        <v>1</v>
      </c>
      <c r="D172" s="20" t="n">
        <v>3</v>
      </c>
      <c r="E172" s="20" t="n">
        <v>160</v>
      </c>
      <c r="F172" s="20" t="n">
        <v>269</v>
      </c>
      <c r="G172" s="20" t="n">
        <v>0</v>
      </c>
      <c r="H172" s="20" t="n">
        <v>0</v>
      </c>
      <c r="I172" s="20" t="n">
        <v>112</v>
      </c>
      <c r="J172" s="20" t="n">
        <v>1</v>
      </c>
      <c r="K172" s="21" t="n">
        <v>2.9</v>
      </c>
      <c r="L172" s="20" t="n">
        <v>2</v>
      </c>
      <c r="M172" s="20" t="n">
        <v>1</v>
      </c>
      <c r="N172" s="20" t="n">
        <v>7</v>
      </c>
      <c r="O172" s="20" t="n">
        <v>3</v>
      </c>
      <c r="P172" s="22" t="s">
        <v>104</v>
      </c>
    </row>
    <row r="173" customFormat="false" ht="15" hidden="false" customHeight="false" outlineLevel="0" collapsed="false">
      <c r="A173" s="19" t="n">
        <v>172</v>
      </c>
      <c r="B173" s="20" t="n">
        <v>53</v>
      </c>
      <c r="C173" s="20" t="n">
        <v>1</v>
      </c>
      <c r="D173" s="20" t="n">
        <v>4</v>
      </c>
      <c r="E173" s="20" t="n">
        <v>142</v>
      </c>
      <c r="F173" s="20" t="n">
        <v>226</v>
      </c>
      <c r="G173" s="20" t="n">
        <v>0</v>
      </c>
      <c r="H173" s="20" t="n">
        <v>2</v>
      </c>
      <c r="I173" s="20" t="n">
        <v>111</v>
      </c>
      <c r="J173" s="20" t="n">
        <v>1</v>
      </c>
      <c r="K173" s="21" t="n">
        <v>0</v>
      </c>
      <c r="L173" s="20" t="n">
        <v>1</v>
      </c>
      <c r="M173" s="20" t="n">
        <v>0</v>
      </c>
      <c r="N173" s="20" t="n">
        <v>7</v>
      </c>
      <c r="O173" s="20" t="n">
        <v>0</v>
      </c>
      <c r="P173" s="22" t="s">
        <v>104</v>
      </c>
    </row>
    <row r="174" customFormat="false" ht="15" hidden="false" customHeight="false" outlineLevel="0" collapsed="false">
      <c r="A174" s="19" t="n">
        <v>173</v>
      </c>
      <c r="B174" s="20" t="n">
        <v>59</v>
      </c>
      <c r="C174" s="20" t="n">
        <v>0</v>
      </c>
      <c r="D174" s="20" t="n">
        <v>4</v>
      </c>
      <c r="E174" s="20" t="n">
        <v>174</v>
      </c>
      <c r="F174" s="20" t="n">
        <v>249</v>
      </c>
      <c r="G174" s="20" t="n">
        <v>0</v>
      </c>
      <c r="H174" s="20" t="n">
        <v>0</v>
      </c>
      <c r="I174" s="20" t="n">
        <v>143</v>
      </c>
      <c r="J174" s="20" t="n">
        <v>1</v>
      </c>
      <c r="K174" s="21" t="n">
        <v>0</v>
      </c>
      <c r="L174" s="20" t="n">
        <v>2</v>
      </c>
      <c r="M174" s="20" t="n">
        <v>0</v>
      </c>
      <c r="N174" s="20" t="n">
        <v>3</v>
      </c>
      <c r="O174" s="20" t="n">
        <v>1</v>
      </c>
      <c r="P174" s="22" t="s">
        <v>104</v>
      </c>
    </row>
    <row r="175" customFormat="false" ht="15" hidden="false" customHeight="false" outlineLevel="0" collapsed="false">
      <c r="A175" s="19" t="n">
        <v>174</v>
      </c>
      <c r="B175" s="20" t="n">
        <v>62</v>
      </c>
      <c r="C175" s="20" t="n">
        <v>0</v>
      </c>
      <c r="D175" s="20" t="n">
        <v>4</v>
      </c>
      <c r="E175" s="20" t="n">
        <v>140</v>
      </c>
      <c r="F175" s="20" t="n">
        <v>394</v>
      </c>
      <c r="G175" s="20" t="n">
        <v>0</v>
      </c>
      <c r="H175" s="20" t="n">
        <v>2</v>
      </c>
      <c r="I175" s="20" t="n">
        <v>157</v>
      </c>
      <c r="J175" s="20" t="n">
        <v>0</v>
      </c>
      <c r="K175" s="21" t="n">
        <v>1.2</v>
      </c>
      <c r="L175" s="20" t="n">
        <v>2</v>
      </c>
      <c r="M175" s="20" t="n">
        <v>0</v>
      </c>
      <c r="N175" s="20" t="n">
        <v>3</v>
      </c>
      <c r="O175" s="20" t="n">
        <v>0</v>
      </c>
      <c r="P175" s="22" t="s">
        <v>104</v>
      </c>
    </row>
    <row r="176" customFormat="false" ht="15" hidden="false" customHeight="false" outlineLevel="0" collapsed="false">
      <c r="A176" s="19" t="n">
        <v>175</v>
      </c>
      <c r="B176" s="20" t="n">
        <v>64</v>
      </c>
      <c r="C176" s="20" t="n">
        <v>1</v>
      </c>
      <c r="D176" s="20" t="n">
        <v>4</v>
      </c>
      <c r="E176" s="20" t="n">
        <v>145</v>
      </c>
      <c r="F176" s="20" t="n">
        <v>212</v>
      </c>
      <c r="G176" s="20" t="n">
        <v>0</v>
      </c>
      <c r="H176" s="20" t="n">
        <v>2</v>
      </c>
      <c r="I176" s="20" t="n">
        <v>132</v>
      </c>
      <c r="J176" s="20" t="n">
        <v>0</v>
      </c>
      <c r="K176" s="21" t="n">
        <v>2</v>
      </c>
      <c r="L176" s="20" t="n">
        <v>2</v>
      </c>
      <c r="M176" s="20" t="n">
        <v>2</v>
      </c>
      <c r="N176" s="20" t="n">
        <v>6</v>
      </c>
      <c r="O176" s="20" t="n">
        <v>4</v>
      </c>
      <c r="P176" s="22" t="s">
        <v>104</v>
      </c>
    </row>
    <row r="177" customFormat="false" ht="15" hidden="false" customHeight="false" outlineLevel="0" collapsed="false">
      <c r="A177" s="19" t="n">
        <v>176</v>
      </c>
      <c r="B177" s="20" t="n">
        <v>57</v>
      </c>
      <c r="C177" s="20" t="n">
        <v>1</v>
      </c>
      <c r="D177" s="20" t="n">
        <v>4</v>
      </c>
      <c r="E177" s="20" t="n">
        <v>152</v>
      </c>
      <c r="F177" s="20" t="n">
        <v>274</v>
      </c>
      <c r="G177" s="20" t="n">
        <v>0</v>
      </c>
      <c r="H177" s="20" t="n">
        <v>0</v>
      </c>
      <c r="I177" s="20" t="n">
        <v>88</v>
      </c>
      <c r="J177" s="20" t="n">
        <v>1</v>
      </c>
      <c r="K177" s="21" t="n">
        <v>1.2</v>
      </c>
      <c r="L177" s="20" t="n">
        <v>2</v>
      </c>
      <c r="M177" s="20" t="n">
        <v>1</v>
      </c>
      <c r="N177" s="20" t="n">
        <v>7</v>
      </c>
      <c r="O177" s="20" t="n">
        <v>1</v>
      </c>
      <c r="P177" s="22" t="s">
        <v>104</v>
      </c>
    </row>
    <row r="178" customFormat="false" ht="15" hidden="false" customHeight="false" outlineLevel="0" collapsed="false">
      <c r="A178" s="19" t="n">
        <v>177</v>
      </c>
      <c r="B178" s="20" t="n">
        <v>52</v>
      </c>
      <c r="C178" s="20" t="n">
        <v>1</v>
      </c>
      <c r="D178" s="20" t="n">
        <v>4</v>
      </c>
      <c r="E178" s="20" t="n">
        <v>108</v>
      </c>
      <c r="F178" s="20" t="n">
        <v>233</v>
      </c>
      <c r="G178" s="20" t="n">
        <v>1</v>
      </c>
      <c r="H178" s="20" t="n">
        <v>0</v>
      </c>
      <c r="I178" s="20" t="n">
        <v>147</v>
      </c>
      <c r="J178" s="20" t="n">
        <v>0</v>
      </c>
      <c r="K178" s="21" t="n">
        <v>0.1</v>
      </c>
      <c r="L178" s="20" t="n">
        <v>1</v>
      </c>
      <c r="M178" s="20" t="n">
        <v>3</v>
      </c>
      <c r="N178" s="20" t="n">
        <v>7</v>
      </c>
      <c r="O178" s="20" t="n">
        <v>0</v>
      </c>
      <c r="P178" s="22" t="s">
        <v>104</v>
      </c>
    </row>
    <row r="179" customFormat="false" ht="15" hidden="false" customHeight="false" outlineLevel="0" collapsed="false">
      <c r="A179" s="19" t="n">
        <v>178</v>
      </c>
      <c r="B179" s="20" t="n">
        <v>56</v>
      </c>
      <c r="C179" s="20" t="n">
        <v>1</v>
      </c>
      <c r="D179" s="20" t="n">
        <v>4</v>
      </c>
      <c r="E179" s="20" t="n">
        <v>132</v>
      </c>
      <c r="F179" s="20" t="n">
        <v>184</v>
      </c>
      <c r="G179" s="20" t="n">
        <v>0</v>
      </c>
      <c r="H179" s="20" t="n">
        <v>2</v>
      </c>
      <c r="I179" s="20" t="n">
        <v>105</v>
      </c>
      <c r="J179" s="20" t="n">
        <v>1</v>
      </c>
      <c r="K179" s="21" t="n">
        <v>2.1</v>
      </c>
      <c r="L179" s="20" t="n">
        <v>2</v>
      </c>
      <c r="M179" s="20" t="n">
        <v>1</v>
      </c>
      <c r="N179" s="20" t="n">
        <v>6</v>
      </c>
      <c r="O179" s="20" t="n">
        <v>1</v>
      </c>
      <c r="P179" s="22" t="s">
        <v>104</v>
      </c>
    </row>
    <row r="180" customFormat="false" ht="15" hidden="false" customHeight="false" outlineLevel="0" collapsed="false">
      <c r="A180" s="19" t="n">
        <v>179</v>
      </c>
      <c r="B180" s="20" t="n">
        <v>43</v>
      </c>
      <c r="C180" s="20" t="n">
        <v>1</v>
      </c>
      <c r="D180" s="20" t="n">
        <v>3</v>
      </c>
      <c r="E180" s="20" t="n">
        <v>130</v>
      </c>
      <c r="F180" s="20" t="n">
        <v>315</v>
      </c>
      <c r="G180" s="20" t="n">
        <v>0</v>
      </c>
      <c r="H180" s="20" t="n">
        <v>0</v>
      </c>
      <c r="I180" s="20" t="n">
        <v>162</v>
      </c>
      <c r="J180" s="20" t="n">
        <v>0</v>
      </c>
      <c r="K180" s="21" t="n">
        <v>1.9</v>
      </c>
      <c r="L180" s="20" t="n">
        <v>1</v>
      </c>
      <c r="M180" s="20" t="n">
        <v>1</v>
      </c>
      <c r="N180" s="20" t="n">
        <v>3</v>
      </c>
      <c r="O180" s="20" t="n">
        <v>0</v>
      </c>
      <c r="P180" s="22" t="s">
        <v>104</v>
      </c>
    </row>
    <row r="181" customFormat="false" ht="15" hidden="false" customHeight="false" outlineLevel="0" collapsed="false">
      <c r="A181" s="19" t="n">
        <v>180</v>
      </c>
      <c r="B181" s="20" t="n">
        <v>53</v>
      </c>
      <c r="C181" s="20" t="n">
        <v>1</v>
      </c>
      <c r="D181" s="20" t="n">
        <v>3</v>
      </c>
      <c r="E181" s="20" t="n">
        <v>130</v>
      </c>
      <c r="F181" s="20" t="n">
        <v>246</v>
      </c>
      <c r="G181" s="20" t="n">
        <v>1</v>
      </c>
      <c r="H181" s="20" t="n">
        <v>2</v>
      </c>
      <c r="I181" s="20" t="n">
        <v>173</v>
      </c>
      <c r="J181" s="20" t="n">
        <v>0</v>
      </c>
      <c r="K181" s="21" t="n">
        <v>0</v>
      </c>
      <c r="L181" s="20" t="n">
        <v>1</v>
      </c>
      <c r="M181" s="20" t="n">
        <v>3</v>
      </c>
      <c r="N181" s="20" t="n">
        <v>3</v>
      </c>
      <c r="O181" s="20" t="n">
        <v>0</v>
      </c>
      <c r="P181" s="22" t="s">
        <v>104</v>
      </c>
    </row>
    <row r="182" customFormat="false" ht="15" hidden="false" customHeight="false" outlineLevel="0" collapsed="false">
      <c r="A182" s="19" t="n">
        <v>181</v>
      </c>
      <c r="B182" s="20" t="n">
        <v>48</v>
      </c>
      <c r="C182" s="20" t="n">
        <v>1</v>
      </c>
      <c r="D182" s="20" t="n">
        <v>4</v>
      </c>
      <c r="E182" s="20" t="n">
        <v>124</v>
      </c>
      <c r="F182" s="20" t="n">
        <v>274</v>
      </c>
      <c r="G182" s="20" t="n">
        <v>0</v>
      </c>
      <c r="H182" s="20" t="n">
        <v>2</v>
      </c>
      <c r="I182" s="20" t="n">
        <v>166</v>
      </c>
      <c r="J182" s="20" t="n">
        <v>0</v>
      </c>
      <c r="K182" s="21" t="n">
        <v>0.5</v>
      </c>
      <c r="L182" s="20" t="n">
        <v>2</v>
      </c>
      <c r="M182" s="20" t="n">
        <v>0</v>
      </c>
      <c r="N182" s="20" t="n">
        <v>7</v>
      </c>
      <c r="O182" s="20" t="n">
        <v>3</v>
      </c>
      <c r="P182" s="22" t="s">
        <v>104</v>
      </c>
    </row>
    <row r="183" customFormat="false" ht="15" hidden="false" customHeight="false" outlineLevel="0" collapsed="false">
      <c r="A183" s="19" t="n">
        <v>182</v>
      </c>
      <c r="B183" s="20" t="n">
        <v>56</v>
      </c>
      <c r="C183" s="20" t="n">
        <v>0</v>
      </c>
      <c r="D183" s="20" t="n">
        <v>4</v>
      </c>
      <c r="E183" s="20" t="n">
        <v>134</v>
      </c>
      <c r="F183" s="20" t="n">
        <v>409</v>
      </c>
      <c r="G183" s="20" t="n">
        <v>0</v>
      </c>
      <c r="H183" s="20" t="n">
        <v>2</v>
      </c>
      <c r="I183" s="20" t="n">
        <v>150</v>
      </c>
      <c r="J183" s="20" t="n">
        <v>1</v>
      </c>
      <c r="K183" s="21" t="n">
        <v>1.9</v>
      </c>
      <c r="L183" s="20" t="n">
        <v>2</v>
      </c>
      <c r="M183" s="20" t="n">
        <v>2</v>
      </c>
      <c r="N183" s="20" t="n">
        <v>7</v>
      </c>
      <c r="O183" s="20" t="n">
        <v>2</v>
      </c>
      <c r="P183" s="22" t="s">
        <v>104</v>
      </c>
    </row>
    <row r="184" customFormat="false" ht="15" hidden="false" customHeight="false" outlineLevel="0" collapsed="false">
      <c r="A184" s="19" t="n">
        <v>183</v>
      </c>
      <c r="B184" s="20" t="n">
        <v>42</v>
      </c>
      <c r="C184" s="20" t="n">
        <v>1</v>
      </c>
      <c r="D184" s="20" t="n">
        <v>1</v>
      </c>
      <c r="E184" s="20" t="n">
        <v>148</v>
      </c>
      <c r="F184" s="20" t="n">
        <v>244</v>
      </c>
      <c r="G184" s="20" t="n">
        <v>0</v>
      </c>
      <c r="H184" s="20" t="n">
        <v>2</v>
      </c>
      <c r="I184" s="20" t="n">
        <v>178</v>
      </c>
      <c r="J184" s="20" t="n">
        <v>0</v>
      </c>
      <c r="K184" s="21" t="n">
        <v>0.8</v>
      </c>
      <c r="L184" s="20" t="n">
        <v>1</v>
      </c>
      <c r="M184" s="20" t="n">
        <v>2</v>
      </c>
      <c r="N184" s="20" t="n">
        <v>3</v>
      </c>
      <c r="O184" s="20" t="n">
        <v>0</v>
      </c>
      <c r="P184" s="22" t="s">
        <v>104</v>
      </c>
    </row>
    <row r="185" customFormat="false" ht="15" hidden="false" customHeight="false" outlineLevel="0" collapsed="false">
      <c r="A185" s="19" t="n">
        <v>184</v>
      </c>
      <c r="B185" s="20" t="n">
        <v>59</v>
      </c>
      <c r="C185" s="20" t="n">
        <v>1</v>
      </c>
      <c r="D185" s="20" t="n">
        <v>1</v>
      </c>
      <c r="E185" s="20" t="n">
        <v>178</v>
      </c>
      <c r="F185" s="20" t="n">
        <v>270</v>
      </c>
      <c r="G185" s="20" t="n">
        <v>0</v>
      </c>
      <c r="H185" s="20" t="n">
        <v>2</v>
      </c>
      <c r="I185" s="20" t="n">
        <v>145</v>
      </c>
      <c r="J185" s="20" t="n">
        <v>0</v>
      </c>
      <c r="K185" s="21" t="n">
        <v>4.2</v>
      </c>
      <c r="L185" s="20" t="n">
        <v>3</v>
      </c>
      <c r="M185" s="20" t="n">
        <v>0</v>
      </c>
      <c r="N185" s="20" t="n">
        <v>7</v>
      </c>
      <c r="O185" s="20" t="n">
        <v>0</v>
      </c>
      <c r="P185" s="22" t="s">
        <v>104</v>
      </c>
    </row>
    <row r="186" customFormat="false" ht="15" hidden="false" customHeight="false" outlineLevel="0" collapsed="false">
      <c r="A186" s="19" t="n">
        <v>185</v>
      </c>
      <c r="B186" s="20" t="n">
        <v>60</v>
      </c>
      <c r="C186" s="20" t="n">
        <v>0</v>
      </c>
      <c r="D186" s="20" t="n">
        <v>4</v>
      </c>
      <c r="E186" s="20" t="n">
        <v>158</v>
      </c>
      <c r="F186" s="20" t="n">
        <v>305</v>
      </c>
      <c r="G186" s="20" t="n">
        <v>0</v>
      </c>
      <c r="H186" s="20" t="n">
        <v>2</v>
      </c>
      <c r="I186" s="20" t="n">
        <v>161</v>
      </c>
      <c r="J186" s="20" t="n">
        <v>0</v>
      </c>
      <c r="K186" s="21" t="n">
        <v>0</v>
      </c>
      <c r="L186" s="20" t="n">
        <v>1</v>
      </c>
      <c r="M186" s="20" t="n">
        <v>0</v>
      </c>
      <c r="N186" s="20" t="n">
        <v>3</v>
      </c>
      <c r="O186" s="20" t="n">
        <v>1</v>
      </c>
      <c r="P186" s="22" t="s">
        <v>104</v>
      </c>
    </row>
    <row r="187" customFormat="false" ht="15" hidden="false" customHeight="false" outlineLevel="0" collapsed="false">
      <c r="A187" s="19" t="n">
        <v>186</v>
      </c>
      <c r="B187" s="20" t="n">
        <v>63</v>
      </c>
      <c r="C187" s="20" t="n">
        <v>0</v>
      </c>
      <c r="D187" s="20" t="n">
        <v>2</v>
      </c>
      <c r="E187" s="20" t="n">
        <v>140</v>
      </c>
      <c r="F187" s="20" t="n">
        <v>195</v>
      </c>
      <c r="G187" s="20" t="n">
        <v>0</v>
      </c>
      <c r="H187" s="20" t="n">
        <v>0</v>
      </c>
      <c r="I187" s="20" t="n">
        <v>179</v>
      </c>
      <c r="J187" s="20" t="n">
        <v>0</v>
      </c>
      <c r="K187" s="21" t="n">
        <v>0</v>
      </c>
      <c r="L187" s="20" t="n">
        <v>1</v>
      </c>
      <c r="M187" s="20" t="n">
        <v>2</v>
      </c>
      <c r="N187" s="20" t="n">
        <v>3</v>
      </c>
      <c r="O187" s="20" t="n">
        <v>0</v>
      </c>
      <c r="P187" s="22" t="s">
        <v>104</v>
      </c>
    </row>
    <row r="188" customFormat="false" ht="15" hidden="false" customHeight="false" outlineLevel="0" collapsed="false">
      <c r="A188" s="19" t="n">
        <v>187</v>
      </c>
      <c r="B188" s="20" t="n">
        <v>42</v>
      </c>
      <c r="C188" s="20" t="n">
        <v>1</v>
      </c>
      <c r="D188" s="20" t="n">
        <v>3</v>
      </c>
      <c r="E188" s="20" t="n">
        <v>120</v>
      </c>
      <c r="F188" s="20" t="n">
        <v>240</v>
      </c>
      <c r="G188" s="20" t="n">
        <v>1</v>
      </c>
      <c r="H188" s="20" t="n">
        <v>0</v>
      </c>
      <c r="I188" s="20" t="n">
        <v>194</v>
      </c>
      <c r="J188" s="20" t="n">
        <v>0</v>
      </c>
      <c r="K188" s="21" t="n">
        <v>0.8</v>
      </c>
      <c r="L188" s="20" t="n">
        <v>3</v>
      </c>
      <c r="M188" s="20" t="n">
        <v>0</v>
      </c>
      <c r="N188" s="20" t="n">
        <v>7</v>
      </c>
      <c r="O188" s="20" t="n">
        <v>0</v>
      </c>
      <c r="P188" s="22" t="s">
        <v>104</v>
      </c>
    </row>
    <row r="189" customFormat="false" ht="15" hidden="false" customHeight="false" outlineLevel="0" collapsed="false">
      <c r="A189" s="19" t="n">
        <v>188</v>
      </c>
      <c r="B189" s="20" t="n">
        <v>66</v>
      </c>
      <c r="C189" s="20" t="n">
        <v>1</v>
      </c>
      <c r="D189" s="20" t="n">
        <v>2</v>
      </c>
      <c r="E189" s="20" t="n">
        <v>160</v>
      </c>
      <c r="F189" s="20" t="n">
        <v>246</v>
      </c>
      <c r="G189" s="20" t="n">
        <v>0</v>
      </c>
      <c r="H189" s="20" t="n">
        <v>0</v>
      </c>
      <c r="I189" s="20" t="n">
        <v>120</v>
      </c>
      <c r="J189" s="20" t="n">
        <v>1</v>
      </c>
      <c r="K189" s="21" t="n">
        <v>0</v>
      </c>
      <c r="L189" s="20" t="n">
        <v>2</v>
      </c>
      <c r="M189" s="20" t="n">
        <v>3</v>
      </c>
      <c r="N189" s="20" t="n">
        <v>6</v>
      </c>
      <c r="O189" s="20" t="n">
        <v>2</v>
      </c>
      <c r="P189" s="22" t="s">
        <v>104</v>
      </c>
    </row>
    <row r="190" customFormat="false" ht="15" hidden="false" customHeight="false" outlineLevel="0" collapsed="false">
      <c r="A190" s="19" t="n">
        <v>189</v>
      </c>
      <c r="B190" s="20" t="n">
        <v>54</v>
      </c>
      <c r="C190" s="20" t="n">
        <v>1</v>
      </c>
      <c r="D190" s="20" t="n">
        <v>2</v>
      </c>
      <c r="E190" s="20" t="n">
        <v>192</v>
      </c>
      <c r="F190" s="20" t="n">
        <v>283</v>
      </c>
      <c r="G190" s="20" t="n">
        <v>0</v>
      </c>
      <c r="H190" s="20" t="n">
        <v>2</v>
      </c>
      <c r="I190" s="20" t="n">
        <v>195</v>
      </c>
      <c r="J190" s="20" t="n">
        <v>0</v>
      </c>
      <c r="K190" s="21" t="n">
        <v>0</v>
      </c>
      <c r="L190" s="20" t="n">
        <v>1</v>
      </c>
      <c r="M190" s="20" t="n">
        <v>1</v>
      </c>
      <c r="N190" s="20" t="n">
        <v>7</v>
      </c>
      <c r="O190" s="20" t="n">
        <v>1</v>
      </c>
      <c r="P190" s="22" t="s">
        <v>104</v>
      </c>
    </row>
    <row r="191" customFormat="false" ht="15" hidden="false" customHeight="false" outlineLevel="0" collapsed="false">
      <c r="A191" s="19" t="n">
        <v>190</v>
      </c>
      <c r="B191" s="20" t="n">
        <v>69</v>
      </c>
      <c r="C191" s="20" t="n">
        <v>1</v>
      </c>
      <c r="D191" s="20" t="n">
        <v>3</v>
      </c>
      <c r="E191" s="20" t="n">
        <v>140</v>
      </c>
      <c r="F191" s="20" t="n">
        <v>254</v>
      </c>
      <c r="G191" s="20" t="n">
        <v>0</v>
      </c>
      <c r="H191" s="20" t="n">
        <v>2</v>
      </c>
      <c r="I191" s="20" t="n">
        <v>146</v>
      </c>
      <c r="J191" s="20" t="n">
        <v>0</v>
      </c>
      <c r="K191" s="21" t="n">
        <v>2</v>
      </c>
      <c r="L191" s="20" t="n">
        <v>2</v>
      </c>
      <c r="M191" s="20" t="n">
        <v>3</v>
      </c>
      <c r="N191" s="20" t="n">
        <v>7</v>
      </c>
      <c r="O191" s="20" t="n">
        <v>2</v>
      </c>
      <c r="P191" s="22" t="s">
        <v>104</v>
      </c>
    </row>
    <row r="192" customFormat="false" ht="15" hidden="false" customHeight="false" outlineLevel="0" collapsed="false">
      <c r="A192" s="19" t="n">
        <v>191</v>
      </c>
      <c r="B192" s="20" t="n">
        <v>50</v>
      </c>
      <c r="C192" s="20" t="n">
        <v>1</v>
      </c>
      <c r="D192" s="20" t="n">
        <v>3</v>
      </c>
      <c r="E192" s="20" t="n">
        <v>129</v>
      </c>
      <c r="F192" s="20" t="n">
        <v>196</v>
      </c>
      <c r="G192" s="20" t="n">
        <v>0</v>
      </c>
      <c r="H192" s="20" t="n">
        <v>0</v>
      </c>
      <c r="I192" s="20" t="n">
        <v>163</v>
      </c>
      <c r="J192" s="20" t="n">
        <v>0</v>
      </c>
      <c r="K192" s="21" t="n">
        <v>0</v>
      </c>
      <c r="L192" s="20" t="n">
        <v>1</v>
      </c>
      <c r="M192" s="20" t="n">
        <v>0</v>
      </c>
      <c r="N192" s="20" t="n">
        <v>3</v>
      </c>
      <c r="O192" s="20" t="n">
        <v>0</v>
      </c>
      <c r="P192" s="22" t="s">
        <v>104</v>
      </c>
    </row>
    <row r="193" customFormat="false" ht="15" hidden="false" customHeight="false" outlineLevel="0" collapsed="false">
      <c r="A193" s="19" t="n">
        <v>192</v>
      </c>
      <c r="B193" s="20" t="n">
        <v>51</v>
      </c>
      <c r="C193" s="20" t="n">
        <v>1</v>
      </c>
      <c r="D193" s="20" t="n">
        <v>4</v>
      </c>
      <c r="E193" s="20" t="n">
        <v>140</v>
      </c>
      <c r="F193" s="20" t="n">
        <v>298</v>
      </c>
      <c r="G193" s="20" t="n">
        <v>0</v>
      </c>
      <c r="H193" s="20" t="n">
        <v>0</v>
      </c>
      <c r="I193" s="20" t="n">
        <v>122</v>
      </c>
      <c r="J193" s="20" t="n">
        <v>1</v>
      </c>
      <c r="K193" s="21" t="n">
        <v>4.2</v>
      </c>
      <c r="L193" s="20" t="n">
        <v>2</v>
      </c>
      <c r="M193" s="20" t="n">
        <v>3</v>
      </c>
      <c r="N193" s="20" t="n">
        <v>7</v>
      </c>
      <c r="O193" s="20" t="n">
        <v>3</v>
      </c>
      <c r="P193" s="22" t="s">
        <v>104</v>
      </c>
    </row>
    <row r="194" customFormat="false" ht="15" hidden="false" customHeight="false" outlineLevel="0" collapsed="false">
      <c r="A194" s="19" t="n">
        <v>193</v>
      </c>
      <c r="B194" s="20" t="n">
        <v>43</v>
      </c>
      <c r="C194" s="20" t="n">
        <v>1</v>
      </c>
      <c r="D194" s="20" t="n">
        <v>4</v>
      </c>
      <c r="E194" s="20" t="n">
        <v>132</v>
      </c>
      <c r="F194" s="20" t="n">
        <v>247</v>
      </c>
      <c r="G194" s="20" t="n">
        <v>1</v>
      </c>
      <c r="H194" s="20" t="n">
        <v>2</v>
      </c>
      <c r="I194" s="20" t="n">
        <v>143</v>
      </c>
      <c r="J194" s="20" t="n">
        <v>1</v>
      </c>
      <c r="K194" s="21" t="n">
        <v>0.1</v>
      </c>
      <c r="L194" s="20" t="n">
        <v>2</v>
      </c>
      <c r="M194" s="20"/>
      <c r="N194" s="20" t="n">
        <v>7</v>
      </c>
      <c r="O194" s="20" t="n">
        <v>1</v>
      </c>
      <c r="P194" s="22" t="s">
        <v>104</v>
      </c>
    </row>
    <row r="195" customFormat="false" ht="15" hidden="false" customHeight="false" outlineLevel="0" collapsed="false">
      <c r="A195" s="19" t="n">
        <v>194</v>
      </c>
      <c r="B195" s="20" t="n">
        <v>62</v>
      </c>
      <c r="C195" s="20" t="n">
        <v>0</v>
      </c>
      <c r="D195" s="20" t="n">
        <v>4</v>
      </c>
      <c r="E195" s="20" t="n">
        <v>138</v>
      </c>
      <c r="F195" s="20" t="n">
        <v>294</v>
      </c>
      <c r="G195" s="20" t="n">
        <v>1</v>
      </c>
      <c r="H195" s="20" t="n">
        <v>0</v>
      </c>
      <c r="I195" s="20" t="n">
        <v>106</v>
      </c>
      <c r="J195" s="20" t="n">
        <v>0</v>
      </c>
      <c r="K195" s="21" t="n">
        <v>1.9</v>
      </c>
      <c r="L195" s="20" t="n">
        <v>2</v>
      </c>
      <c r="M195" s="20" t="n">
        <v>3</v>
      </c>
      <c r="N195" s="20" t="n">
        <v>3</v>
      </c>
      <c r="O195" s="20" t="n">
        <v>2</v>
      </c>
      <c r="P195" s="22" t="s">
        <v>104</v>
      </c>
    </row>
    <row r="196" customFormat="false" ht="15" hidden="false" customHeight="false" outlineLevel="0" collapsed="false">
      <c r="A196" s="19" t="n">
        <v>195</v>
      </c>
      <c r="B196" s="20" t="n">
        <v>68</v>
      </c>
      <c r="C196" s="20" t="n">
        <v>0</v>
      </c>
      <c r="D196" s="20" t="n">
        <v>3</v>
      </c>
      <c r="E196" s="20" t="n">
        <v>120</v>
      </c>
      <c r="F196" s="20" t="n">
        <v>211</v>
      </c>
      <c r="G196" s="20" t="n">
        <v>0</v>
      </c>
      <c r="H196" s="20" t="n">
        <v>2</v>
      </c>
      <c r="I196" s="20" t="n">
        <v>115</v>
      </c>
      <c r="J196" s="20" t="n">
        <v>0</v>
      </c>
      <c r="K196" s="21" t="n">
        <v>1.5</v>
      </c>
      <c r="L196" s="20" t="n">
        <v>2</v>
      </c>
      <c r="M196" s="20" t="n">
        <v>0</v>
      </c>
      <c r="N196" s="20" t="n">
        <v>3</v>
      </c>
      <c r="O196" s="20" t="n">
        <v>0</v>
      </c>
      <c r="P196" s="22" t="s">
        <v>104</v>
      </c>
    </row>
    <row r="197" customFormat="false" ht="15" hidden="false" customHeight="false" outlineLevel="0" collapsed="false">
      <c r="A197" s="19" t="n">
        <v>196</v>
      </c>
      <c r="B197" s="20" t="n">
        <v>67</v>
      </c>
      <c r="C197" s="20" t="n">
        <v>1</v>
      </c>
      <c r="D197" s="20" t="n">
        <v>4</v>
      </c>
      <c r="E197" s="20" t="n">
        <v>100</v>
      </c>
      <c r="F197" s="20" t="n">
        <v>299</v>
      </c>
      <c r="G197" s="20" t="n">
        <v>0</v>
      </c>
      <c r="H197" s="20" t="n">
        <v>2</v>
      </c>
      <c r="I197" s="20" t="n">
        <v>125</v>
      </c>
      <c r="J197" s="20" t="n">
        <v>1</v>
      </c>
      <c r="K197" s="21" t="n">
        <v>0.9</v>
      </c>
      <c r="L197" s="20" t="n">
        <v>2</v>
      </c>
      <c r="M197" s="20" t="n">
        <v>2</v>
      </c>
      <c r="N197" s="20" t="n">
        <v>3</v>
      </c>
      <c r="O197" s="20" t="n">
        <v>3</v>
      </c>
      <c r="P197" s="22" t="s">
        <v>104</v>
      </c>
    </row>
    <row r="198" customFormat="false" ht="15" hidden="false" customHeight="false" outlineLevel="0" collapsed="false">
      <c r="A198" s="19" t="n">
        <v>197</v>
      </c>
      <c r="B198" s="20" t="n">
        <v>69</v>
      </c>
      <c r="C198" s="20" t="n">
        <v>1</v>
      </c>
      <c r="D198" s="20" t="n">
        <v>1</v>
      </c>
      <c r="E198" s="20" t="n">
        <v>160</v>
      </c>
      <c r="F198" s="20" t="n">
        <v>234</v>
      </c>
      <c r="G198" s="20" t="n">
        <v>1</v>
      </c>
      <c r="H198" s="20" t="n">
        <v>2</v>
      </c>
      <c r="I198" s="20" t="n">
        <v>131</v>
      </c>
      <c r="J198" s="20" t="n">
        <v>0</v>
      </c>
      <c r="K198" s="21" t="n">
        <v>0.1</v>
      </c>
      <c r="L198" s="20" t="n">
        <v>2</v>
      </c>
      <c r="M198" s="20" t="n">
        <v>1</v>
      </c>
      <c r="N198" s="20" t="n">
        <v>3</v>
      </c>
      <c r="O198" s="20" t="n">
        <v>0</v>
      </c>
      <c r="P198" s="22" t="s">
        <v>104</v>
      </c>
    </row>
    <row r="199" customFormat="false" ht="15" hidden="false" customHeight="false" outlineLevel="0" collapsed="false">
      <c r="A199" s="19" t="n">
        <v>198</v>
      </c>
      <c r="B199" s="20" t="n">
        <v>45</v>
      </c>
      <c r="C199" s="20" t="n">
        <v>0</v>
      </c>
      <c r="D199" s="20" t="n">
        <v>4</v>
      </c>
      <c r="E199" s="20" t="n">
        <v>138</v>
      </c>
      <c r="F199" s="20" t="n">
        <v>236</v>
      </c>
      <c r="G199" s="20" t="n">
        <v>0</v>
      </c>
      <c r="H199" s="20" t="n">
        <v>2</v>
      </c>
      <c r="I199" s="20" t="n">
        <v>152</v>
      </c>
      <c r="J199" s="20" t="n">
        <v>1</v>
      </c>
      <c r="K199" s="21" t="n">
        <v>0.2</v>
      </c>
      <c r="L199" s="20" t="n">
        <v>2</v>
      </c>
      <c r="M199" s="20" t="n">
        <v>0</v>
      </c>
      <c r="N199" s="20" t="n">
        <v>3</v>
      </c>
      <c r="O199" s="20" t="n">
        <v>0</v>
      </c>
      <c r="P199" s="22" t="s">
        <v>104</v>
      </c>
    </row>
    <row r="200" customFormat="false" ht="15" hidden="false" customHeight="false" outlineLevel="0" collapsed="false">
      <c r="A200" s="19" t="n">
        <v>199</v>
      </c>
      <c r="B200" s="20" t="n">
        <v>50</v>
      </c>
      <c r="C200" s="20" t="n">
        <v>0</v>
      </c>
      <c r="D200" s="20" t="n">
        <v>2</v>
      </c>
      <c r="E200" s="20" t="n">
        <v>120</v>
      </c>
      <c r="F200" s="20" t="n">
        <v>244</v>
      </c>
      <c r="G200" s="20" t="n">
        <v>0</v>
      </c>
      <c r="H200" s="20" t="n">
        <v>0</v>
      </c>
      <c r="I200" s="20" t="n">
        <v>162</v>
      </c>
      <c r="J200" s="20" t="n">
        <v>0</v>
      </c>
      <c r="K200" s="21" t="n">
        <v>1.1</v>
      </c>
      <c r="L200" s="20" t="n">
        <v>1</v>
      </c>
      <c r="M200" s="20" t="n">
        <v>0</v>
      </c>
      <c r="N200" s="20" t="n">
        <v>3</v>
      </c>
      <c r="O200" s="20" t="n">
        <v>0</v>
      </c>
      <c r="P200" s="22" t="s">
        <v>104</v>
      </c>
    </row>
    <row r="201" customFormat="false" ht="15" hidden="false" customHeight="false" outlineLevel="0" collapsed="false">
      <c r="A201" s="19" t="n">
        <v>200</v>
      </c>
      <c r="B201" s="20" t="n">
        <v>59</v>
      </c>
      <c r="C201" s="20" t="n">
        <v>1</v>
      </c>
      <c r="D201" s="20" t="n">
        <v>1</v>
      </c>
      <c r="E201" s="20" t="n">
        <v>160</v>
      </c>
      <c r="F201" s="20" t="n">
        <v>273</v>
      </c>
      <c r="G201" s="20" t="n">
        <v>0</v>
      </c>
      <c r="H201" s="20" t="n">
        <v>2</v>
      </c>
      <c r="I201" s="20" t="n">
        <v>125</v>
      </c>
      <c r="J201" s="20" t="n">
        <v>0</v>
      </c>
      <c r="K201" s="21" t="n">
        <v>0</v>
      </c>
      <c r="L201" s="20" t="n">
        <v>1</v>
      </c>
      <c r="M201" s="20" t="n">
        <v>0</v>
      </c>
      <c r="N201" s="20" t="n">
        <v>3</v>
      </c>
      <c r="O201" s="20" t="n">
        <v>1</v>
      </c>
      <c r="P201" s="22" t="s">
        <v>104</v>
      </c>
    </row>
    <row r="202" customFormat="false" ht="15" hidden="false" customHeight="false" outlineLevel="0" collapsed="false">
      <c r="A202" s="19" t="n">
        <v>201</v>
      </c>
      <c r="B202" s="20" t="n">
        <v>50</v>
      </c>
      <c r="C202" s="20" t="n">
        <v>0</v>
      </c>
      <c r="D202" s="20" t="n">
        <v>4</v>
      </c>
      <c r="E202" s="20" t="n">
        <v>110</v>
      </c>
      <c r="F202" s="20" t="n">
        <v>254</v>
      </c>
      <c r="G202" s="20" t="n">
        <v>0</v>
      </c>
      <c r="H202" s="20" t="n">
        <v>2</v>
      </c>
      <c r="I202" s="20" t="n">
        <v>159</v>
      </c>
      <c r="J202" s="20" t="n">
        <v>0</v>
      </c>
      <c r="K202" s="21" t="n">
        <v>0</v>
      </c>
      <c r="L202" s="20" t="n">
        <v>1</v>
      </c>
      <c r="M202" s="20" t="n">
        <v>0</v>
      </c>
      <c r="N202" s="20" t="n">
        <v>3</v>
      </c>
      <c r="O202" s="20" t="n">
        <v>0</v>
      </c>
      <c r="P202" s="22" t="s">
        <v>104</v>
      </c>
    </row>
    <row r="203" customFormat="false" ht="15" hidden="false" customHeight="false" outlineLevel="0" collapsed="false">
      <c r="A203" s="19" t="n">
        <v>202</v>
      </c>
      <c r="B203" s="20" t="n">
        <v>64</v>
      </c>
      <c r="C203" s="20" t="n">
        <v>0</v>
      </c>
      <c r="D203" s="20" t="n">
        <v>4</v>
      </c>
      <c r="E203" s="20" t="n">
        <v>180</v>
      </c>
      <c r="F203" s="20" t="n">
        <v>325</v>
      </c>
      <c r="G203" s="20" t="n">
        <v>0</v>
      </c>
      <c r="H203" s="20" t="n">
        <v>0</v>
      </c>
      <c r="I203" s="20" t="n">
        <v>154</v>
      </c>
      <c r="J203" s="20" t="n">
        <v>1</v>
      </c>
      <c r="K203" s="21" t="n">
        <v>0</v>
      </c>
      <c r="L203" s="20" t="n">
        <v>1</v>
      </c>
      <c r="M203" s="20" t="n">
        <v>0</v>
      </c>
      <c r="N203" s="20" t="n">
        <v>3</v>
      </c>
      <c r="O203" s="20" t="n">
        <v>0</v>
      </c>
      <c r="P203" s="22" t="s">
        <v>104</v>
      </c>
    </row>
    <row r="204" customFormat="false" ht="15" hidden="false" customHeight="false" outlineLevel="0" collapsed="false">
      <c r="A204" s="19" t="n">
        <v>203</v>
      </c>
      <c r="B204" s="20" t="n">
        <v>57</v>
      </c>
      <c r="C204" s="20" t="n">
        <v>1</v>
      </c>
      <c r="D204" s="20" t="n">
        <v>3</v>
      </c>
      <c r="E204" s="20" t="n">
        <v>150</v>
      </c>
      <c r="F204" s="20" t="n">
        <v>126</v>
      </c>
      <c r="G204" s="20" t="n">
        <v>1</v>
      </c>
      <c r="H204" s="20" t="n">
        <v>0</v>
      </c>
      <c r="I204" s="20" t="n">
        <v>173</v>
      </c>
      <c r="J204" s="20" t="n">
        <v>0</v>
      </c>
      <c r="K204" s="21" t="n">
        <v>0.2</v>
      </c>
      <c r="L204" s="20" t="n">
        <v>1</v>
      </c>
      <c r="M204" s="20" t="n">
        <v>1</v>
      </c>
      <c r="N204" s="20" t="n">
        <v>7</v>
      </c>
      <c r="O204" s="20" t="n">
        <v>0</v>
      </c>
      <c r="P204" s="22" t="s">
        <v>104</v>
      </c>
    </row>
    <row r="205" customFormat="false" ht="15" hidden="false" customHeight="false" outlineLevel="0" collapsed="false">
      <c r="A205" s="19" t="n">
        <v>204</v>
      </c>
      <c r="B205" s="20" t="n">
        <v>64</v>
      </c>
      <c r="C205" s="20" t="n">
        <v>0</v>
      </c>
      <c r="D205" s="20" t="n">
        <v>3</v>
      </c>
      <c r="E205" s="20" t="n">
        <v>140</v>
      </c>
      <c r="F205" s="20" t="n">
        <v>313</v>
      </c>
      <c r="G205" s="20" t="n">
        <v>0</v>
      </c>
      <c r="H205" s="20" t="n">
        <v>0</v>
      </c>
      <c r="I205" s="20" t="n">
        <v>133</v>
      </c>
      <c r="J205" s="20" t="n">
        <v>0</v>
      </c>
      <c r="K205" s="21" t="n">
        <v>0.2</v>
      </c>
      <c r="L205" s="20" t="n">
        <v>1</v>
      </c>
      <c r="M205" s="20" t="n">
        <v>0</v>
      </c>
      <c r="N205" s="20" t="n">
        <v>7</v>
      </c>
      <c r="O205" s="20" t="n">
        <v>0</v>
      </c>
      <c r="P205" s="22" t="s">
        <v>104</v>
      </c>
    </row>
    <row r="206" customFormat="false" ht="15" hidden="false" customHeight="false" outlineLevel="0" collapsed="false">
      <c r="A206" s="19" t="n">
        <v>205</v>
      </c>
      <c r="B206" s="20" t="n">
        <v>43</v>
      </c>
      <c r="C206" s="20" t="n">
        <v>1</v>
      </c>
      <c r="D206" s="20" t="n">
        <v>4</v>
      </c>
      <c r="E206" s="20" t="n">
        <v>110</v>
      </c>
      <c r="F206" s="20" t="n">
        <v>211</v>
      </c>
      <c r="G206" s="20" t="n">
        <v>0</v>
      </c>
      <c r="H206" s="20" t="n">
        <v>0</v>
      </c>
      <c r="I206" s="20" t="n">
        <v>161</v>
      </c>
      <c r="J206" s="20" t="n">
        <v>0</v>
      </c>
      <c r="K206" s="21" t="n">
        <v>0</v>
      </c>
      <c r="L206" s="20" t="n">
        <v>1</v>
      </c>
      <c r="M206" s="20" t="n">
        <v>0</v>
      </c>
      <c r="N206" s="20" t="n">
        <v>7</v>
      </c>
      <c r="O206" s="20" t="n">
        <v>0</v>
      </c>
      <c r="P206" s="22" t="s">
        <v>104</v>
      </c>
    </row>
    <row r="207" customFormat="false" ht="15" hidden="false" customHeight="false" outlineLevel="0" collapsed="false">
      <c r="A207" s="19" t="n">
        <v>206</v>
      </c>
      <c r="B207" s="20" t="n">
        <v>45</v>
      </c>
      <c r="C207" s="20" t="n">
        <v>1</v>
      </c>
      <c r="D207" s="20" t="n">
        <v>4</v>
      </c>
      <c r="E207" s="20" t="n">
        <v>142</v>
      </c>
      <c r="F207" s="20" t="n">
        <v>309</v>
      </c>
      <c r="G207" s="20" t="n">
        <v>0</v>
      </c>
      <c r="H207" s="20" t="n">
        <v>2</v>
      </c>
      <c r="I207" s="20" t="n">
        <v>147</v>
      </c>
      <c r="J207" s="20" t="n">
        <v>1</v>
      </c>
      <c r="K207" s="21" t="n">
        <v>0</v>
      </c>
      <c r="L207" s="20" t="n">
        <v>2</v>
      </c>
      <c r="M207" s="20" t="n">
        <v>3</v>
      </c>
      <c r="N207" s="20" t="n">
        <v>7</v>
      </c>
      <c r="O207" s="20" t="n">
        <v>3</v>
      </c>
      <c r="P207" s="22" t="s">
        <v>104</v>
      </c>
    </row>
    <row r="208" customFormat="false" ht="15" hidden="false" customHeight="false" outlineLevel="0" collapsed="false">
      <c r="A208" s="19" t="n">
        <v>207</v>
      </c>
      <c r="B208" s="20" t="n">
        <v>58</v>
      </c>
      <c r="C208" s="20" t="n">
        <v>1</v>
      </c>
      <c r="D208" s="20" t="n">
        <v>4</v>
      </c>
      <c r="E208" s="20" t="n">
        <v>128</v>
      </c>
      <c r="F208" s="20" t="n">
        <v>259</v>
      </c>
      <c r="G208" s="20" t="n">
        <v>0</v>
      </c>
      <c r="H208" s="20" t="n">
        <v>2</v>
      </c>
      <c r="I208" s="20" t="n">
        <v>130</v>
      </c>
      <c r="J208" s="20" t="n">
        <v>1</v>
      </c>
      <c r="K208" s="21" t="n">
        <v>3</v>
      </c>
      <c r="L208" s="20" t="n">
        <v>2</v>
      </c>
      <c r="M208" s="20" t="n">
        <v>2</v>
      </c>
      <c r="N208" s="20" t="n">
        <v>7</v>
      </c>
      <c r="O208" s="20" t="n">
        <v>3</v>
      </c>
      <c r="P208" s="22" t="s">
        <v>104</v>
      </c>
    </row>
    <row r="209" customFormat="false" ht="15" hidden="false" customHeight="false" outlineLevel="0" collapsed="false">
      <c r="A209" s="19" t="n">
        <v>208</v>
      </c>
      <c r="B209" s="20" t="n">
        <v>50</v>
      </c>
      <c r="C209" s="20" t="n">
        <v>1</v>
      </c>
      <c r="D209" s="20" t="n">
        <v>4</v>
      </c>
      <c r="E209" s="20" t="n">
        <v>144</v>
      </c>
      <c r="F209" s="20" t="n">
        <v>200</v>
      </c>
      <c r="G209" s="20" t="n">
        <v>0</v>
      </c>
      <c r="H209" s="20" t="n">
        <v>2</v>
      </c>
      <c r="I209" s="20" t="n">
        <v>126</v>
      </c>
      <c r="J209" s="20" t="n">
        <v>1</v>
      </c>
      <c r="K209" s="21" t="n">
        <v>0.9</v>
      </c>
      <c r="L209" s="20" t="n">
        <v>2</v>
      </c>
      <c r="M209" s="20" t="n">
        <v>0</v>
      </c>
      <c r="N209" s="20" t="n">
        <v>7</v>
      </c>
      <c r="O209" s="20" t="n">
        <v>3</v>
      </c>
      <c r="P209" s="22" t="s">
        <v>104</v>
      </c>
    </row>
    <row r="210" customFormat="false" ht="15" hidden="false" customHeight="false" outlineLevel="0" collapsed="false">
      <c r="A210" s="19" t="n">
        <v>209</v>
      </c>
      <c r="B210" s="20" t="n">
        <v>55</v>
      </c>
      <c r="C210" s="20" t="n">
        <v>1</v>
      </c>
      <c r="D210" s="20" t="n">
        <v>2</v>
      </c>
      <c r="E210" s="20" t="n">
        <v>130</v>
      </c>
      <c r="F210" s="20" t="n">
        <v>262</v>
      </c>
      <c r="G210" s="20" t="n">
        <v>0</v>
      </c>
      <c r="H210" s="20" t="n">
        <v>0</v>
      </c>
      <c r="I210" s="20" t="n">
        <v>155</v>
      </c>
      <c r="J210" s="20" t="n">
        <v>0</v>
      </c>
      <c r="K210" s="21" t="n">
        <v>0</v>
      </c>
      <c r="L210" s="20" t="n">
        <v>1</v>
      </c>
      <c r="M210" s="20" t="n">
        <v>0</v>
      </c>
      <c r="N210" s="20" t="n">
        <v>3</v>
      </c>
      <c r="O210" s="20" t="n">
        <v>0</v>
      </c>
      <c r="P210" s="22" t="s">
        <v>104</v>
      </c>
    </row>
    <row r="211" customFormat="false" ht="15" hidden="false" customHeight="false" outlineLevel="0" collapsed="false">
      <c r="A211" s="19" t="n">
        <v>210</v>
      </c>
      <c r="B211" s="20" t="n">
        <v>62</v>
      </c>
      <c r="C211" s="20" t="n">
        <v>0</v>
      </c>
      <c r="D211" s="20" t="n">
        <v>4</v>
      </c>
      <c r="E211" s="20" t="n">
        <v>150</v>
      </c>
      <c r="F211" s="20" t="n">
        <v>244</v>
      </c>
      <c r="G211" s="20" t="n">
        <v>0</v>
      </c>
      <c r="H211" s="20" t="n">
        <v>0</v>
      </c>
      <c r="I211" s="20" t="n">
        <v>154</v>
      </c>
      <c r="J211" s="20" t="n">
        <v>1</v>
      </c>
      <c r="K211" s="21" t="n">
        <v>1.4</v>
      </c>
      <c r="L211" s="20" t="n">
        <v>2</v>
      </c>
      <c r="M211" s="20" t="n">
        <v>0</v>
      </c>
      <c r="N211" s="20" t="n">
        <v>3</v>
      </c>
      <c r="O211" s="20" t="n">
        <v>1</v>
      </c>
      <c r="P211" s="22" t="s">
        <v>104</v>
      </c>
    </row>
    <row r="212" customFormat="false" ht="15" hidden="false" customHeight="false" outlineLevel="0" collapsed="false">
      <c r="A212" s="19" t="n">
        <v>211</v>
      </c>
      <c r="B212" s="20" t="n">
        <v>37</v>
      </c>
      <c r="C212" s="20" t="n">
        <v>0</v>
      </c>
      <c r="D212" s="20" t="n">
        <v>3</v>
      </c>
      <c r="E212" s="20" t="n">
        <v>120</v>
      </c>
      <c r="F212" s="20" t="n">
        <v>215</v>
      </c>
      <c r="G212" s="20" t="n">
        <v>0</v>
      </c>
      <c r="H212" s="20" t="n">
        <v>0</v>
      </c>
      <c r="I212" s="20" t="n">
        <v>170</v>
      </c>
      <c r="J212" s="20" t="n">
        <v>0</v>
      </c>
      <c r="K212" s="21" t="n">
        <v>0</v>
      </c>
      <c r="L212" s="20" t="n">
        <v>1</v>
      </c>
      <c r="M212" s="20" t="n">
        <v>0</v>
      </c>
      <c r="N212" s="20" t="n">
        <v>3</v>
      </c>
      <c r="O212" s="20" t="n">
        <v>0</v>
      </c>
      <c r="P212" s="22" t="s">
        <v>104</v>
      </c>
    </row>
    <row r="213" customFormat="false" ht="15" hidden="false" customHeight="false" outlineLevel="0" collapsed="false">
      <c r="A213" s="19" t="n">
        <v>212</v>
      </c>
      <c r="B213" s="20" t="n">
        <v>38</v>
      </c>
      <c r="C213" s="20" t="n">
        <v>1</v>
      </c>
      <c r="D213" s="20" t="n">
        <v>1</v>
      </c>
      <c r="E213" s="20" t="n">
        <v>120</v>
      </c>
      <c r="F213" s="20" t="n">
        <v>231</v>
      </c>
      <c r="G213" s="20" t="n">
        <v>0</v>
      </c>
      <c r="H213" s="20" t="n">
        <v>0</v>
      </c>
      <c r="I213" s="20" t="n">
        <v>182</v>
      </c>
      <c r="J213" s="20" t="n">
        <v>1</v>
      </c>
      <c r="K213" s="21" t="n">
        <v>3.8</v>
      </c>
      <c r="L213" s="20" t="n">
        <v>2</v>
      </c>
      <c r="M213" s="20" t="n">
        <v>0</v>
      </c>
      <c r="N213" s="20" t="n">
        <v>7</v>
      </c>
      <c r="O213" s="20" t="n">
        <v>4</v>
      </c>
      <c r="P213" s="22" t="s">
        <v>104</v>
      </c>
    </row>
    <row r="214" customFormat="false" ht="15" hidden="false" customHeight="false" outlineLevel="0" collapsed="false">
      <c r="A214" s="19" t="n">
        <v>213</v>
      </c>
      <c r="B214" s="20" t="n">
        <v>41</v>
      </c>
      <c r="C214" s="20" t="n">
        <v>1</v>
      </c>
      <c r="D214" s="20" t="n">
        <v>3</v>
      </c>
      <c r="E214" s="20" t="n">
        <v>130</v>
      </c>
      <c r="F214" s="20" t="n">
        <v>214</v>
      </c>
      <c r="G214" s="20" t="n">
        <v>0</v>
      </c>
      <c r="H214" s="20" t="n">
        <v>2</v>
      </c>
      <c r="I214" s="20" t="n">
        <v>168</v>
      </c>
      <c r="J214" s="20" t="n">
        <v>0</v>
      </c>
      <c r="K214" s="21" t="n">
        <v>2</v>
      </c>
      <c r="L214" s="20" t="n">
        <v>2</v>
      </c>
      <c r="M214" s="20" t="n">
        <v>0</v>
      </c>
      <c r="N214" s="20" t="n">
        <v>3</v>
      </c>
      <c r="O214" s="20" t="n">
        <v>0</v>
      </c>
      <c r="P214" s="22" t="s">
        <v>104</v>
      </c>
    </row>
    <row r="215" customFormat="false" ht="15" hidden="false" customHeight="false" outlineLevel="0" collapsed="false">
      <c r="A215" s="19" t="n">
        <v>214</v>
      </c>
      <c r="B215" s="20" t="n">
        <v>66</v>
      </c>
      <c r="C215" s="20" t="n">
        <v>0</v>
      </c>
      <c r="D215" s="20" t="n">
        <v>4</v>
      </c>
      <c r="E215" s="20" t="n">
        <v>178</v>
      </c>
      <c r="F215" s="20" t="n">
        <v>228</v>
      </c>
      <c r="G215" s="20" t="n">
        <v>1</v>
      </c>
      <c r="H215" s="20" t="n">
        <v>0</v>
      </c>
      <c r="I215" s="20" t="n">
        <v>165</v>
      </c>
      <c r="J215" s="20" t="n">
        <v>1</v>
      </c>
      <c r="K215" s="21" t="n">
        <v>1</v>
      </c>
      <c r="L215" s="20" t="n">
        <v>2</v>
      </c>
      <c r="M215" s="20" t="n">
        <v>2</v>
      </c>
      <c r="N215" s="20" t="n">
        <v>7</v>
      </c>
      <c r="O215" s="20" t="n">
        <v>3</v>
      </c>
      <c r="P215" s="22" t="s">
        <v>104</v>
      </c>
    </row>
    <row r="216" customFormat="false" ht="15" hidden="false" customHeight="false" outlineLevel="0" collapsed="false">
      <c r="A216" s="19" t="n">
        <v>215</v>
      </c>
      <c r="B216" s="20" t="n">
        <v>52</v>
      </c>
      <c r="C216" s="20" t="n">
        <v>1</v>
      </c>
      <c r="D216" s="20" t="n">
        <v>4</v>
      </c>
      <c r="E216" s="20" t="n">
        <v>112</v>
      </c>
      <c r="F216" s="20" t="n">
        <v>230</v>
      </c>
      <c r="G216" s="20" t="n">
        <v>0</v>
      </c>
      <c r="H216" s="20" t="n">
        <v>0</v>
      </c>
      <c r="I216" s="20" t="n">
        <v>160</v>
      </c>
      <c r="J216" s="20" t="n">
        <v>0</v>
      </c>
      <c r="K216" s="21" t="n">
        <v>0</v>
      </c>
      <c r="L216" s="20" t="n">
        <v>1</v>
      </c>
      <c r="M216" s="20" t="n">
        <v>1</v>
      </c>
      <c r="N216" s="20" t="n">
        <v>3</v>
      </c>
      <c r="O216" s="20" t="n">
        <v>1</v>
      </c>
      <c r="P216" s="22" t="s">
        <v>104</v>
      </c>
    </row>
    <row r="217" customFormat="false" ht="15" hidden="false" customHeight="false" outlineLevel="0" collapsed="false">
      <c r="A217" s="19" t="n">
        <v>216</v>
      </c>
      <c r="B217" s="20" t="n">
        <v>56</v>
      </c>
      <c r="C217" s="20" t="n">
        <v>1</v>
      </c>
      <c r="D217" s="20" t="n">
        <v>1</v>
      </c>
      <c r="E217" s="20" t="n">
        <v>120</v>
      </c>
      <c r="F217" s="20" t="n">
        <v>193</v>
      </c>
      <c r="G217" s="20" t="n">
        <v>0</v>
      </c>
      <c r="H217" s="20" t="n">
        <v>2</v>
      </c>
      <c r="I217" s="20" t="n">
        <v>162</v>
      </c>
      <c r="J217" s="20" t="n">
        <v>0</v>
      </c>
      <c r="K217" s="21" t="n">
        <v>1.9</v>
      </c>
      <c r="L217" s="20" t="n">
        <v>2</v>
      </c>
      <c r="M217" s="20" t="n">
        <v>0</v>
      </c>
      <c r="N217" s="20" t="n">
        <v>7</v>
      </c>
      <c r="O217" s="20" t="n">
        <v>0</v>
      </c>
      <c r="P217" s="22" t="s">
        <v>104</v>
      </c>
    </row>
    <row r="218" customFormat="false" ht="15" hidden="false" customHeight="false" outlineLevel="0" collapsed="false">
      <c r="A218" s="19" t="n">
        <v>217</v>
      </c>
      <c r="B218" s="20" t="n">
        <v>46</v>
      </c>
      <c r="C218" s="20" t="n">
        <v>0</v>
      </c>
      <c r="D218" s="20" t="n">
        <v>2</v>
      </c>
      <c r="E218" s="20" t="n">
        <v>105</v>
      </c>
      <c r="F218" s="20" t="n">
        <v>204</v>
      </c>
      <c r="G218" s="20" t="n">
        <v>0</v>
      </c>
      <c r="H218" s="20" t="n">
        <v>0</v>
      </c>
      <c r="I218" s="20" t="n">
        <v>172</v>
      </c>
      <c r="J218" s="20" t="n">
        <v>0</v>
      </c>
      <c r="K218" s="21" t="n">
        <v>0</v>
      </c>
      <c r="L218" s="20" t="n">
        <v>1</v>
      </c>
      <c r="M218" s="20" t="n">
        <v>0</v>
      </c>
      <c r="N218" s="20" t="n">
        <v>3</v>
      </c>
      <c r="O218" s="20" t="n">
        <v>0</v>
      </c>
      <c r="P218" s="22" t="s">
        <v>104</v>
      </c>
    </row>
    <row r="219" customFormat="false" ht="15" hidden="false" customHeight="false" outlineLevel="0" collapsed="false">
      <c r="A219" s="19" t="n">
        <v>218</v>
      </c>
      <c r="B219" s="20" t="n">
        <v>46</v>
      </c>
      <c r="C219" s="20" t="n">
        <v>0</v>
      </c>
      <c r="D219" s="20" t="n">
        <v>4</v>
      </c>
      <c r="E219" s="20" t="n">
        <v>138</v>
      </c>
      <c r="F219" s="20" t="n">
        <v>243</v>
      </c>
      <c r="G219" s="20" t="n">
        <v>0</v>
      </c>
      <c r="H219" s="20" t="n">
        <v>2</v>
      </c>
      <c r="I219" s="20" t="n">
        <v>152</v>
      </c>
      <c r="J219" s="20" t="n">
        <v>1</v>
      </c>
      <c r="K219" s="21" t="n">
        <v>0</v>
      </c>
      <c r="L219" s="20" t="n">
        <v>2</v>
      </c>
      <c r="M219" s="20" t="n">
        <v>0</v>
      </c>
      <c r="N219" s="20" t="n">
        <v>3</v>
      </c>
      <c r="O219" s="20" t="n">
        <v>0</v>
      </c>
      <c r="P219" s="22" t="s">
        <v>104</v>
      </c>
    </row>
    <row r="220" customFormat="false" ht="15" hidden="false" customHeight="false" outlineLevel="0" collapsed="false">
      <c r="A220" s="19" t="n">
        <v>219</v>
      </c>
      <c r="B220" s="20" t="n">
        <v>64</v>
      </c>
      <c r="C220" s="20" t="n">
        <v>0</v>
      </c>
      <c r="D220" s="20" t="n">
        <v>4</v>
      </c>
      <c r="E220" s="20" t="n">
        <v>130</v>
      </c>
      <c r="F220" s="20" t="n">
        <v>303</v>
      </c>
      <c r="G220" s="20" t="n">
        <v>0</v>
      </c>
      <c r="H220" s="20" t="n">
        <v>0</v>
      </c>
      <c r="I220" s="20" t="n">
        <v>122</v>
      </c>
      <c r="J220" s="20" t="n">
        <v>0</v>
      </c>
      <c r="K220" s="21" t="n">
        <v>2</v>
      </c>
      <c r="L220" s="20" t="n">
        <v>2</v>
      </c>
      <c r="M220" s="20" t="n">
        <v>2</v>
      </c>
      <c r="N220" s="20" t="n">
        <v>3</v>
      </c>
      <c r="O220" s="20" t="n">
        <v>0</v>
      </c>
      <c r="P220" s="22" t="s">
        <v>104</v>
      </c>
    </row>
    <row r="221" customFormat="false" ht="15" hidden="false" customHeight="false" outlineLevel="0" collapsed="false">
      <c r="A221" s="19" t="n">
        <v>220</v>
      </c>
      <c r="B221" s="20" t="n">
        <v>59</v>
      </c>
      <c r="C221" s="20" t="n">
        <v>1</v>
      </c>
      <c r="D221" s="20" t="n">
        <v>4</v>
      </c>
      <c r="E221" s="20" t="n">
        <v>138</v>
      </c>
      <c r="F221" s="20" t="n">
        <v>271</v>
      </c>
      <c r="G221" s="20" t="n">
        <v>0</v>
      </c>
      <c r="H221" s="20" t="n">
        <v>2</v>
      </c>
      <c r="I221" s="20" t="n">
        <v>182</v>
      </c>
      <c r="J221" s="20" t="n">
        <v>0</v>
      </c>
      <c r="K221" s="21" t="n">
        <v>0</v>
      </c>
      <c r="L221" s="20" t="n">
        <v>1</v>
      </c>
      <c r="M221" s="20" t="n">
        <v>0</v>
      </c>
      <c r="N221" s="20" t="n">
        <v>3</v>
      </c>
      <c r="O221" s="20" t="n">
        <v>0</v>
      </c>
      <c r="P221" s="22" t="s">
        <v>104</v>
      </c>
    </row>
    <row r="222" customFormat="false" ht="15" hidden="false" customHeight="false" outlineLevel="0" collapsed="false">
      <c r="A222" s="19" t="n">
        <v>221</v>
      </c>
      <c r="B222" s="20" t="n">
        <v>41</v>
      </c>
      <c r="C222" s="20" t="n">
        <v>0</v>
      </c>
      <c r="D222" s="20" t="n">
        <v>3</v>
      </c>
      <c r="E222" s="20" t="n">
        <v>112</v>
      </c>
      <c r="F222" s="20" t="n">
        <v>268</v>
      </c>
      <c r="G222" s="20" t="n">
        <v>0</v>
      </c>
      <c r="H222" s="20" t="n">
        <v>2</v>
      </c>
      <c r="I222" s="20" t="n">
        <v>172</v>
      </c>
      <c r="J222" s="20" t="n">
        <v>1</v>
      </c>
      <c r="K222" s="21" t="n">
        <v>0</v>
      </c>
      <c r="L222" s="20" t="n">
        <v>1</v>
      </c>
      <c r="M222" s="20" t="n">
        <v>0</v>
      </c>
      <c r="N222" s="20" t="n">
        <v>3</v>
      </c>
      <c r="O222" s="20" t="n">
        <v>0</v>
      </c>
      <c r="P222" s="22" t="s">
        <v>104</v>
      </c>
    </row>
    <row r="223" customFormat="false" ht="15" hidden="false" customHeight="false" outlineLevel="0" collapsed="false">
      <c r="A223" s="19" t="n">
        <v>222</v>
      </c>
      <c r="B223" s="20" t="n">
        <v>54</v>
      </c>
      <c r="C223" s="20" t="n">
        <v>0</v>
      </c>
      <c r="D223" s="20" t="n">
        <v>3</v>
      </c>
      <c r="E223" s="20" t="n">
        <v>108</v>
      </c>
      <c r="F223" s="20" t="n">
        <v>267</v>
      </c>
      <c r="G223" s="20" t="n">
        <v>0</v>
      </c>
      <c r="H223" s="20" t="n">
        <v>2</v>
      </c>
      <c r="I223" s="20" t="n">
        <v>167</v>
      </c>
      <c r="J223" s="20" t="n">
        <v>0</v>
      </c>
      <c r="K223" s="21" t="n">
        <v>0</v>
      </c>
      <c r="L223" s="20" t="n">
        <v>1</v>
      </c>
      <c r="M223" s="20" t="n">
        <v>0</v>
      </c>
      <c r="N223" s="20" t="n">
        <v>3</v>
      </c>
      <c r="O223" s="20" t="n">
        <v>0</v>
      </c>
      <c r="P223" s="22" t="s">
        <v>104</v>
      </c>
    </row>
    <row r="224" customFormat="false" ht="15" hidden="false" customHeight="false" outlineLevel="0" collapsed="false">
      <c r="A224" s="19" t="n">
        <v>223</v>
      </c>
      <c r="B224" s="20" t="n">
        <v>39</v>
      </c>
      <c r="C224" s="20" t="n">
        <v>0</v>
      </c>
      <c r="D224" s="20" t="n">
        <v>3</v>
      </c>
      <c r="E224" s="20" t="n">
        <v>94</v>
      </c>
      <c r="F224" s="20" t="n">
        <v>199</v>
      </c>
      <c r="G224" s="20" t="n">
        <v>0</v>
      </c>
      <c r="H224" s="20" t="n">
        <v>0</v>
      </c>
      <c r="I224" s="20" t="n">
        <v>179</v>
      </c>
      <c r="J224" s="20" t="n">
        <v>0</v>
      </c>
      <c r="K224" s="21" t="n">
        <v>0</v>
      </c>
      <c r="L224" s="20" t="n">
        <v>1</v>
      </c>
      <c r="M224" s="20" t="n">
        <v>0</v>
      </c>
      <c r="N224" s="20" t="n">
        <v>3</v>
      </c>
      <c r="O224" s="20" t="n">
        <v>0</v>
      </c>
      <c r="P224" s="22" t="s">
        <v>104</v>
      </c>
    </row>
    <row r="225" customFormat="false" ht="15" hidden="false" customHeight="false" outlineLevel="0" collapsed="false">
      <c r="A225" s="19" t="n">
        <v>224</v>
      </c>
      <c r="B225" s="20" t="n">
        <v>53</v>
      </c>
      <c r="C225" s="20" t="n">
        <v>1</v>
      </c>
      <c r="D225" s="20" t="n">
        <v>4</v>
      </c>
      <c r="E225" s="20" t="n">
        <v>123</v>
      </c>
      <c r="F225" s="20" t="n">
        <v>282</v>
      </c>
      <c r="G225" s="20" t="n">
        <v>0</v>
      </c>
      <c r="H225" s="20" t="n">
        <v>0</v>
      </c>
      <c r="I225" s="20" t="n">
        <v>95</v>
      </c>
      <c r="J225" s="20" t="n">
        <v>1</v>
      </c>
      <c r="K225" s="21" t="n">
        <v>2</v>
      </c>
      <c r="L225" s="20" t="n">
        <v>2</v>
      </c>
      <c r="M225" s="20" t="n">
        <v>2</v>
      </c>
      <c r="N225" s="20" t="n">
        <v>7</v>
      </c>
      <c r="O225" s="20" t="n">
        <v>3</v>
      </c>
      <c r="P225" s="22" t="s">
        <v>104</v>
      </c>
    </row>
    <row r="226" customFormat="false" ht="15" hidden="false" customHeight="false" outlineLevel="0" collapsed="false">
      <c r="A226" s="19" t="n">
        <v>225</v>
      </c>
      <c r="B226" s="20" t="n">
        <v>63</v>
      </c>
      <c r="C226" s="20" t="n">
        <v>0</v>
      </c>
      <c r="D226" s="20" t="n">
        <v>4</v>
      </c>
      <c r="E226" s="20" t="n">
        <v>108</v>
      </c>
      <c r="F226" s="20" t="n">
        <v>269</v>
      </c>
      <c r="G226" s="20" t="n">
        <v>0</v>
      </c>
      <c r="H226" s="20" t="n">
        <v>0</v>
      </c>
      <c r="I226" s="20" t="n">
        <v>169</v>
      </c>
      <c r="J226" s="20" t="n">
        <v>1</v>
      </c>
      <c r="K226" s="21" t="n">
        <v>1.8</v>
      </c>
      <c r="L226" s="20" t="n">
        <v>2</v>
      </c>
      <c r="M226" s="20" t="n">
        <v>2</v>
      </c>
      <c r="N226" s="20" t="n">
        <v>3</v>
      </c>
      <c r="O226" s="20" t="n">
        <v>1</v>
      </c>
      <c r="P226" s="22" t="s">
        <v>104</v>
      </c>
    </row>
    <row r="227" customFormat="false" ht="15" hidden="false" customHeight="false" outlineLevel="0" collapsed="false">
      <c r="A227" s="19" t="n">
        <v>226</v>
      </c>
      <c r="B227" s="20" t="n">
        <v>34</v>
      </c>
      <c r="C227" s="20" t="n">
        <v>0</v>
      </c>
      <c r="D227" s="20" t="n">
        <v>2</v>
      </c>
      <c r="E227" s="20" t="n">
        <v>118</v>
      </c>
      <c r="F227" s="20" t="n">
        <v>210</v>
      </c>
      <c r="G227" s="20" t="n">
        <v>0</v>
      </c>
      <c r="H227" s="20" t="n">
        <v>0</v>
      </c>
      <c r="I227" s="20" t="n">
        <v>192</v>
      </c>
      <c r="J227" s="20" t="n">
        <v>0</v>
      </c>
      <c r="K227" s="21" t="n">
        <v>0.7</v>
      </c>
      <c r="L227" s="20" t="n">
        <v>1</v>
      </c>
      <c r="M227" s="20" t="n">
        <v>0</v>
      </c>
      <c r="N227" s="20" t="n">
        <v>3</v>
      </c>
      <c r="O227" s="20" t="n">
        <v>0</v>
      </c>
      <c r="P227" s="22" t="s">
        <v>104</v>
      </c>
    </row>
    <row r="228" customFormat="false" ht="15" hidden="false" customHeight="false" outlineLevel="0" collapsed="false">
      <c r="A228" s="19" t="n">
        <v>227</v>
      </c>
      <c r="B228" s="20" t="n">
        <v>47</v>
      </c>
      <c r="C228" s="20" t="n">
        <v>1</v>
      </c>
      <c r="D228" s="20" t="n">
        <v>4</v>
      </c>
      <c r="E228" s="20" t="n">
        <v>112</v>
      </c>
      <c r="F228" s="20" t="n">
        <v>204</v>
      </c>
      <c r="G228" s="20" t="n">
        <v>0</v>
      </c>
      <c r="H228" s="20" t="n">
        <v>0</v>
      </c>
      <c r="I228" s="20" t="n">
        <v>143</v>
      </c>
      <c r="J228" s="20" t="n">
        <v>0</v>
      </c>
      <c r="K228" s="21" t="n">
        <v>0.1</v>
      </c>
      <c r="L228" s="20" t="n">
        <v>1</v>
      </c>
      <c r="M228" s="20" t="n">
        <v>0</v>
      </c>
      <c r="N228" s="20" t="n">
        <v>3</v>
      </c>
      <c r="O228" s="20" t="n">
        <v>0</v>
      </c>
      <c r="P228" s="22" t="s">
        <v>104</v>
      </c>
    </row>
    <row r="229" customFormat="false" ht="15" hidden="false" customHeight="false" outlineLevel="0" collapsed="false">
      <c r="A229" s="19" t="n">
        <v>228</v>
      </c>
      <c r="B229" s="20" t="n">
        <v>67</v>
      </c>
      <c r="C229" s="20" t="n">
        <v>0</v>
      </c>
      <c r="D229" s="20" t="n">
        <v>3</v>
      </c>
      <c r="E229" s="20" t="n">
        <v>152</v>
      </c>
      <c r="F229" s="20" t="n">
        <v>277</v>
      </c>
      <c r="G229" s="20" t="n">
        <v>0</v>
      </c>
      <c r="H229" s="20" t="n">
        <v>0</v>
      </c>
      <c r="I229" s="20" t="n">
        <v>172</v>
      </c>
      <c r="J229" s="20" t="n">
        <v>0</v>
      </c>
      <c r="K229" s="21" t="n">
        <v>0</v>
      </c>
      <c r="L229" s="20" t="n">
        <v>1</v>
      </c>
      <c r="M229" s="20" t="n">
        <v>1</v>
      </c>
      <c r="N229" s="20" t="n">
        <v>3</v>
      </c>
      <c r="O229" s="20" t="n">
        <v>0</v>
      </c>
      <c r="P229" s="22" t="s">
        <v>104</v>
      </c>
    </row>
    <row r="230" customFormat="false" ht="15" hidden="false" customHeight="false" outlineLevel="0" collapsed="false">
      <c r="A230" s="19" t="n">
        <v>229</v>
      </c>
      <c r="B230" s="20" t="n">
        <v>54</v>
      </c>
      <c r="C230" s="20" t="n">
        <v>1</v>
      </c>
      <c r="D230" s="20" t="n">
        <v>4</v>
      </c>
      <c r="E230" s="20" t="n">
        <v>110</v>
      </c>
      <c r="F230" s="20" t="n">
        <v>206</v>
      </c>
      <c r="G230" s="20" t="n">
        <v>0</v>
      </c>
      <c r="H230" s="20" t="n">
        <v>2</v>
      </c>
      <c r="I230" s="20" t="n">
        <v>108</v>
      </c>
      <c r="J230" s="20" t="n">
        <v>1</v>
      </c>
      <c r="K230" s="21" t="n">
        <v>0</v>
      </c>
      <c r="L230" s="20" t="n">
        <v>2</v>
      </c>
      <c r="M230" s="20" t="n">
        <v>1</v>
      </c>
      <c r="N230" s="20" t="n">
        <v>3</v>
      </c>
      <c r="O230" s="20" t="n">
        <v>3</v>
      </c>
      <c r="P230" s="22" t="s">
        <v>104</v>
      </c>
    </row>
    <row r="231" customFormat="false" ht="15" hidden="false" customHeight="false" outlineLevel="0" collapsed="false">
      <c r="A231" s="19" t="n">
        <v>230</v>
      </c>
      <c r="B231" s="20" t="n">
        <v>66</v>
      </c>
      <c r="C231" s="20" t="n">
        <v>1</v>
      </c>
      <c r="D231" s="20" t="n">
        <v>4</v>
      </c>
      <c r="E231" s="20" t="n">
        <v>112</v>
      </c>
      <c r="F231" s="20" t="n">
        <v>212</v>
      </c>
      <c r="G231" s="20" t="n">
        <v>0</v>
      </c>
      <c r="H231" s="20" t="n">
        <v>2</v>
      </c>
      <c r="I231" s="20" t="n">
        <v>132</v>
      </c>
      <c r="J231" s="20" t="n">
        <v>1</v>
      </c>
      <c r="K231" s="21" t="n">
        <v>0.1</v>
      </c>
      <c r="L231" s="20" t="n">
        <v>1</v>
      </c>
      <c r="M231" s="20" t="n">
        <v>1</v>
      </c>
      <c r="N231" s="20" t="n">
        <v>3</v>
      </c>
      <c r="O231" s="20" t="n">
        <v>2</v>
      </c>
      <c r="P231" s="22" t="s">
        <v>104</v>
      </c>
    </row>
    <row r="232" customFormat="false" ht="15" hidden="false" customHeight="false" outlineLevel="0" collapsed="false">
      <c r="A232" s="19" t="n">
        <v>231</v>
      </c>
      <c r="B232" s="20" t="n">
        <v>52</v>
      </c>
      <c r="C232" s="20" t="n">
        <v>0</v>
      </c>
      <c r="D232" s="20" t="n">
        <v>3</v>
      </c>
      <c r="E232" s="20" t="n">
        <v>136</v>
      </c>
      <c r="F232" s="20" t="n">
        <v>196</v>
      </c>
      <c r="G232" s="20" t="n">
        <v>0</v>
      </c>
      <c r="H232" s="20" t="n">
        <v>2</v>
      </c>
      <c r="I232" s="20" t="n">
        <v>169</v>
      </c>
      <c r="J232" s="20" t="n">
        <v>0</v>
      </c>
      <c r="K232" s="21" t="n">
        <v>0.1</v>
      </c>
      <c r="L232" s="20" t="n">
        <v>2</v>
      </c>
      <c r="M232" s="20" t="n">
        <v>0</v>
      </c>
      <c r="N232" s="20" t="n">
        <v>3</v>
      </c>
      <c r="O232" s="20" t="n">
        <v>0</v>
      </c>
      <c r="P232" s="22" t="s">
        <v>104</v>
      </c>
    </row>
    <row r="233" customFormat="false" ht="15" hidden="false" customHeight="false" outlineLevel="0" collapsed="false">
      <c r="A233" s="19" t="n">
        <v>232</v>
      </c>
      <c r="B233" s="20" t="n">
        <v>55</v>
      </c>
      <c r="C233" s="20" t="n">
        <v>0</v>
      </c>
      <c r="D233" s="20" t="n">
        <v>4</v>
      </c>
      <c r="E233" s="20" t="n">
        <v>180</v>
      </c>
      <c r="F233" s="20" t="n">
        <v>327</v>
      </c>
      <c r="G233" s="20" t="n">
        <v>0</v>
      </c>
      <c r="H233" s="20" t="n">
        <v>1</v>
      </c>
      <c r="I233" s="20" t="n">
        <v>117</v>
      </c>
      <c r="J233" s="20" t="n">
        <v>1</v>
      </c>
      <c r="K233" s="21" t="n">
        <v>3.4</v>
      </c>
      <c r="L233" s="20" t="n">
        <v>2</v>
      </c>
      <c r="M233" s="20" t="n">
        <v>0</v>
      </c>
      <c r="N233" s="20" t="n">
        <v>3</v>
      </c>
      <c r="O233" s="20" t="n">
        <v>2</v>
      </c>
      <c r="P233" s="22" t="s">
        <v>104</v>
      </c>
    </row>
    <row r="234" customFormat="false" ht="15" hidden="false" customHeight="false" outlineLevel="0" collapsed="false">
      <c r="A234" s="19" t="n">
        <v>233</v>
      </c>
      <c r="B234" s="20" t="n">
        <v>49</v>
      </c>
      <c r="C234" s="20" t="n">
        <v>1</v>
      </c>
      <c r="D234" s="20" t="n">
        <v>3</v>
      </c>
      <c r="E234" s="20" t="n">
        <v>118</v>
      </c>
      <c r="F234" s="20" t="n">
        <v>149</v>
      </c>
      <c r="G234" s="20" t="n">
        <v>0</v>
      </c>
      <c r="H234" s="20" t="n">
        <v>2</v>
      </c>
      <c r="I234" s="20" t="n">
        <v>126</v>
      </c>
      <c r="J234" s="20" t="n">
        <v>0</v>
      </c>
      <c r="K234" s="21" t="n">
        <v>0.8</v>
      </c>
      <c r="L234" s="20" t="n">
        <v>1</v>
      </c>
      <c r="M234" s="20" t="n">
        <v>3</v>
      </c>
      <c r="N234" s="20" t="n">
        <v>3</v>
      </c>
      <c r="O234" s="20" t="n">
        <v>1</v>
      </c>
      <c r="P234" s="22" t="s">
        <v>104</v>
      </c>
    </row>
    <row r="235" customFormat="false" ht="15" hidden="false" customHeight="false" outlineLevel="0" collapsed="false">
      <c r="A235" s="19" t="n">
        <v>234</v>
      </c>
      <c r="B235" s="20" t="n">
        <v>74</v>
      </c>
      <c r="C235" s="20" t="n">
        <v>0</v>
      </c>
      <c r="D235" s="20" t="n">
        <v>2</v>
      </c>
      <c r="E235" s="20" t="n">
        <v>120</v>
      </c>
      <c r="F235" s="20" t="n">
        <v>269</v>
      </c>
      <c r="G235" s="20" t="n">
        <v>0</v>
      </c>
      <c r="H235" s="20" t="n">
        <v>2</v>
      </c>
      <c r="I235" s="20" t="n">
        <v>121</v>
      </c>
      <c r="J235" s="20" t="n">
        <v>1</v>
      </c>
      <c r="K235" s="21" t="n">
        <v>0.2</v>
      </c>
      <c r="L235" s="20" t="n">
        <v>1</v>
      </c>
      <c r="M235" s="20" t="n">
        <v>1</v>
      </c>
      <c r="N235" s="20" t="n">
        <v>3</v>
      </c>
      <c r="O235" s="20" t="n">
        <v>0</v>
      </c>
      <c r="P235" s="22" t="s">
        <v>104</v>
      </c>
    </row>
    <row r="236" customFormat="false" ht="15" hidden="false" customHeight="false" outlineLevel="0" collapsed="false">
      <c r="A236" s="19" t="n">
        <v>235</v>
      </c>
      <c r="B236" s="20" t="n">
        <v>54</v>
      </c>
      <c r="C236" s="20" t="n">
        <v>0</v>
      </c>
      <c r="D236" s="20" t="n">
        <v>3</v>
      </c>
      <c r="E236" s="20" t="n">
        <v>160</v>
      </c>
      <c r="F236" s="20" t="n">
        <v>201</v>
      </c>
      <c r="G236" s="20" t="n">
        <v>0</v>
      </c>
      <c r="H236" s="20" t="n">
        <v>0</v>
      </c>
      <c r="I236" s="20" t="n">
        <v>163</v>
      </c>
      <c r="J236" s="20" t="n">
        <v>0</v>
      </c>
      <c r="K236" s="21" t="n">
        <v>0</v>
      </c>
      <c r="L236" s="20" t="n">
        <v>1</v>
      </c>
      <c r="M236" s="20" t="n">
        <v>1</v>
      </c>
      <c r="N236" s="20" t="n">
        <v>3</v>
      </c>
      <c r="O236" s="20" t="n">
        <v>0</v>
      </c>
      <c r="P236" s="22" t="s">
        <v>104</v>
      </c>
    </row>
    <row r="237" customFormat="false" ht="15" hidden="false" customHeight="false" outlineLevel="0" collapsed="false">
      <c r="A237" s="19" t="n">
        <v>236</v>
      </c>
      <c r="B237" s="20" t="n">
        <v>54</v>
      </c>
      <c r="C237" s="20" t="n">
        <v>1</v>
      </c>
      <c r="D237" s="20" t="n">
        <v>4</v>
      </c>
      <c r="E237" s="20" t="n">
        <v>122</v>
      </c>
      <c r="F237" s="20" t="n">
        <v>286</v>
      </c>
      <c r="G237" s="20" t="n">
        <v>0</v>
      </c>
      <c r="H237" s="20" t="n">
        <v>2</v>
      </c>
      <c r="I237" s="20" t="n">
        <v>116</v>
      </c>
      <c r="J237" s="20" t="n">
        <v>1</v>
      </c>
      <c r="K237" s="21" t="n">
        <v>3.2</v>
      </c>
      <c r="L237" s="20" t="n">
        <v>2</v>
      </c>
      <c r="M237" s="20" t="n">
        <v>2</v>
      </c>
      <c r="N237" s="20" t="n">
        <v>3</v>
      </c>
      <c r="O237" s="20" t="n">
        <v>3</v>
      </c>
      <c r="P237" s="22" t="s">
        <v>104</v>
      </c>
    </row>
    <row r="238" customFormat="false" ht="15" hidden="false" customHeight="false" outlineLevel="0" collapsed="false">
      <c r="A238" s="19" t="n">
        <v>237</v>
      </c>
      <c r="B238" s="20" t="n">
        <v>56</v>
      </c>
      <c r="C238" s="20" t="n">
        <v>1</v>
      </c>
      <c r="D238" s="20" t="n">
        <v>4</v>
      </c>
      <c r="E238" s="20" t="n">
        <v>130</v>
      </c>
      <c r="F238" s="20" t="n">
        <v>283</v>
      </c>
      <c r="G238" s="20" t="n">
        <v>1</v>
      </c>
      <c r="H238" s="20" t="n">
        <v>2</v>
      </c>
      <c r="I238" s="20" t="n">
        <v>103</v>
      </c>
      <c r="J238" s="20" t="n">
        <v>1</v>
      </c>
      <c r="K238" s="21" t="n">
        <v>1.6</v>
      </c>
      <c r="L238" s="20" t="n">
        <v>3</v>
      </c>
      <c r="M238" s="20" t="n">
        <v>0</v>
      </c>
      <c r="N238" s="20" t="n">
        <v>7</v>
      </c>
      <c r="O238" s="20" t="n">
        <v>2</v>
      </c>
      <c r="P238" s="22" t="s">
        <v>104</v>
      </c>
    </row>
    <row r="239" customFormat="false" ht="15" hidden="false" customHeight="false" outlineLevel="0" collapsed="false">
      <c r="A239" s="19" t="n">
        <v>238</v>
      </c>
      <c r="B239" s="20" t="n">
        <v>46</v>
      </c>
      <c r="C239" s="20" t="n">
        <v>1</v>
      </c>
      <c r="D239" s="20" t="n">
        <v>4</v>
      </c>
      <c r="E239" s="20" t="n">
        <v>120</v>
      </c>
      <c r="F239" s="20" t="n">
        <v>249</v>
      </c>
      <c r="G239" s="20" t="n">
        <v>0</v>
      </c>
      <c r="H239" s="20" t="n">
        <v>2</v>
      </c>
      <c r="I239" s="20" t="n">
        <v>144</v>
      </c>
      <c r="J239" s="20" t="n">
        <v>0</v>
      </c>
      <c r="K239" s="21" t="n">
        <v>0.8</v>
      </c>
      <c r="L239" s="20" t="n">
        <v>1</v>
      </c>
      <c r="M239" s="20" t="n">
        <v>0</v>
      </c>
      <c r="N239" s="20" t="n">
        <v>7</v>
      </c>
      <c r="O239" s="20" t="n">
        <v>1</v>
      </c>
      <c r="P239" s="22" t="s">
        <v>104</v>
      </c>
    </row>
    <row r="240" customFormat="false" ht="15" hidden="false" customHeight="false" outlineLevel="0" collapsed="false">
      <c r="A240" s="19" t="n">
        <v>239</v>
      </c>
      <c r="B240" s="20" t="n">
        <v>49</v>
      </c>
      <c r="C240" s="20" t="n">
        <v>0</v>
      </c>
      <c r="D240" s="20" t="n">
        <v>2</v>
      </c>
      <c r="E240" s="20" t="n">
        <v>134</v>
      </c>
      <c r="F240" s="20" t="n">
        <v>271</v>
      </c>
      <c r="G240" s="20" t="n">
        <v>0</v>
      </c>
      <c r="H240" s="20" t="n">
        <v>0</v>
      </c>
      <c r="I240" s="20" t="n">
        <v>162</v>
      </c>
      <c r="J240" s="20" t="n">
        <v>0</v>
      </c>
      <c r="K240" s="21" t="n">
        <v>0</v>
      </c>
      <c r="L240" s="20" t="n">
        <v>2</v>
      </c>
      <c r="M240" s="20" t="n">
        <v>0</v>
      </c>
      <c r="N240" s="20" t="n">
        <v>3</v>
      </c>
      <c r="O240" s="20" t="n">
        <v>0</v>
      </c>
      <c r="P240" s="22" t="s">
        <v>104</v>
      </c>
    </row>
    <row r="241" customFormat="false" ht="15" hidden="false" customHeight="false" outlineLevel="0" collapsed="false">
      <c r="A241" s="19" t="n">
        <v>240</v>
      </c>
      <c r="B241" s="20" t="n">
        <v>42</v>
      </c>
      <c r="C241" s="20" t="n">
        <v>1</v>
      </c>
      <c r="D241" s="20" t="n">
        <v>2</v>
      </c>
      <c r="E241" s="20" t="n">
        <v>120</v>
      </c>
      <c r="F241" s="20" t="n">
        <v>295</v>
      </c>
      <c r="G241" s="20" t="n">
        <v>0</v>
      </c>
      <c r="H241" s="20" t="n">
        <v>0</v>
      </c>
      <c r="I241" s="20" t="n">
        <v>162</v>
      </c>
      <c r="J241" s="20" t="n">
        <v>0</v>
      </c>
      <c r="K241" s="21" t="n">
        <v>0</v>
      </c>
      <c r="L241" s="20" t="n">
        <v>1</v>
      </c>
      <c r="M241" s="20" t="n">
        <v>0</v>
      </c>
      <c r="N241" s="20" t="n">
        <v>3</v>
      </c>
      <c r="O241" s="20" t="n">
        <v>0</v>
      </c>
      <c r="P241" s="22" t="s">
        <v>104</v>
      </c>
    </row>
    <row r="242" customFormat="false" ht="15" hidden="false" customHeight="false" outlineLevel="0" collapsed="false">
      <c r="A242" s="19" t="n">
        <v>241</v>
      </c>
      <c r="B242" s="20" t="n">
        <v>41</v>
      </c>
      <c r="C242" s="20" t="n">
        <v>1</v>
      </c>
      <c r="D242" s="20" t="n">
        <v>2</v>
      </c>
      <c r="E242" s="20" t="n">
        <v>110</v>
      </c>
      <c r="F242" s="20" t="n">
        <v>235</v>
      </c>
      <c r="G242" s="20" t="n">
        <v>0</v>
      </c>
      <c r="H242" s="20" t="n">
        <v>0</v>
      </c>
      <c r="I242" s="20" t="n">
        <v>153</v>
      </c>
      <c r="J242" s="20" t="n">
        <v>0</v>
      </c>
      <c r="K242" s="21" t="n">
        <v>0</v>
      </c>
      <c r="L242" s="20" t="n">
        <v>1</v>
      </c>
      <c r="M242" s="20" t="n">
        <v>0</v>
      </c>
      <c r="N242" s="20" t="n">
        <v>3</v>
      </c>
      <c r="O242" s="20" t="n">
        <v>0</v>
      </c>
      <c r="P242" s="22" t="s">
        <v>104</v>
      </c>
    </row>
    <row r="243" customFormat="false" ht="15" hidden="false" customHeight="false" outlineLevel="0" collapsed="false">
      <c r="A243" s="19" t="n">
        <v>242</v>
      </c>
      <c r="B243" s="20" t="n">
        <v>41</v>
      </c>
      <c r="C243" s="20" t="n">
        <v>0</v>
      </c>
      <c r="D243" s="20" t="n">
        <v>2</v>
      </c>
      <c r="E243" s="20" t="n">
        <v>126</v>
      </c>
      <c r="F243" s="20" t="n">
        <v>306</v>
      </c>
      <c r="G243" s="20" t="n">
        <v>0</v>
      </c>
      <c r="H243" s="20" t="n">
        <v>0</v>
      </c>
      <c r="I243" s="20" t="n">
        <v>163</v>
      </c>
      <c r="J243" s="20" t="n">
        <v>0</v>
      </c>
      <c r="K243" s="21" t="n">
        <v>0</v>
      </c>
      <c r="L243" s="20" t="n">
        <v>1</v>
      </c>
      <c r="M243" s="20" t="n">
        <v>0</v>
      </c>
      <c r="N243" s="20" t="n">
        <v>3</v>
      </c>
      <c r="O243" s="20" t="n">
        <v>0</v>
      </c>
      <c r="P243" s="22" t="s">
        <v>104</v>
      </c>
    </row>
    <row r="244" customFormat="false" ht="15" hidden="false" customHeight="false" outlineLevel="0" collapsed="false">
      <c r="A244" s="19" t="n">
        <v>243</v>
      </c>
      <c r="B244" s="20" t="n">
        <v>49</v>
      </c>
      <c r="C244" s="20" t="n">
        <v>0</v>
      </c>
      <c r="D244" s="20" t="n">
        <v>4</v>
      </c>
      <c r="E244" s="20" t="n">
        <v>130</v>
      </c>
      <c r="F244" s="20" t="n">
        <v>269</v>
      </c>
      <c r="G244" s="20" t="n">
        <v>0</v>
      </c>
      <c r="H244" s="20" t="n">
        <v>0</v>
      </c>
      <c r="I244" s="20" t="n">
        <v>163</v>
      </c>
      <c r="J244" s="20" t="n">
        <v>0</v>
      </c>
      <c r="K244" s="21" t="n">
        <v>0</v>
      </c>
      <c r="L244" s="20" t="n">
        <v>1</v>
      </c>
      <c r="M244" s="20" t="n">
        <v>0</v>
      </c>
      <c r="N244" s="20" t="n">
        <v>3</v>
      </c>
      <c r="O244" s="20" t="n">
        <v>0</v>
      </c>
      <c r="P244" s="22" t="s">
        <v>104</v>
      </c>
    </row>
    <row r="245" customFormat="false" ht="15" hidden="false" customHeight="false" outlineLevel="0" collapsed="false">
      <c r="A245" s="19" t="n">
        <v>244</v>
      </c>
      <c r="B245" s="20" t="n">
        <v>61</v>
      </c>
      <c r="C245" s="20" t="n">
        <v>1</v>
      </c>
      <c r="D245" s="20" t="n">
        <v>1</v>
      </c>
      <c r="E245" s="20" t="n">
        <v>134</v>
      </c>
      <c r="F245" s="20" t="n">
        <v>234</v>
      </c>
      <c r="G245" s="20" t="n">
        <v>0</v>
      </c>
      <c r="H245" s="20" t="n">
        <v>0</v>
      </c>
      <c r="I245" s="20" t="n">
        <v>145</v>
      </c>
      <c r="J245" s="20" t="n">
        <v>0</v>
      </c>
      <c r="K245" s="21" t="n">
        <v>2.6</v>
      </c>
      <c r="L245" s="20" t="n">
        <v>2</v>
      </c>
      <c r="M245" s="20" t="n">
        <v>2</v>
      </c>
      <c r="N245" s="20" t="n">
        <v>3</v>
      </c>
      <c r="O245" s="20" t="n">
        <v>2</v>
      </c>
      <c r="P245" s="22" t="s">
        <v>104</v>
      </c>
    </row>
    <row r="246" customFormat="false" ht="15" hidden="false" customHeight="false" outlineLevel="0" collapsed="false">
      <c r="A246" s="19" t="n">
        <v>245</v>
      </c>
      <c r="B246" s="20" t="n">
        <v>60</v>
      </c>
      <c r="C246" s="20" t="n">
        <v>0</v>
      </c>
      <c r="D246" s="20" t="n">
        <v>3</v>
      </c>
      <c r="E246" s="20" t="n">
        <v>120</v>
      </c>
      <c r="F246" s="20" t="n">
        <v>178</v>
      </c>
      <c r="G246" s="20" t="n">
        <v>1</v>
      </c>
      <c r="H246" s="20" t="n">
        <v>0</v>
      </c>
      <c r="I246" s="20" t="n">
        <v>96</v>
      </c>
      <c r="J246" s="20" t="n">
        <v>0</v>
      </c>
      <c r="K246" s="21" t="n">
        <v>0</v>
      </c>
      <c r="L246" s="20" t="n">
        <v>1</v>
      </c>
      <c r="M246" s="20" t="n">
        <v>0</v>
      </c>
      <c r="N246" s="20" t="n">
        <v>3</v>
      </c>
      <c r="O246" s="20" t="n">
        <v>0</v>
      </c>
      <c r="P246" s="22" t="s">
        <v>104</v>
      </c>
    </row>
    <row r="247" customFormat="false" ht="15" hidden="false" customHeight="false" outlineLevel="0" collapsed="false">
      <c r="A247" s="19" t="n">
        <v>246</v>
      </c>
      <c r="B247" s="20" t="n">
        <v>67</v>
      </c>
      <c r="C247" s="20" t="n">
        <v>1</v>
      </c>
      <c r="D247" s="20" t="n">
        <v>4</v>
      </c>
      <c r="E247" s="20" t="n">
        <v>120</v>
      </c>
      <c r="F247" s="20" t="n">
        <v>237</v>
      </c>
      <c r="G247" s="20" t="n">
        <v>0</v>
      </c>
      <c r="H247" s="20" t="n">
        <v>0</v>
      </c>
      <c r="I247" s="20" t="n">
        <v>71</v>
      </c>
      <c r="J247" s="20" t="n">
        <v>0</v>
      </c>
      <c r="K247" s="21" t="n">
        <v>1</v>
      </c>
      <c r="L247" s="20" t="n">
        <v>2</v>
      </c>
      <c r="M247" s="20" t="n">
        <v>0</v>
      </c>
      <c r="N247" s="20" t="n">
        <v>3</v>
      </c>
      <c r="O247" s="20" t="n">
        <v>2</v>
      </c>
      <c r="P247" s="22" t="s">
        <v>104</v>
      </c>
    </row>
    <row r="248" customFormat="false" ht="15" hidden="false" customHeight="false" outlineLevel="0" collapsed="false">
      <c r="A248" s="19" t="n">
        <v>247</v>
      </c>
      <c r="B248" s="20" t="n">
        <v>58</v>
      </c>
      <c r="C248" s="20" t="n">
        <v>1</v>
      </c>
      <c r="D248" s="20" t="n">
        <v>4</v>
      </c>
      <c r="E248" s="20" t="n">
        <v>100</v>
      </c>
      <c r="F248" s="20" t="n">
        <v>234</v>
      </c>
      <c r="G248" s="20" t="n">
        <v>0</v>
      </c>
      <c r="H248" s="20" t="n">
        <v>0</v>
      </c>
      <c r="I248" s="20" t="n">
        <v>156</v>
      </c>
      <c r="J248" s="20" t="n">
        <v>0</v>
      </c>
      <c r="K248" s="21" t="n">
        <v>0.1</v>
      </c>
      <c r="L248" s="20" t="n">
        <v>1</v>
      </c>
      <c r="M248" s="20" t="n">
        <v>1</v>
      </c>
      <c r="N248" s="20" t="n">
        <v>7</v>
      </c>
      <c r="O248" s="20" t="n">
        <v>2</v>
      </c>
      <c r="P248" s="22" t="s">
        <v>104</v>
      </c>
    </row>
    <row r="249" customFormat="false" ht="15" hidden="false" customHeight="false" outlineLevel="0" collapsed="false">
      <c r="A249" s="19" t="n">
        <v>248</v>
      </c>
      <c r="B249" s="20" t="n">
        <v>47</v>
      </c>
      <c r="C249" s="20" t="n">
        <v>1</v>
      </c>
      <c r="D249" s="20" t="n">
        <v>4</v>
      </c>
      <c r="E249" s="20" t="n">
        <v>110</v>
      </c>
      <c r="F249" s="20" t="n">
        <v>275</v>
      </c>
      <c r="G249" s="20" t="n">
        <v>0</v>
      </c>
      <c r="H249" s="20" t="n">
        <v>2</v>
      </c>
      <c r="I249" s="20" t="n">
        <v>118</v>
      </c>
      <c r="J249" s="20" t="n">
        <v>1</v>
      </c>
      <c r="K249" s="21" t="n">
        <v>1</v>
      </c>
      <c r="L249" s="20" t="n">
        <v>2</v>
      </c>
      <c r="M249" s="20" t="n">
        <v>1</v>
      </c>
      <c r="N249" s="20" t="n">
        <v>3</v>
      </c>
      <c r="O249" s="20" t="n">
        <v>1</v>
      </c>
      <c r="P249" s="22" t="s">
        <v>104</v>
      </c>
    </row>
    <row r="250" customFormat="false" ht="15" hidden="false" customHeight="false" outlineLevel="0" collapsed="false">
      <c r="A250" s="19" t="n">
        <v>249</v>
      </c>
      <c r="B250" s="20" t="n">
        <v>52</v>
      </c>
      <c r="C250" s="20" t="n">
        <v>1</v>
      </c>
      <c r="D250" s="20" t="n">
        <v>4</v>
      </c>
      <c r="E250" s="20" t="n">
        <v>125</v>
      </c>
      <c r="F250" s="20" t="n">
        <v>212</v>
      </c>
      <c r="G250" s="20" t="n">
        <v>0</v>
      </c>
      <c r="H250" s="20" t="n">
        <v>0</v>
      </c>
      <c r="I250" s="20" t="n">
        <v>168</v>
      </c>
      <c r="J250" s="20" t="n">
        <v>0</v>
      </c>
      <c r="K250" s="21" t="n">
        <v>1</v>
      </c>
      <c r="L250" s="20" t="n">
        <v>1</v>
      </c>
      <c r="M250" s="20" t="n">
        <v>2</v>
      </c>
      <c r="N250" s="20" t="n">
        <v>7</v>
      </c>
      <c r="O250" s="20" t="n">
        <v>3</v>
      </c>
      <c r="P250" s="22" t="s">
        <v>104</v>
      </c>
    </row>
    <row r="251" customFormat="false" ht="15" hidden="false" customHeight="false" outlineLevel="0" collapsed="false">
      <c r="A251" s="19" t="n">
        <v>250</v>
      </c>
      <c r="B251" s="20" t="n">
        <v>62</v>
      </c>
      <c r="C251" s="20" t="n">
        <v>1</v>
      </c>
      <c r="D251" s="20" t="n">
        <v>2</v>
      </c>
      <c r="E251" s="20" t="n">
        <v>128</v>
      </c>
      <c r="F251" s="20" t="n">
        <v>208</v>
      </c>
      <c r="G251" s="20" t="n">
        <v>1</v>
      </c>
      <c r="H251" s="20" t="n">
        <v>2</v>
      </c>
      <c r="I251" s="20" t="n">
        <v>140</v>
      </c>
      <c r="J251" s="20" t="n">
        <v>0</v>
      </c>
      <c r="K251" s="21" t="n">
        <v>0</v>
      </c>
      <c r="L251" s="20" t="n">
        <v>1</v>
      </c>
      <c r="M251" s="20" t="n">
        <v>0</v>
      </c>
      <c r="N251" s="20" t="n">
        <v>3</v>
      </c>
      <c r="O251" s="20" t="n">
        <v>0</v>
      </c>
      <c r="P251" s="22" t="s">
        <v>104</v>
      </c>
    </row>
    <row r="252" customFormat="false" ht="15" hidden="false" customHeight="false" outlineLevel="0" collapsed="false">
      <c r="A252" s="19" t="n">
        <v>251</v>
      </c>
      <c r="B252" s="20" t="n">
        <v>57</v>
      </c>
      <c r="C252" s="20" t="n">
        <v>1</v>
      </c>
      <c r="D252" s="20" t="n">
        <v>4</v>
      </c>
      <c r="E252" s="20" t="n">
        <v>110</v>
      </c>
      <c r="F252" s="20" t="n">
        <v>201</v>
      </c>
      <c r="G252" s="20" t="n">
        <v>0</v>
      </c>
      <c r="H252" s="20" t="n">
        <v>0</v>
      </c>
      <c r="I252" s="20" t="n">
        <v>126</v>
      </c>
      <c r="J252" s="20" t="n">
        <v>1</v>
      </c>
      <c r="K252" s="21" t="n">
        <v>1.5</v>
      </c>
      <c r="L252" s="20" t="n">
        <v>2</v>
      </c>
      <c r="M252" s="20" t="n">
        <v>0</v>
      </c>
      <c r="N252" s="20" t="n">
        <v>6</v>
      </c>
      <c r="O252" s="20" t="n">
        <v>0</v>
      </c>
      <c r="P252" s="22" t="s">
        <v>104</v>
      </c>
    </row>
    <row r="253" customFormat="false" ht="15" hidden="false" customHeight="false" outlineLevel="0" collapsed="false">
      <c r="A253" s="19" t="n">
        <v>252</v>
      </c>
      <c r="B253" s="20" t="n">
        <v>58</v>
      </c>
      <c r="C253" s="20" t="n">
        <v>1</v>
      </c>
      <c r="D253" s="20" t="n">
        <v>4</v>
      </c>
      <c r="E253" s="20" t="n">
        <v>146</v>
      </c>
      <c r="F253" s="20" t="n">
        <v>218</v>
      </c>
      <c r="G253" s="20" t="n">
        <v>0</v>
      </c>
      <c r="H253" s="20" t="n">
        <v>0</v>
      </c>
      <c r="I253" s="20" t="n">
        <v>105</v>
      </c>
      <c r="J253" s="20" t="n">
        <v>0</v>
      </c>
      <c r="K253" s="21" t="n">
        <v>2</v>
      </c>
      <c r="L253" s="20" t="n">
        <v>2</v>
      </c>
      <c r="M253" s="20" t="n">
        <v>1</v>
      </c>
      <c r="N253" s="20" t="n">
        <v>7</v>
      </c>
      <c r="O253" s="20" t="n">
        <v>1</v>
      </c>
      <c r="P253" s="22" t="s">
        <v>104</v>
      </c>
    </row>
    <row r="254" customFormat="false" ht="15" hidden="false" customHeight="false" outlineLevel="0" collapsed="false">
      <c r="A254" s="19" t="n">
        <v>253</v>
      </c>
      <c r="B254" s="20" t="n">
        <v>64</v>
      </c>
      <c r="C254" s="20" t="n">
        <v>1</v>
      </c>
      <c r="D254" s="20" t="n">
        <v>4</v>
      </c>
      <c r="E254" s="20" t="n">
        <v>128</v>
      </c>
      <c r="F254" s="20" t="n">
        <v>263</v>
      </c>
      <c r="G254" s="20" t="n">
        <v>0</v>
      </c>
      <c r="H254" s="20" t="n">
        <v>0</v>
      </c>
      <c r="I254" s="20" t="n">
        <v>105</v>
      </c>
      <c r="J254" s="20" t="n">
        <v>1</v>
      </c>
      <c r="K254" s="21" t="n">
        <v>0.2</v>
      </c>
      <c r="L254" s="20" t="n">
        <v>2</v>
      </c>
      <c r="M254" s="20" t="n">
        <v>1</v>
      </c>
      <c r="N254" s="20" t="n">
        <v>7</v>
      </c>
      <c r="O254" s="20" t="n">
        <v>0</v>
      </c>
      <c r="P254" s="22" t="s">
        <v>104</v>
      </c>
    </row>
    <row r="255" customFormat="false" ht="15" hidden="false" customHeight="false" outlineLevel="0" collapsed="false">
      <c r="A255" s="19" t="n">
        <v>254</v>
      </c>
      <c r="B255" s="20" t="n">
        <v>51</v>
      </c>
      <c r="C255" s="20" t="n">
        <v>0</v>
      </c>
      <c r="D255" s="20" t="n">
        <v>3</v>
      </c>
      <c r="E255" s="20" t="n">
        <v>120</v>
      </c>
      <c r="F255" s="20" t="n">
        <v>295</v>
      </c>
      <c r="G255" s="20" t="n">
        <v>0</v>
      </c>
      <c r="H255" s="20" t="n">
        <v>2</v>
      </c>
      <c r="I255" s="20" t="n">
        <v>157</v>
      </c>
      <c r="J255" s="20" t="n">
        <v>0</v>
      </c>
      <c r="K255" s="21" t="n">
        <v>0.6</v>
      </c>
      <c r="L255" s="20" t="n">
        <v>1</v>
      </c>
      <c r="M255" s="20" t="n">
        <v>0</v>
      </c>
      <c r="N255" s="20" t="n">
        <v>3</v>
      </c>
      <c r="O255" s="20" t="n">
        <v>0</v>
      </c>
      <c r="P255" s="22" t="s">
        <v>104</v>
      </c>
    </row>
    <row r="256" customFormat="false" ht="15" hidden="false" customHeight="false" outlineLevel="0" collapsed="false">
      <c r="A256" s="19" t="n">
        <v>255</v>
      </c>
      <c r="B256" s="20" t="n">
        <v>43</v>
      </c>
      <c r="C256" s="20" t="n">
        <v>1</v>
      </c>
      <c r="D256" s="20" t="n">
        <v>4</v>
      </c>
      <c r="E256" s="20" t="n">
        <v>115</v>
      </c>
      <c r="F256" s="20" t="n">
        <v>303</v>
      </c>
      <c r="G256" s="20" t="n">
        <v>0</v>
      </c>
      <c r="H256" s="20" t="n">
        <v>0</v>
      </c>
      <c r="I256" s="20" t="n">
        <v>181</v>
      </c>
      <c r="J256" s="20" t="n">
        <v>0</v>
      </c>
      <c r="K256" s="21" t="n">
        <v>1.2</v>
      </c>
      <c r="L256" s="20" t="n">
        <v>2</v>
      </c>
      <c r="M256" s="20" t="n">
        <v>0</v>
      </c>
      <c r="N256" s="20" t="n">
        <v>3</v>
      </c>
      <c r="O256" s="20" t="n">
        <v>0</v>
      </c>
      <c r="P256" s="22" t="s">
        <v>104</v>
      </c>
    </row>
    <row r="257" customFormat="false" ht="15" hidden="false" customHeight="false" outlineLevel="0" collapsed="false">
      <c r="A257" s="19" t="n">
        <v>256</v>
      </c>
      <c r="B257" s="20" t="n">
        <v>42</v>
      </c>
      <c r="C257" s="20" t="n">
        <v>0</v>
      </c>
      <c r="D257" s="20" t="n">
        <v>3</v>
      </c>
      <c r="E257" s="20" t="n">
        <v>120</v>
      </c>
      <c r="F257" s="20" t="n">
        <v>209</v>
      </c>
      <c r="G257" s="20" t="n">
        <v>0</v>
      </c>
      <c r="H257" s="20" t="n">
        <v>0</v>
      </c>
      <c r="I257" s="20" t="n">
        <v>173</v>
      </c>
      <c r="J257" s="20" t="n">
        <v>0</v>
      </c>
      <c r="K257" s="21" t="n">
        <v>0</v>
      </c>
      <c r="L257" s="20" t="n">
        <v>2</v>
      </c>
      <c r="M257" s="20" t="n">
        <v>0</v>
      </c>
      <c r="N257" s="20" t="n">
        <v>3</v>
      </c>
      <c r="O257" s="20" t="n">
        <v>0</v>
      </c>
      <c r="P257" s="22" t="s">
        <v>104</v>
      </c>
    </row>
    <row r="258" customFormat="false" ht="15" hidden="false" customHeight="false" outlineLevel="0" collapsed="false">
      <c r="A258" s="19" t="n">
        <v>257</v>
      </c>
      <c r="B258" s="20" t="n">
        <v>67</v>
      </c>
      <c r="C258" s="20" t="n">
        <v>0</v>
      </c>
      <c r="D258" s="20" t="n">
        <v>4</v>
      </c>
      <c r="E258" s="20" t="n">
        <v>106</v>
      </c>
      <c r="F258" s="20" t="n">
        <v>223</v>
      </c>
      <c r="G258" s="20" t="n">
        <v>0</v>
      </c>
      <c r="H258" s="20" t="n">
        <v>0</v>
      </c>
      <c r="I258" s="20" t="n">
        <v>142</v>
      </c>
      <c r="J258" s="20" t="n">
        <v>0</v>
      </c>
      <c r="K258" s="21" t="n">
        <v>0.3</v>
      </c>
      <c r="L258" s="20" t="n">
        <v>1</v>
      </c>
      <c r="M258" s="20" t="n">
        <v>2</v>
      </c>
      <c r="N258" s="20" t="n">
        <v>3</v>
      </c>
      <c r="O258" s="20" t="n">
        <v>0</v>
      </c>
      <c r="P258" s="22" t="s">
        <v>104</v>
      </c>
    </row>
    <row r="259" customFormat="false" ht="15" hidden="false" customHeight="false" outlineLevel="0" collapsed="false">
      <c r="A259" s="19" t="n">
        <v>258</v>
      </c>
      <c r="B259" s="20" t="n">
        <v>76</v>
      </c>
      <c r="C259" s="20" t="n">
        <v>0</v>
      </c>
      <c r="D259" s="20" t="n">
        <v>3</v>
      </c>
      <c r="E259" s="20" t="n">
        <v>140</v>
      </c>
      <c r="F259" s="20" t="n">
        <v>197</v>
      </c>
      <c r="G259" s="20" t="n">
        <v>0</v>
      </c>
      <c r="H259" s="20" t="n">
        <v>1</v>
      </c>
      <c r="I259" s="20" t="n">
        <v>116</v>
      </c>
      <c r="J259" s="20" t="n">
        <v>0</v>
      </c>
      <c r="K259" s="21" t="n">
        <v>1.1</v>
      </c>
      <c r="L259" s="20" t="n">
        <v>2</v>
      </c>
      <c r="M259" s="20" t="n">
        <v>0</v>
      </c>
      <c r="N259" s="20" t="n">
        <v>3</v>
      </c>
      <c r="O259" s="20" t="n">
        <v>0</v>
      </c>
      <c r="P259" s="22" t="s">
        <v>104</v>
      </c>
    </row>
    <row r="260" customFormat="false" ht="15" hidden="false" customHeight="false" outlineLevel="0" collapsed="false">
      <c r="A260" s="19" t="n">
        <v>259</v>
      </c>
      <c r="B260" s="20" t="n">
        <v>70</v>
      </c>
      <c r="C260" s="20" t="n">
        <v>1</v>
      </c>
      <c r="D260" s="20" t="n">
        <v>2</v>
      </c>
      <c r="E260" s="20" t="n">
        <v>156</v>
      </c>
      <c r="F260" s="20" t="n">
        <v>245</v>
      </c>
      <c r="G260" s="20" t="n">
        <v>0</v>
      </c>
      <c r="H260" s="20" t="n">
        <v>2</v>
      </c>
      <c r="I260" s="20" t="n">
        <v>143</v>
      </c>
      <c r="J260" s="20" t="n">
        <v>0</v>
      </c>
      <c r="K260" s="21" t="n">
        <v>0</v>
      </c>
      <c r="L260" s="20" t="n">
        <v>1</v>
      </c>
      <c r="M260" s="20" t="n">
        <v>0</v>
      </c>
      <c r="N260" s="20" t="n">
        <v>3</v>
      </c>
      <c r="O260" s="20" t="n">
        <v>0</v>
      </c>
      <c r="P260" s="22" t="s">
        <v>104</v>
      </c>
    </row>
    <row r="261" customFormat="false" ht="15" hidden="false" customHeight="false" outlineLevel="0" collapsed="false">
      <c r="A261" s="19" t="n">
        <v>260</v>
      </c>
      <c r="B261" s="20" t="n">
        <v>57</v>
      </c>
      <c r="C261" s="20" t="n">
        <v>1</v>
      </c>
      <c r="D261" s="20" t="n">
        <v>2</v>
      </c>
      <c r="E261" s="20" t="n">
        <v>124</v>
      </c>
      <c r="F261" s="20" t="n">
        <v>261</v>
      </c>
      <c r="G261" s="20" t="n">
        <v>0</v>
      </c>
      <c r="H261" s="20" t="n">
        <v>0</v>
      </c>
      <c r="I261" s="20" t="n">
        <v>141</v>
      </c>
      <c r="J261" s="20" t="n">
        <v>0</v>
      </c>
      <c r="K261" s="21" t="n">
        <v>0.3</v>
      </c>
      <c r="L261" s="20" t="n">
        <v>1</v>
      </c>
      <c r="M261" s="20" t="n">
        <v>0</v>
      </c>
      <c r="N261" s="20" t="n">
        <v>7</v>
      </c>
      <c r="O261" s="20" t="n">
        <v>1</v>
      </c>
      <c r="P261" s="22" t="s">
        <v>104</v>
      </c>
    </row>
    <row r="262" customFormat="false" ht="15" hidden="false" customHeight="false" outlineLevel="0" collapsed="false">
      <c r="A262" s="19" t="n">
        <v>261</v>
      </c>
      <c r="B262" s="20" t="n">
        <v>44</v>
      </c>
      <c r="C262" s="20" t="n">
        <v>0</v>
      </c>
      <c r="D262" s="20" t="n">
        <v>3</v>
      </c>
      <c r="E262" s="20" t="n">
        <v>118</v>
      </c>
      <c r="F262" s="20" t="n">
        <v>242</v>
      </c>
      <c r="G262" s="20" t="n">
        <v>0</v>
      </c>
      <c r="H262" s="20" t="n">
        <v>0</v>
      </c>
      <c r="I262" s="20" t="n">
        <v>149</v>
      </c>
      <c r="J262" s="20" t="n">
        <v>0</v>
      </c>
      <c r="K262" s="21" t="n">
        <v>0.3</v>
      </c>
      <c r="L262" s="20" t="n">
        <v>2</v>
      </c>
      <c r="M262" s="20" t="n">
        <v>1</v>
      </c>
      <c r="N262" s="20" t="n">
        <v>3</v>
      </c>
      <c r="O262" s="20" t="n">
        <v>0</v>
      </c>
      <c r="P262" s="22" t="s">
        <v>104</v>
      </c>
    </row>
    <row r="263" customFormat="false" ht="15" hidden="false" customHeight="false" outlineLevel="0" collapsed="false">
      <c r="A263" s="19" t="n">
        <v>262</v>
      </c>
      <c r="B263" s="20" t="n">
        <v>58</v>
      </c>
      <c r="C263" s="20" t="n">
        <v>0</v>
      </c>
      <c r="D263" s="20" t="n">
        <v>2</v>
      </c>
      <c r="E263" s="20" t="n">
        <v>136</v>
      </c>
      <c r="F263" s="20" t="n">
        <v>319</v>
      </c>
      <c r="G263" s="20" t="n">
        <v>1</v>
      </c>
      <c r="H263" s="20" t="n">
        <v>2</v>
      </c>
      <c r="I263" s="20" t="n">
        <v>152</v>
      </c>
      <c r="J263" s="20" t="n">
        <v>0</v>
      </c>
      <c r="K263" s="21" t="n">
        <v>0</v>
      </c>
      <c r="L263" s="20" t="n">
        <v>1</v>
      </c>
      <c r="M263" s="20" t="n">
        <v>2</v>
      </c>
      <c r="N263" s="20" t="n">
        <v>3</v>
      </c>
      <c r="O263" s="20" t="n">
        <v>3</v>
      </c>
      <c r="P263" s="22" t="s">
        <v>104</v>
      </c>
    </row>
    <row r="264" customFormat="false" ht="15" hidden="false" customHeight="false" outlineLevel="0" collapsed="false">
      <c r="A264" s="19" t="n">
        <v>263</v>
      </c>
      <c r="B264" s="20" t="n">
        <v>60</v>
      </c>
      <c r="C264" s="20" t="n">
        <v>0</v>
      </c>
      <c r="D264" s="20" t="n">
        <v>1</v>
      </c>
      <c r="E264" s="20" t="n">
        <v>150</v>
      </c>
      <c r="F264" s="20" t="n">
        <v>240</v>
      </c>
      <c r="G264" s="20" t="n">
        <v>0</v>
      </c>
      <c r="H264" s="20" t="n">
        <v>0</v>
      </c>
      <c r="I264" s="20" t="n">
        <v>171</v>
      </c>
      <c r="J264" s="20" t="n">
        <v>0</v>
      </c>
      <c r="K264" s="21" t="n">
        <v>0.9</v>
      </c>
      <c r="L264" s="20" t="n">
        <v>1</v>
      </c>
      <c r="M264" s="20" t="n">
        <v>0</v>
      </c>
      <c r="N264" s="20" t="n">
        <v>3</v>
      </c>
      <c r="O264" s="20" t="n">
        <v>0</v>
      </c>
      <c r="P264" s="22" t="s">
        <v>104</v>
      </c>
    </row>
    <row r="265" customFormat="false" ht="15" hidden="false" customHeight="false" outlineLevel="0" collapsed="false">
      <c r="A265" s="19" t="n">
        <v>264</v>
      </c>
      <c r="B265" s="20" t="n">
        <v>44</v>
      </c>
      <c r="C265" s="20" t="n">
        <v>1</v>
      </c>
      <c r="D265" s="20" t="n">
        <v>3</v>
      </c>
      <c r="E265" s="20" t="n">
        <v>120</v>
      </c>
      <c r="F265" s="20" t="n">
        <v>226</v>
      </c>
      <c r="G265" s="20" t="n">
        <v>0</v>
      </c>
      <c r="H265" s="20" t="n">
        <v>0</v>
      </c>
      <c r="I265" s="20" t="n">
        <v>169</v>
      </c>
      <c r="J265" s="20" t="n">
        <v>0</v>
      </c>
      <c r="K265" s="21" t="n">
        <v>0</v>
      </c>
      <c r="L265" s="20" t="n">
        <v>1</v>
      </c>
      <c r="M265" s="20" t="n">
        <v>0</v>
      </c>
      <c r="N265" s="20" t="n">
        <v>3</v>
      </c>
      <c r="O265" s="20" t="n">
        <v>0</v>
      </c>
      <c r="P265" s="22" t="s">
        <v>104</v>
      </c>
    </row>
    <row r="266" customFormat="false" ht="15" hidden="false" customHeight="false" outlineLevel="0" collapsed="false">
      <c r="A266" s="19" t="n">
        <v>265</v>
      </c>
      <c r="B266" s="20" t="n">
        <v>61</v>
      </c>
      <c r="C266" s="20" t="n">
        <v>1</v>
      </c>
      <c r="D266" s="20" t="n">
        <v>4</v>
      </c>
      <c r="E266" s="20" t="n">
        <v>138</v>
      </c>
      <c r="F266" s="20" t="n">
        <v>166</v>
      </c>
      <c r="G266" s="20" t="n">
        <v>0</v>
      </c>
      <c r="H266" s="20" t="n">
        <v>2</v>
      </c>
      <c r="I266" s="20" t="n">
        <v>125</v>
      </c>
      <c r="J266" s="20" t="n">
        <v>1</v>
      </c>
      <c r="K266" s="21" t="n">
        <v>3.6</v>
      </c>
      <c r="L266" s="20" t="n">
        <v>2</v>
      </c>
      <c r="M266" s="20" t="n">
        <v>1</v>
      </c>
      <c r="N266" s="20" t="n">
        <v>3</v>
      </c>
      <c r="O266" s="20" t="n">
        <v>4</v>
      </c>
      <c r="P266" s="22" t="s">
        <v>104</v>
      </c>
    </row>
    <row r="267" customFormat="false" ht="15" hidden="false" customHeight="false" outlineLevel="0" collapsed="false">
      <c r="A267" s="19" t="n">
        <v>266</v>
      </c>
      <c r="B267" s="20" t="n">
        <v>42</v>
      </c>
      <c r="C267" s="20" t="n">
        <v>1</v>
      </c>
      <c r="D267" s="20" t="n">
        <v>4</v>
      </c>
      <c r="E267" s="20" t="n">
        <v>136</v>
      </c>
      <c r="F267" s="20" t="n">
        <v>315</v>
      </c>
      <c r="G267" s="20" t="n">
        <v>0</v>
      </c>
      <c r="H267" s="20" t="n">
        <v>0</v>
      </c>
      <c r="I267" s="20" t="n">
        <v>125</v>
      </c>
      <c r="J267" s="20" t="n">
        <v>1</v>
      </c>
      <c r="K267" s="21" t="n">
        <v>1.8</v>
      </c>
      <c r="L267" s="20" t="n">
        <v>2</v>
      </c>
      <c r="M267" s="20" t="n">
        <v>0</v>
      </c>
      <c r="N267" s="20" t="n">
        <v>6</v>
      </c>
      <c r="O267" s="20" t="n">
        <v>2</v>
      </c>
      <c r="P267" s="22" t="s">
        <v>104</v>
      </c>
    </row>
    <row r="268" customFormat="false" ht="15" hidden="false" customHeight="false" outlineLevel="0" collapsed="false">
      <c r="A268" s="19" t="n">
        <v>267</v>
      </c>
      <c r="B268" s="20" t="n">
        <v>52</v>
      </c>
      <c r="C268" s="20" t="n">
        <v>1</v>
      </c>
      <c r="D268" s="20" t="n">
        <v>4</v>
      </c>
      <c r="E268" s="20" t="n">
        <v>128</v>
      </c>
      <c r="F268" s="20" t="n">
        <v>204</v>
      </c>
      <c r="G268" s="20" t="n">
        <v>1</v>
      </c>
      <c r="H268" s="20" t="n">
        <v>0</v>
      </c>
      <c r="I268" s="20" t="n">
        <v>156</v>
      </c>
      <c r="J268" s="20" t="n">
        <v>1</v>
      </c>
      <c r="K268" s="21" t="n">
        <v>1</v>
      </c>
      <c r="L268" s="20" t="n">
        <v>2</v>
      </c>
      <c r="M268" s="20" t="n">
        <v>0</v>
      </c>
      <c r="N268" s="20"/>
      <c r="O268" s="20" t="n">
        <v>2</v>
      </c>
      <c r="P268" s="22" t="s">
        <v>104</v>
      </c>
    </row>
    <row r="269" customFormat="false" ht="15" hidden="false" customHeight="false" outlineLevel="0" collapsed="false">
      <c r="A269" s="19" t="n">
        <v>268</v>
      </c>
      <c r="B269" s="20" t="n">
        <v>59</v>
      </c>
      <c r="C269" s="20" t="n">
        <v>1</v>
      </c>
      <c r="D269" s="20" t="n">
        <v>3</v>
      </c>
      <c r="E269" s="20" t="n">
        <v>126</v>
      </c>
      <c r="F269" s="20" t="n">
        <v>218</v>
      </c>
      <c r="G269" s="20" t="n">
        <v>1</v>
      </c>
      <c r="H269" s="20" t="n">
        <v>0</v>
      </c>
      <c r="I269" s="20" t="n">
        <v>134</v>
      </c>
      <c r="J269" s="20" t="n">
        <v>0</v>
      </c>
      <c r="K269" s="21" t="n">
        <v>2.2</v>
      </c>
      <c r="L269" s="20" t="n">
        <v>2</v>
      </c>
      <c r="M269" s="20" t="n">
        <v>1</v>
      </c>
      <c r="N269" s="20" t="n">
        <v>6</v>
      </c>
      <c r="O269" s="20" t="n">
        <v>2</v>
      </c>
      <c r="P269" s="22" t="s">
        <v>104</v>
      </c>
    </row>
    <row r="270" customFormat="false" ht="15" hidden="false" customHeight="false" outlineLevel="0" collapsed="false">
      <c r="A270" s="19" t="n">
        <v>269</v>
      </c>
      <c r="B270" s="20" t="n">
        <v>40</v>
      </c>
      <c r="C270" s="20" t="n">
        <v>1</v>
      </c>
      <c r="D270" s="20" t="n">
        <v>4</v>
      </c>
      <c r="E270" s="20" t="n">
        <v>152</v>
      </c>
      <c r="F270" s="20" t="n">
        <v>223</v>
      </c>
      <c r="G270" s="20" t="n">
        <v>0</v>
      </c>
      <c r="H270" s="20" t="n">
        <v>0</v>
      </c>
      <c r="I270" s="20" t="n">
        <v>181</v>
      </c>
      <c r="J270" s="20" t="n">
        <v>0</v>
      </c>
      <c r="K270" s="21" t="n">
        <v>0</v>
      </c>
      <c r="L270" s="20" t="n">
        <v>1</v>
      </c>
      <c r="M270" s="20" t="n">
        <v>0</v>
      </c>
      <c r="N270" s="20" t="n">
        <v>7</v>
      </c>
      <c r="O270" s="20" t="n">
        <v>1</v>
      </c>
      <c r="P270" s="22" t="s">
        <v>104</v>
      </c>
    </row>
    <row r="271" customFormat="false" ht="15" hidden="false" customHeight="false" outlineLevel="0" collapsed="false">
      <c r="A271" s="19" t="n">
        <v>270</v>
      </c>
      <c r="B271" s="20" t="n">
        <v>42</v>
      </c>
      <c r="C271" s="20" t="n">
        <v>1</v>
      </c>
      <c r="D271" s="20" t="n">
        <v>3</v>
      </c>
      <c r="E271" s="20" t="n">
        <v>130</v>
      </c>
      <c r="F271" s="20" t="n">
        <v>180</v>
      </c>
      <c r="G271" s="20" t="n">
        <v>0</v>
      </c>
      <c r="H271" s="20" t="n">
        <v>0</v>
      </c>
      <c r="I271" s="20" t="n">
        <v>150</v>
      </c>
      <c r="J271" s="20" t="n">
        <v>0</v>
      </c>
      <c r="K271" s="21" t="n">
        <v>0</v>
      </c>
      <c r="L271" s="20" t="n">
        <v>1</v>
      </c>
      <c r="M271" s="20" t="n">
        <v>0</v>
      </c>
      <c r="N271" s="20" t="n">
        <v>3</v>
      </c>
      <c r="O271" s="20" t="n">
        <v>0</v>
      </c>
      <c r="P271" s="22" t="s">
        <v>104</v>
      </c>
    </row>
    <row r="272" customFormat="false" ht="15" hidden="false" customHeight="false" outlineLevel="0" collapsed="false">
      <c r="A272" s="19" t="n">
        <v>271</v>
      </c>
      <c r="B272" s="20" t="n">
        <v>61</v>
      </c>
      <c r="C272" s="20" t="n">
        <v>1</v>
      </c>
      <c r="D272" s="20" t="n">
        <v>4</v>
      </c>
      <c r="E272" s="20" t="n">
        <v>140</v>
      </c>
      <c r="F272" s="20" t="n">
        <v>207</v>
      </c>
      <c r="G272" s="20" t="n">
        <v>0</v>
      </c>
      <c r="H272" s="20" t="n">
        <v>2</v>
      </c>
      <c r="I272" s="20" t="n">
        <v>138</v>
      </c>
      <c r="J272" s="20" t="n">
        <v>1</v>
      </c>
      <c r="K272" s="21" t="n">
        <v>1.9</v>
      </c>
      <c r="L272" s="20" t="n">
        <v>1</v>
      </c>
      <c r="M272" s="20" t="n">
        <v>1</v>
      </c>
      <c r="N272" s="20" t="n">
        <v>7</v>
      </c>
      <c r="O272" s="20" t="n">
        <v>1</v>
      </c>
      <c r="P272" s="22" t="s">
        <v>104</v>
      </c>
    </row>
    <row r="273" customFormat="false" ht="15" hidden="false" customHeight="false" outlineLevel="0" collapsed="false">
      <c r="A273" s="19" t="n">
        <v>272</v>
      </c>
      <c r="B273" s="20" t="n">
        <v>66</v>
      </c>
      <c r="C273" s="20" t="n">
        <v>1</v>
      </c>
      <c r="D273" s="20" t="n">
        <v>4</v>
      </c>
      <c r="E273" s="20" t="n">
        <v>160</v>
      </c>
      <c r="F273" s="20" t="n">
        <v>228</v>
      </c>
      <c r="G273" s="20" t="n">
        <v>0</v>
      </c>
      <c r="H273" s="20" t="n">
        <v>2</v>
      </c>
      <c r="I273" s="20" t="n">
        <v>138</v>
      </c>
      <c r="J273" s="20" t="n">
        <v>0</v>
      </c>
      <c r="K273" s="21" t="n">
        <v>2.3</v>
      </c>
      <c r="L273" s="20" t="n">
        <v>1</v>
      </c>
      <c r="M273" s="20" t="n">
        <v>0</v>
      </c>
      <c r="N273" s="20" t="n">
        <v>6</v>
      </c>
      <c r="O273" s="20" t="n">
        <v>0</v>
      </c>
      <c r="P273" s="22" t="s">
        <v>104</v>
      </c>
    </row>
    <row r="274" customFormat="false" ht="15" hidden="false" customHeight="false" outlineLevel="0" collapsed="false">
      <c r="A274" s="19" t="n">
        <v>273</v>
      </c>
      <c r="B274" s="20" t="n">
        <v>46</v>
      </c>
      <c r="C274" s="20" t="n">
        <v>1</v>
      </c>
      <c r="D274" s="20" t="n">
        <v>4</v>
      </c>
      <c r="E274" s="20" t="n">
        <v>140</v>
      </c>
      <c r="F274" s="20" t="n">
        <v>311</v>
      </c>
      <c r="G274" s="20" t="n">
        <v>0</v>
      </c>
      <c r="H274" s="20" t="n">
        <v>0</v>
      </c>
      <c r="I274" s="20" t="n">
        <v>120</v>
      </c>
      <c r="J274" s="20" t="n">
        <v>1</v>
      </c>
      <c r="K274" s="21" t="n">
        <v>1.8</v>
      </c>
      <c r="L274" s="20" t="n">
        <v>2</v>
      </c>
      <c r="M274" s="20" t="n">
        <v>2</v>
      </c>
      <c r="N274" s="20" t="n">
        <v>7</v>
      </c>
      <c r="O274" s="20" t="n">
        <v>2</v>
      </c>
      <c r="P274" s="22" t="s">
        <v>104</v>
      </c>
    </row>
    <row r="275" customFormat="false" ht="15" hidden="false" customHeight="false" outlineLevel="0" collapsed="false">
      <c r="A275" s="19" t="n">
        <v>274</v>
      </c>
      <c r="B275" s="20" t="n">
        <v>71</v>
      </c>
      <c r="C275" s="20" t="n">
        <v>0</v>
      </c>
      <c r="D275" s="20" t="n">
        <v>4</v>
      </c>
      <c r="E275" s="20" t="n">
        <v>112</v>
      </c>
      <c r="F275" s="20" t="n">
        <v>149</v>
      </c>
      <c r="G275" s="20" t="n">
        <v>0</v>
      </c>
      <c r="H275" s="20" t="n">
        <v>0</v>
      </c>
      <c r="I275" s="20" t="n">
        <v>125</v>
      </c>
      <c r="J275" s="20" t="n">
        <v>0</v>
      </c>
      <c r="K275" s="21" t="n">
        <v>1.6</v>
      </c>
      <c r="L275" s="20" t="n">
        <v>2</v>
      </c>
      <c r="M275" s="20" t="n">
        <v>0</v>
      </c>
      <c r="N275" s="20" t="n">
        <v>3</v>
      </c>
      <c r="O275" s="20" t="n">
        <v>0</v>
      </c>
      <c r="P275" s="22" t="s">
        <v>104</v>
      </c>
    </row>
    <row r="276" customFormat="false" ht="15" hidden="false" customHeight="false" outlineLevel="0" collapsed="false">
      <c r="A276" s="19" t="n">
        <v>275</v>
      </c>
      <c r="B276" s="20" t="n">
        <v>59</v>
      </c>
      <c r="C276" s="20" t="n">
        <v>1</v>
      </c>
      <c r="D276" s="20" t="n">
        <v>1</v>
      </c>
      <c r="E276" s="20" t="n">
        <v>134</v>
      </c>
      <c r="F276" s="20" t="n">
        <v>204</v>
      </c>
      <c r="G276" s="20" t="n">
        <v>0</v>
      </c>
      <c r="H276" s="20" t="n">
        <v>0</v>
      </c>
      <c r="I276" s="20" t="n">
        <v>162</v>
      </c>
      <c r="J276" s="20" t="n">
        <v>0</v>
      </c>
      <c r="K276" s="21" t="n">
        <v>0.8</v>
      </c>
      <c r="L276" s="20" t="n">
        <v>1</v>
      </c>
      <c r="M276" s="20" t="n">
        <v>2</v>
      </c>
      <c r="N276" s="20" t="n">
        <v>3</v>
      </c>
      <c r="O276" s="20" t="n">
        <v>1</v>
      </c>
      <c r="P276" s="22" t="s">
        <v>104</v>
      </c>
    </row>
    <row r="277" customFormat="false" ht="15" hidden="false" customHeight="false" outlineLevel="0" collapsed="false">
      <c r="A277" s="19" t="n">
        <v>276</v>
      </c>
      <c r="B277" s="20" t="n">
        <v>64</v>
      </c>
      <c r="C277" s="20" t="n">
        <v>1</v>
      </c>
      <c r="D277" s="20" t="n">
        <v>1</v>
      </c>
      <c r="E277" s="20" t="n">
        <v>170</v>
      </c>
      <c r="F277" s="20" t="n">
        <v>227</v>
      </c>
      <c r="G277" s="20" t="n">
        <v>0</v>
      </c>
      <c r="H277" s="20" t="n">
        <v>2</v>
      </c>
      <c r="I277" s="20" t="n">
        <v>155</v>
      </c>
      <c r="J277" s="20" t="n">
        <v>0</v>
      </c>
      <c r="K277" s="21" t="n">
        <v>0.6</v>
      </c>
      <c r="L277" s="20" t="n">
        <v>2</v>
      </c>
      <c r="M277" s="20" t="n">
        <v>0</v>
      </c>
      <c r="N277" s="20" t="n">
        <v>7</v>
      </c>
      <c r="O277" s="20" t="n">
        <v>0</v>
      </c>
      <c r="P277" s="22" t="s">
        <v>104</v>
      </c>
    </row>
    <row r="278" customFormat="false" ht="15" hidden="false" customHeight="false" outlineLevel="0" collapsed="false">
      <c r="A278" s="19" t="n">
        <v>277</v>
      </c>
      <c r="B278" s="20" t="n">
        <v>66</v>
      </c>
      <c r="C278" s="20" t="n">
        <v>0</v>
      </c>
      <c r="D278" s="20" t="n">
        <v>3</v>
      </c>
      <c r="E278" s="20" t="n">
        <v>146</v>
      </c>
      <c r="F278" s="20" t="n">
        <v>278</v>
      </c>
      <c r="G278" s="20" t="n">
        <v>0</v>
      </c>
      <c r="H278" s="20" t="n">
        <v>2</v>
      </c>
      <c r="I278" s="20" t="n">
        <v>152</v>
      </c>
      <c r="J278" s="20" t="n">
        <v>0</v>
      </c>
      <c r="K278" s="21" t="n">
        <v>0</v>
      </c>
      <c r="L278" s="20" t="n">
        <v>2</v>
      </c>
      <c r="M278" s="20" t="n">
        <v>1</v>
      </c>
      <c r="N278" s="20" t="n">
        <v>3</v>
      </c>
      <c r="O278" s="20" t="n">
        <v>0</v>
      </c>
      <c r="P278" s="22" t="s">
        <v>104</v>
      </c>
    </row>
    <row r="279" customFormat="false" ht="15" hidden="false" customHeight="false" outlineLevel="0" collapsed="false">
      <c r="A279" s="19" t="n">
        <v>278</v>
      </c>
      <c r="B279" s="20" t="n">
        <v>39</v>
      </c>
      <c r="C279" s="20" t="n">
        <v>0</v>
      </c>
      <c r="D279" s="20" t="n">
        <v>3</v>
      </c>
      <c r="E279" s="20" t="n">
        <v>138</v>
      </c>
      <c r="F279" s="20" t="n">
        <v>220</v>
      </c>
      <c r="G279" s="20" t="n">
        <v>0</v>
      </c>
      <c r="H279" s="20" t="n">
        <v>0</v>
      </c>
      <c r="I279" s="20" t="n">
        <v>152</v>
      </c>
      <c r="J279" s="20" t="n">
        <v>0</v>
      </c>
      <c r="K279" s="21" t="n">
        <v>0</v>
      </c>
      <c r="L279" s="20" t="n">
        <v>2</v>
      </c>
      <c r="M279" s="20" t="n">
        <v>0</v>
      </c>
      <c r="N279" s="20" t="n">
        <v>3</v>
      </c>
      <c r="O279" s="20" t="n">
        <v>0</v>
      </c>
      <c r="P279" s="22" t="s">
        <v>104</v>
      </c>
    </row>
    <row r="280" customFormat="false" ht="15" hidden="false" customHeight="false" outlineLevel="0" collapsed="false">
      <c r="A280" s="19" t="n">
        <v>279</v>
      </c>
      <c r="B280" s="20" t="n">
        <v>57</v>
      </c>
      <c r="C280" s="20" t="n">
        <v>1</v>
      </c>
      <c r="D280" s="20" t="n">
        <v>2</v>
      </c>
      <c r="E280" s="20" t="n">
        <v>154</v>
      </c>
      <c r="F280" s="20" t="n">
        <v>232</v>
      </c>
      <c r="G280" s="20" t="n">
        <v>0</v>
      </c>
      <c r="H280" s="20" t="n">
        <v>2</v>
      </c>
      <c r="I280" s="20" t="n">
        <v>164</v>
      </c>
      <c r="J280" s="20" t="n">
        <v>0</v>
      </c>
      <c r="K280" s="21" t="n">
        <v>0</v>
      </c>
      <c r="L280" s="20" t="n">
        <v>1</v>
      </c>
      <c r="M280" s="20" t="n">
        <v>1</v>
      </c>
      <c r="N280" s="20" t="n">
        <v>3</v>
      </c>
      <c r="O280" s="20" t="n">
        <v>1</v>
      </c>
      <c r="P280" s="22" t="s">
        <v>104</v>
      </c>
    </row>
    <row r="281" customFormat="false" ht="15" hidden="false" customHeight="false" outlineLevel="0" collapsed="false">
      <c r="A281" s="19" t="n">
        <v>280</v>
      </c>
      <c r="B281" s="20" t="n">
        <v>58</v>
      </c>
      <c r="C281" s="20" t="n">
        <v>0</v>
      </c>
      <c r="D281" s="20" t="n">
        <v>4</v>
      </c>
      <c r="E281" s="20" t="n">
        <v>130</v>
      </c>
      <c r="F281" s="20" t="n">
        <v>197</v>
      </c>
      <c r="G281" s="20" t="n">
        <v>0</v>
      </c>
      <c r="H281" s="20" t="n">
        <v>0</v>
      </c>
      <c r="I281" s="20" t="n">
        <v>131</v>
      </c>
      <c r="J281" s="20" t="n">
        <v>0</v>
      </c>
      <c r="K281" s="21" t="n">
        <v>0.6</v>
      </c>
      <c r="L281" s="20" t="n">
        <v>2</v>
      </c>
      <c r="M281" s="20" t="n">
        <v>0</v>
      </c>
      <c r="N281" s="20" t="n">
        <v>3</v>
      </c>
      <c r="O281" s="20" t="n">
        <v>0</v>
      </c>
      <c r="P281" s="22" t="s">
        <v>104</v>
      </c>
    </row>
    <row r="282" customFormat="false" ht="15" hidden="false" customHeight="false" outlineLevel="0" collapsed="false">
      <c r="A282" s="19" t="n">
        <v>281</v>
      </c>
      <c r="B282" s="20" t="n">
        <v>57</v>
      </c>
      <c r="C282" s="20" t="n">
        <v>1</v>
      </c>
      <c r="D282" s="20" t="n">
        <v>4</v>
      </c>
      <c r="E282" s="20" t="n">
        <v>110</v>
      </c>
      <c r="F282" s="20" t="n">
        <v>335</v>
      </c>
      <c r="G282" s="20" t="n">
        <v>0</v>
      </c>
      <c r="H282" s="20" t="n">
        <v>0</v>
      </c>
      <c r="I282" s="20" t="n">
        <v>143</v>
      </c>
      <c r="J282" s="20" t="n">
        <v>1</v>
      </c>
      <c r="K282" s="21" t="n">
        <v>3</v>
      </c>
      <c r="L282" s="20" t="n">
        <v>2</v>
      </c>
      <c r="M282" s="20" t="n">
        <v>1</v>
      </c>
      <c r="N282" s="20" t="n">
        <v>7</v>
      </c>
      <c r="O282" s="20" t="n">
        <v>2</v>
      </c>
      <c r="P282" s="22" t="s">
        <v>104</v>
      </c>
    </row>
    <row r="283" customFormat="false" ht="15" hidden="false" customHeight="false" outlineLevel="0" collapsed="false">
      <c r="A283" s="19" t="n">
        <v>282</v>
      </c>
      <c r="B283" s="20" t="n">
        <v>47</v>
      </c>
      <c r="C283" s="20" t="n">
        <v>1</v>
      </c>
      <c r="D283" s="20" t="n">
        <v>3</v>
      </c>
      <c r="E283" s="20" t="n">
        <v>130</v>
      </c>
      <c r="F283" s="20" t="n">
        <v>253</v>
      </c>
      <c r="G283" s="20" t="n">
        <v>0</v>
      </c>
      <c r="H283" s="20" t="n">
        <v>0</v>
      </c>
      <c r="I283" s="20" t="n">
        <v>179</v>
      </c>
      <c r="J283" s="20" t="n">
        <v>0</v>
      </c>
      <c r="K283" s="21" t="n">
        <v>0</v>
      </c>
      <c r="L283" s="20" t="n">
        <v>1</v>
      </c>
      <c r="M283" s="20" t="n">
        <v>0</v>
      </c>
      <c r="N283" s="20" t="n">
        <v>3</v>
      </c>
      <c r="O283" s="20" t="n">
        <v>0</v>
      </c>
      <c r="P283" s="22" t="s">
        <v>104</v>
      </c>
    </row>
    <row r="284" customFormat="false" ht="15" hidden="false" customHeight="false" outlineLevel="0" collapsed="false">
      <c r="A284" s="19" t="n">
        <v>283</v>
      </c>
      <c r="B284" s="20" t="n">
        <v>55</v>
      </c>
      <c r="C284" s="20" t="n">
        <v>0</v>
      </c>
      <c r="D284" s="20" t="n">
        <v>4</v>
      </c>
      <c r="E284" s="20" t="n">
        <v>128</v>
      </c>
      <c r="F284" s="20" t="n">
        <v>205</v>
      </c>
      <c r="G284" s="20" t="n">
        <v>0</v>
      </c>
      <c r="H284" s="20" t="n">
        <v>1</v>
      </c>
      <c r="I284" s="20" t="n">
        <v>130</v>
      </c>
      <c r="J284" s="20" t="n">
        <v>1</v>
      </c>
      <c r="K284" s="21" t="n">
        <v>2</v>
      </c>
      <c r="L284" s="20" t="n">
        <v>2</v>
      </c>
      <c r="M284" s="20" t="n">
        <v>1</v>
      </c>
      <c r="N284" s="20" t="n">
        <v>7</v>
      </c>
      <c r="O284" s="20" t="n">
        <v>3</v>
      </c>
      <c r="P284" s="22" t="s">
        <v>104</v>
      </c>
    </row>
    <row r="285" customFormat="false" ht="15" hidden="false" customHeight="false" outlineLevel="0" collapsed="false">
      <c r="A285" s="19" t="n">
        <v>284</v>
      </c>
      <c r="B285" s="20" t="n">
        <v>35</v>
      </c>
      <c r="C285" s="20" t="n">
        <v>1</v>
      </c>
      <c r="D285" s="20" t="n">
        <v>2</v>
      </c>
      <c r="E285" s="20" t="n">
        <v>122</v>
      </c>
      <c r="F285" s="20" t="n">
        <v>192</v>
      </c>
      <c r="G285" s="20" t="n">
        <v>0</v>
      </c>
      <c r="H285" s="20" t="n">
        <v>0</v>
      </c>
      <c r="I285" s="20" t="n">
        <v>174</v>
      </c>
      <c r="J285" s="20" t="n">
        <v>0</v>
      </c>
      <c r="K285" s="21" t="n">
        <v>0</v>
      </c>
      <c r="L285" s="20" t="n">
        <v>1</v>
      </c>
      <c r="M285" s="20" t="n">
        <v>0</v>
      </c>
      <c r="N285" s="20" t="n">
        <v>3</v>
      </c>
      <c r="O285" s="20" t="n">
        <v>0</v>
      </c>
      <c r="P285" s="22" t="s">
        <v>104</v>
      </c>
    </row>
    <row r="286" customFormat="false" ht="15" hidden="false" customHeight="false" outlineLevel="0" collapsed="false">
      <c r="A286" s="19" t="n">
        <v>285</v>
      </c>
      <c r="B286" s="20" t="n">
        <v>61</v>
      </c>
      <c r="C286" s="20" t="n">
        <v>1</v>
      </c>
      <c r="D286" s="20" t="n">
        <v>4</v>
      </c>
      <c r="E286" s="20" t="n">
        <v>148</v>
      </c>
      <c r="F286" s="20" t="n">
        <v>203</v>
      </c>
      <c r="G286" s="20" t="n">
        <v>0</v>
      </c>
      <c r="H286" s="20" t="n">
        <v>0</v>
      </c>
      <c r="I286" s="20" t="n">
        <v>161</v>
      </c>
      <c r="J286" s="20" t="n">
        <v>0</v>
      </c>
      <c r="K286" s="21" t="n">
        <v>0</v>
      </c>
      <c r="L286" s="20" t="n">
        <v>1</v>
      </c>
      <c r="M286" s="20" t="n">
        <v>1</v>
      </c>
      <c r="N286" s="20" t="n">
        <v>7</v>
      </c>
      <c r="O286" s="20" t="n">
        <v>2</v>
      </c>
      <c r="P286" s="22" t="s">
        <v>104</v>
      </c>
    </row>
    <row r="287" customFormat="false" ht="15" hidden="false" customHeight="false" outlineLevel="0" collapsed="false">
      <c r="A287" s="19" t="n">
        <v>286</v>
      </c>
      <c r="B287" s="20" t="n">
        <v>58</v>
      </c>
      <c r="C287" s="20" t="n">
        <v>1</v>
      </c>
      <c r="D287" s="20" t="n">
        <v>4</v>
      </c>
      <c r="E287" s="20" t="n">
        <v>114</v>
      </c>
      <c r="F287" s="20" t="n">
        <v>318</v>
      </c>
      <c r="G287" s="20" t="n">
        <v>0</v>
      </c>
      <c r="H287" s="20" t="n">
        <v>1</v>
      </c>
      <c r="I287" s="20" t="n">
        <v>140</v>
      </c>
      <c r="J287" s="20" t="n">
        <v>0</v>
      </c>
      <c r="K287" s="21" t="n">
        <v>4.4</v>
      </c>
      <c r="L287" s="20" t="n">
        <v>3</v>
      </c>
      <c r="M287" s="20" t="n">
        <v>3</v>
      </c>
      <c r="N287" s="20" t="n">
        <v>6</v>
      </c>
      <c r="O287" s="20" t="n">
        <v>4</v>
      </c>
      <c r="P287" s="22" t="s">
        <v>104</v>
      </c>
    </row>
    <row r="288" customFormat="false" ht="15" hidden="false" customHeight="false" outlineLevel="0" collapsed="false">
      <c r="A288" s="19" t="n">
        <v>287</v>
      </c>
      <c r="B288" s="20" t="n">
        <v>58</v>
      </c>
      <c r="C288" s="20" t="n">
        <v>0</v>
      </c>
      <c r="D288" s="20" t="n">
        <v>4</v>
      </c>
      <c r="E288" s="20" t="n">
        <v>170</v>
      </c>
      <c r="F288" s="20" t="n">
        <v>225</v>
      </c>
      <c r="G288" s="20" t="n">
        <v>1</v>
      </c>
      <c r="H288" s="20" t="n">
        <v>2</v>
      </c>
      <c r="I288" s="20" t="n">
        <v>146</v>
      </c>
      <c r="J288" s="20" t="n">
        <v>1</v>
      </c>
      <c r="K288" s="21" t="n">
        <v>2.8</v>
      </c>
      <c r="L288" s="20" t="n">
        <v>2</v>
      </c>
      <c r="M288" s="20" t="n">
        <v>2</v>
      </c>
      <c r="N288" s="20" t="n">
        <v>6</v>
      </c>
      <c r="O288" s="20" t="n">
        <v>2</v>
      </c>
      <c r="P288" s="22" t="s">
        <v>104</v>
      </c>
    </row>
    <row r="289" customFormat="false" ht="15" hidden="false" customHeight="false" outlineLevel="0" collapsed="false">
      <c r="A289" s="19" t="n">
        <v>288</v>
      </c>
      <c r="B289" s="20" t="n">
        <v>58</v>
      </c>
      <c r="C289" s="20" t="n">
        <v>1</v>
      </c>
      <c r="D289" s="20" t="n">
        <v>2</v>
      </c>
      <c r="E289" s="20" t="n">
        <v>125</v>
      </c>
      <c r="F289" s="20" t="n">
        <v>220</v>
      </c>
      <c r="G289" s="20" t="n">
        <v>0</v>
      </c>
      <c r="H289" s="20" t="n">
        <v>0</v>
      </c>
      <c r="I289" s="20" t="n">
        <v>144</v>
      </c>
      <c r="J289" s="20" t="n">
        <v>0</v>
      </c>
      <c r="K289" s="21" t="n">
        <v>0.4</v>
      </c>
      <c r="L289" s="20" t="n">
        <v>2</v>
      </c>
      <c r="M289" s="20"/>
      <c r="N289" s="20" t="n">
        <v>7</v>
      </c>
      <c r="O289" s="20" t="n">
        <v>0</v>
      </c>
      <c r="P289" s="22" t="s">
        <v>104</v>
      </c>
    </row>
    <row r="290" customFormat="false" ht="15" hidden="false" customHeight="false" outlineLevel="0" collapsed="false">
      <c r="A290" s="19" t="n">
        <v>289</v>
      </c>
      <c r="B290" s="20" t="n">
        <v>56</v>
      </c>
      <c r="C290" s="20" t="n">
        <v>1</v>
      </c>
      <c r="D290" s="20" t="n">
        <v>2</v>
      </c>
      <c r="E290" s="20" t="n">
        <v>130</v>
      </c>
      <c r="F290" s="20" t="n">
        <v>221</v>
      </c>
      <c r="G290" s="20" t="n">
        <v>0</v>
      </c>
      <c r="H290" s="20" t="n">
        <v>2</v>
      </c>
      <c r="I290" s="20" t="n">
        <v>163</v>
      </c>
      <c r="J290" s="20" t="n">
        <v>0</v>
      </c>
      <c r="K290" s="21" t="n">
        <v>0</v>
      </c>
      <c r="L290" s="20" t="n">
        <v>1</v>
      </c>
      <c r="M290" s="20" t="n">
        <v>0</v>
      </c>
      <c r="N290" s="20" t="n">
        <v>7</v>
      </c>
      <c r="O290" s="20" t="n">
        <v>0</v>
      </c>
      <c r="P290" s="22" t="s">
        <v>104</v>
      </c>
    </row>
    <row r="291" customFormat="false" ht="15" hidden="false" customHeight="false" outlineLevel="0" collapsed="false">
      <c r="A291" s="19" t="n">
        <v>290</v>
      </c>
      <c r="B291" s="20" t="n">
        <v>56</v>
      </c>
      <c r="C291" s="20" t="n">
        <v>1</v>
      </c>
      <c r="D291" s="20" t="n">
        <v>2</v>
      </c>
      <c r="E291" s="20" t="n">
        <v>120</v>
      </c>
      <c r="F291" s="20" t="n">
        <v>240</v>
      </c>
      <c r="G291" s="20" t="n">
        <v>0</v>
      </c>
      <c r="H291" s="20" t="n">
        <v>0</v>
      </c>
      <c r="I291" s="20" t="n">
        <v>169</v>
      </c>
      <c r="J291" s="20" t="n">
        <v>0</v>
      </c>
      <c r="K291" s="21" t="n">
        <v>0</v>
      </c>
      <c r="L291" s="20" t="n">
        <v>3</v>
      </c>
      <c r="M291" s="20" t="n">
        <v>0</v>
      </c>
      <c r="N291" s="20" t="n">
        <v>3</v>
      </c>
      <c r="O291" s="20" t="n">
        <v>0</v>
      </c>
      <c r="P291" s="22" t="s">
        <v>104</v>
      </c>
    </row>
    <row r="292" customFormat="false" ht="15" hidden="false" customHeight="false" outlineLevel="0" collapsed="false">
      <c r="A292" s="19" t="n">
        <v>291</v>
      </c>
      <c r="B292" s="20" t="n">
        <v>67</v>
      </c>
      <c r="C292" s="20" t="n">
        <v>1</v>
      </c>
      <c r="D292" s="20" t="n">
        <v>3</v>
      </c>
      <c r="E292" s="20" t="n">
        <v>152</v>
      </c>
      <c r="F292" s="20" t="n">
        <v>212</v>
      </c>
      <c r="G292" s="20" t="n">
        <v>0</v>
      </c>
      <c r="H292" s="20" t="n">
        <v>2</v>
      </c>
      <c r="I292" s="20" t="n">
        <v>150</v>
      </c>
      <c r="J292" s="20" t="n">
        <v>0</v>
      </c>
      <c r="K292" s="21" t="n">
        <v>0.8</v>
      </c>
      <c r="L292" s="20" t="n">
        <v>2</v>
      </c>
      <c r="M292" s="20" t="n">
        <v>0</v>
      </c>
      <c r="N292" s="20" t="n">
        <v>7</v>
      </c>
      <c r="O292" s="20" t="n">
        <v>1</v>
      </c>
      <c r="P292" s="22" t="s">
        <v>104</v>
      </c>
    </row>
    <row r="293" customFormat="false" ht="15" hidden="false" customHeight="false" outlineLevel="0" collapsed="false">
      <c r="A293" s="19" t="n">
        <v>292</v>
      </c>
      <c r="B293" s="20" t="n">
        <v>55</v>
      </c>
      <c r="C293" s="20" t="n">
        <v>0</v>
      </c>
      <c r="D293" s="20" t="n">
        <v>2</v>
      </c>
      <c r="E293" s="20" t="n">
        <v>132</v>
      </c>
      <c r="F293" s="20" t="n">
        <v>342</v>
      </c>
      <c r="G293" s="20" t="n">
        <v>0</v>
      </c>
      <c r="H293" s="20" t="n">
        <v>0</v>
      </c>
      <c r="I293" s="20" t="n">
        <v>166</v>
      </c>
      <c r="J293" s="20" t="n">
        <v>0</v>
      </c>
      <c r="K293" s="21" t="n">
        <v>1.2</v>
      </c>
      <c r="L293" s="20" t="n">
        <v>1</v>
      </c>
      <c r="M293" s="20" t="n">
        <v>0</v>
      </c>
      <c r="N293" s="20" t="n">
        <v>3</v>
      </c>
      <c r="O293" s="20" t="n">
        <v>0</v>
      </c>
      <c r="P293" s="22" t="s">
        <v>104</v>
      </c>
    </row>
    <row r="294" customFormat="false" ht="15" hidden="false" customHeight="false" outlineLevel="0" collapsed="false">
      <c r="A294" s="19" t="n">
        <v>293</v>
      </c>
      <c r="B294" s="20" t="n">
        <v>44</v>
      </c>
      <c r="C294" s="20" t="n">
        <v>1</v>
      </c>
      <c r="D294" s="20" t="n">
        <v>4</v>
      </c>
      <c r="E294" s="20" t="n">
        <v>120</v>
      </c>
      <c r="F294" s="20" t="n">
        <v>169</v>
      </c>
      <c r="G294" s="20" t="n">
        <v>0</v>
      </c>
      <c r="H294" s="20" t="n">
        <v>0</v>
      </c>
      <c r="I294" s="20" t="n">
        <v>144</v>
      </c>
      <c r="J294" s="20" t="n">
        <v>1</v>
      </c>
      <c r="K294" s="21" t="n">
        <v>2.8</v>
      </c>
      <c r="L294" s="20" t="n">
        <v>3</v>
      </c>
      <c r="M294" s="20" t="n">
        <v>0</v>
      </c>
      <c r="N294" s="20" t="n">
        <v>6</v>
      </c>
      <c r="O294" s="20" t="n">
        <v>2</v>
      </c>
      <c r="P294" s="22" t="s">
        <v>104</v>
      </c>
    </row>
    <row r="295" customFormat="false" ht="15" hidden="false" customHeight="false" outlineLevel="0" collapsed="false">
      <c r="A295" s="19" t="n">
        <v>294</v>
      </c>
      <c r="B295" s="20" t="n">
        <v>63</v>
      </c>
      <c r="C295" s="20" t="n">
        <v>1</v>
      </c>
      <c r="D295" s="20" t="n">
        <v>4</v>
      </c>
      <c r="E295" s="20" t="n">
        <v>140</v>
      </c>
      <c r="F295" s="20" t="n">
        <v>187</v>
      </c>
      <c r="G295" s="20" t="n">
        <v>0</v>
      </c>
      <c r="H295" s="20" t="n">
        <v>2</v>
      </c>
      <c r="I295" s="20" t="n">
        <v>144</v>
      </c>
      <c r="J295" s="20" t="n">
        <v>1</v>
      </c>
      <c r="K295" s="21" t="n">
        <v>4</v>
      </c>
      <c r="L295" s="20" t="n">
        <v>1</v>
      </c>
      <c r="M295" s="20" t="n">
        <v>2</v>
      </c>
      <c r="N295" s="20" t="n">
        <v>7</v>
      </c>
      <c r="O295" s="20" t="n">
        <v>2</v>
      </c>
      <c r="P295" s="22" t="s">
        <v>104</v>
      </c>
    </row>
    <row r="296" customFormat="false" ht="15" hidden="false" customHeight="false" outlineLevel="0" collapsed="false">
      <c r="A296" s="19" t="n">
        <v>295</v>
      </c>
      <c r="B296" s="20" t="n">
        <v>63</v>
      </c>
      <c r="C296" s="20" t="n">
        <v>0</v>
      </c>
      <c r="D296" s="20" t="n">
        <v>4</v>
      </c>
      <c r="E296" s="20" t="n">
        <v>124</v>
      </c>
      <c r="F296" s="20" t="n">
        <v>197</v>
      </c>
      <c r="G296" s="20" t="n">
        <v>0</v>
      </c>
      <c r="H296" s="20" t="n">
        <v>0</v>
      </c>
      <c r="I296" s="20" t="n">
        <v>136</v>
      </c>
      <c r="J296" s="20" t="n">
        <v>1</v>
      </c>
      <c r="K296" s="21" t="n">
        <v>0</v>
      </c>
      <c r="L296" s="20" t="n">
        <v>2</v>
      </c>
      <c r="M296" s="20" t="n">
        <v>0</v>
      </c>
      <c r="N296" s="20" t="n">
        <v>3</v>
      </c>
      <c r="O296" s="20" t="n">
        <v>1</v>
      </c>
      <c r="P296" s="22" t="s">
        <v>104</v>
      </c>
    </row>
    <row r="297" customFormat="false" ht="15" hidden="false" customHeight="false" outlineLevel="0" collapsed="false">
      <c r="A297" s="19" t="n">
        <v>296</v>
      </c>
      <c r="B297" s="20" t="n">
        <v>41</v>
      </c>
      <c r="C297" s="20" t="n">
        <v>1</v>
      </c>
      <c r="D297" s="20" t="n">
        <v>2</v>
      </c>
      <c r="E297" s="20" t="n">
        <v>120</v>
      </c>
      <c r="F297" s="20" t="n">
        <v>157</v>
      </c>
      <c r="G297" s="20" t="n">
        <v>0</v>
      </c>
      <c r="H297" s="20" t="n">
        <v>0</v>
      </c>
      <c r="I297" s="20" t="n">
        <v>182</v>
      </c>
      <c r="J297" s="20" t="n">
        <v>0</v>
      </c>
      <c r="K297" s="21" t="n">
        <v>0</v>
      </c>
      <c r="L297" s="20" t="n">
        <v>1</v>
      </c>
      <c r="M297" s="20" t="n">
        <v>0</v>
      </c>
      <c r="N297" s="20" t="n">
        <v>3</v>
      </c>
      <c r="O297" s="20" t="n">
        <v>0</v>
      </c>
      <c r="P297" s="22" t="s">
        <v>104</v>
      </c>
    </row>
    <row r="298" customFormat="false" ht="15" hidden="false" customHeight="false" outlineLevel="0" collapsed="false">
      <c r="A298" s="19" t="n">
        <v>297</v>
      </c>
      <c r="B298" s="20" t="n">
        <v>59</v>
      </c>
      <c r="C298" s="20" t="n">
        <v>1</v>
      </c>
      <c r="D298" s="20" t="n">
        <v>4</v>
      </c>
      <c r="E298" s="20" t="n">
        <v>164</v>
      </c>
      <c r="F298" s="20" t="n">
        <v>176</v>
      </c>
      <c r="G298" s="20" t="n">
        <v>1</v>
      </c>
      <c r="H298" s="20" t="n">
        <v>2</v>
      </c>
      <c r="I298" s="20" t="n">
        <v>90</v>
      </c>
      <c r="J298" s="20" t="n">
        <v>0</v>
      </c>
      <c r="K298" s="21" t="n">
        <v>1</v>
      </c>
      <c r="L298" s="20" t="n">
        <v>2</v>
      </c>
      <c r="M298" s="20" t="n">
        <v>2</v>
      </c>
      <c r="N298" s="20" t="n">
        <v>6</v>
      </c>
      <c r="O298" s="20" t="n">
        <v>3</v>
      </c>
      <c r="P298" s="22" t="s">
        <v>104</v>
      </c>
    </row>
    <row r="299" customFormat="false" ht="15" hidden="false" customHeight="false" outlineLevel="0" collapsed="false">
      <c r="A299" s="19" t="n">
        <v>298</v>
      </c>
      <c r="B299" s="20" t="n">
        <v>57</v>
      </c>
      <c r="C299" s="20" t="n">
        <v>0</v>
      </c>
      <c r="D299" s="20" t="n">
        <v>4</v>
      </c>
      <c r="E299" s="20" t="n">
        <v>140</v>
      </c>
      <c r="F299" s="20" t="n">
        <v>241</v>
      </c>
      <c r="G299" s="20" t="n">
        <v>0</v>
      </c>
      <c r="H299" s="20" t="n">
        <v>0</v>
      </c>
      <c r="I299" s="20" t="n">
        <v>123</v>
      </c>
      <c r="J299" s="20" t="n">
        <v>1</v>
      </c>
      <c r="K299" s="21" t="n">
        <v>0.2</v>
      </c>
      <c r="L299" s="20" t="n">
        <v>2</v>
      </c>
      <c r="M299" s="20" t="n">
        <v>0</v>
      </c>
      <c r="N299" s="20" t="n">
        <v>7</v>
      </c>
      <c r="O299" s="20" t="n">
        <v>1</v>
      </c>
      <c r="P299" s="22" t="s">
        <v>104</v>
      </c>
    </row>
    <row r="300" customFormat="false" ht="15" hidden="false" customHeight="false" outlineLevel="0" collapsed="false">
      <c r="A300" s="19" t="n">
        <v>299</v>
      </c>
      <c r="B300" s="20" t="n">
        <v>45</v>
      </c>
      <c r="C300" s="20" t="n">
        <v>1</v>
      </c>
      <c r="D300" s="20" t="n">
        <v>1</v>
      </c>
      <c r="E300" s="20" t="n">
        <v>110</v>
      </c>
      <c r="F300" s="20" t="n">
        <v>264</v>
      </c>
      <c r="G300" s="20" t="n">
        <v>0</v>
      </c>
      <c r="H300" s="20" t="n">
        <v>0</v>
      </c>
      <c r="I300" s="20" t="n">
        <v>132</v>
      </c>
      <c r="J300" s="20" t="n">
        <v>0</v>
      </c>
      <c r="K300" s="21" t="n">
        <v>1.2</v>
      </c>
      <c r="L300" s="20" t="n">
        <v>2</v>
      </c>
      <c r="M300" s="20" t="n">
        <v>0</v>
      </c>
      <c r="N300" s="20" t="n">
        <v>7</v>
      </c>
      <c r="O300" s="20" t="n">
        <v>1</v>
      </c>
      <c r="P300" s="22" t="s">
        <v>104</v>
      </c>
    </row>
    <row r="301" customFormat="false" ht="15" hidden="false" customHeight="false" outlineLevel="0" collapsed="false">
      <c r="A301" s="19" t="n">
        <v>300</v>
      </c>
      <c r="B301" s="20" t="n">
        <v>68</v>
      </c>
      <c r="C301" s="20" t="n">
        <v>1</v>
      </c>
      <c r="D301" s="20" t="n">
        <v>4</v>
      </c>
      <c r="E301" s="20" t="n">
        <v>144</v>
      </c>
      <c r="F301" s="20" t="n">
        <v>193</v>
      </c>
      <c r="G301" s="20" t="n">
        <v>1</v>
      </c>
      <c r="H301" s="20" t="n">
        <v>0</v>
      </c>
      <c r="I301" s="20" t="n">
        <v>141</v>
      </c>
      <c r="J301" s="20" t="n">
        <v>0</v>
      </c>
      <c r="K301" s="21" t="n">
        <v>3.4</v>
      </c>
      <c r="L301" s="20" t="n">
        <v>2</v>
      </c>
      <c r="M301" s="20" t="n">
        <v>2</v>
      </c>
      <c r="N301" s="20" t="n">
        <v>7</v>
      </c>
      <c r="O301" s="20" t="n">
        <v>2</v>
      </c>
      <c r="P301" s="22" t="s">
        <v>104</v>
      </c>
    </row>
    <row r="302" customFormat="false" ht="15" hidden="false" customHeight="false" outlineLevel="0" collapsed="false">
      <c r="A302" s="19" t="n">
        <v>301</v>
      </c>
      <c r="B302" s="20" t="n">
        <v>57</v>
      </c>
      <c r="C302" s="20" t="n">
        <v>1</v>
      </c>
      <c r="D302" s="20" t="n">
        <v>4</v>
      </c>
      <c r="E302" s="20" t="n">
        <v>130</v>
      </c>
      <c r="F302" s="20" t="n">
        <v>131</v>
      </c>
      <c r="G302" s="20" t="n">
        <v>0</v>
      </c>
      <c r="H302" s="20" t="n">
        <v>0</v>
      </c>
      <c r="I302" s="20" t="n">
        <v>115</v>
      </c>
      <c r="J302" s="20" t="n">
        <v>1</v>
      </c>
      <c r="K302" s="21" t="n">
        <v>1.2</v>
      </c>
      <c r="L302" s="20" t="n">
        <v>2</v>
      </c>
      <c r="M302" s="20" t="n">
        <v>1</v>
      </c>
      <c r="N302" s="20" t="n">
        <v>7</v>
      </c>
      <c r="O302" s="20" t="n">
        <v>3</v>
      </c>
      <c r="P302" s="22" t="s">
        <v>104</v>
      </c>
    </row>
    <row r="303" customFormat="false" ht="15" hidden="false" customHeight="false" outlineLevel="0" collapsed="false">
      <c r="A303" s="19" t="n">
        <v>302</v>
      </c>
      <c r="B303" s="20" t="n">
        <v>57</v>
      </c>
      <c r="C303" s="20" t="n">
        <v>0</v>
      </c>
      <c r="D303" s="20" t="n">
        <v>2</v>
      </c>
      <c r="E303" s="20" t="n">
        <v>130</v>
      </c>
      <c r="F303" s="20" t="n">
        <v>236</v>
      </c>
      <c r="G303" s="20" t="n">
        <v>0</v>
      </c>
      <c r="H303" s="20" t="n">
        <v>2</v>
      </c>
      <c r="I303" s="20" t="n">
        <v>174</v>
      </c>
      <c r="J303" s="20" t="n">
        <v>0</v>
      </c>
      <c r="K303" s="21" t="n">
        <v>0</v>
      </c>
      <c r="L303" s="20" t="n">
        <v>2</v>
      </c>
      <c r="M303" s="20" t="n">
        <v>1</v>
      </c>
      <c r="N303" s="20" t="n">
        <v>3</v>
      </c>
      <c r="O303" s="20" t="n">
        <v>1</v>
      </c>
      <c r="P303" s="22" t="s">
        <v>104</v>
      </c>
    </row>
    <row r="304" customFormat="false" ht="15" hidden="false" customHeight="false" outlineLevel="0" collapsed="false">
      <c r="A304" s="19" t="n">
        <v>303</v>
      </c>
      <c r="B304" s="20" t="n">
        <v>38</v>
      </c>
      <c r="C304" s="20" t="n">
        <v>1</v>
      </c>
      <c r="D304" s="20" t="n">
        <v>3</v>
      </c>
      <c r="E304" s="20" t="n">
        <v>138</v>
      </c>
      <c r="F304" s="20" t="n">
        <v>175</v>
      </c>
      <c r="G304" s="20" t="n">
        <v>0</v>
      </c>
      <c r="H304" s="20" t="n">
        <v>0</v>
      </c>
      <c r="I304" s="20" t="n">
        <v>173</v>
      </c>
      <c r="J304" s="20" t="n">
        <v>0</v>
      </c>
      <c r="K304" s="21" t="n">
        <v>0</v>
      </c>
      <c r="L304" s="20" t="n">
        <v>1</v>
      </c>
      <c r="M304" s="20"/>
      <c r="N304" s="20" t="n">
        <v>3</v>
      </c>
      <c r="O304" s="20" t="n">
        <v>0</v>
      </c>
      <c r="P304" s="22" t="s">
        <v>104</v>
      </c>
    </row>
    <row r="305" customFormat="false" ht="15" hidden="false" customHeight="false" outlineLevel="0" collapsed="false">
      <c r="A305" s="19" t="n">
        <v>304</v>
      </c>
      <c r="B305" s="20" t="n">
        <v>40</v>
      </c>
      <c r="C305" s="20" t="n">
        <v>1</v>
      </c>
      <c r="D305" s="20" t="n">
        <v>2</v>
      </c>
      <c r="E305" s="20" t="n">
        <v>140</v>
      </c>
      <c r="F305" s="20" t="n">
        <v>289</v>
      </c>
      <c r="G305" s="20" t="n">
        <v>0</v>
      </c>
      <c r="H305" s="20" t="n">
        <v>0</v>
      </c>
      <c r="I305" s="20" t="n">
        <v>172</v>
      </c>
      <c r="J305" s="20" t="n">
        <v>0</v>
      </c>
      <c r="K305" s="21" t="n">
        <v>0</v>
      </c>
      <c r="L305" s="20"/>
      <c r="M305" s="20"/>
      <c r="N305" s="20"/>
      <c r="O305" s="20" t="n">
        <v>0</v>
      </c>
      <c r="P305" s="22" t="s">
        <v>105</v>
      </c>
    </row>
    <row r="306" customFormat="false" ht="15" hidden="false" customHeight="false" outlineLevel="0" collapsed="false">
      <c r="A306" s="19" t="n">
        <v>305</v>
      </c>
      <c r="B306" s="20" t="n">
        <v>49</v>
      </c>
      <c r="C306" s="20" t="n">
        <v>0</v>
      </c>
      <c r="D306" s="20" t="n">
        <v>3</v>
      </c>
      <c r="E306" s="20" t="n">
        <v>160</v>
      </c>
      <c r="F306" s="20" t="n">
        <v>180</v>
      </c>
      <c r="G306" s="20" t="n">
        <v>0</v>
      </c>
      <c r="H306" s="20" t="n">
        <v>0</v>
      </c>
      <c r="I306" s="20" t="n">
        <v>156</v>
      </c>
      <c r="J306" s="20" t="n">
        <v>0</v>
      </c>
      <c r="K306" s="21" t="n">
        <v>1</v>
      </c>
      <c r="L306" s="20" t="n">
        <v>2</v>
      </c>
      <c r="M306" s="20"/>
      <c r="N306" s="20"/>
      <c r="O306" s="20" t="n">
        <v>1</v>
      </c>
      <c r="P306" s="22" t="s">
        <v>105</v>
      </c>
    </row>
    <row r="307" customFormat="false" ht="15" hidden="false" customHeight="false" outlineLevel="0" collapsed="false">
      <c r="A307" s="19" t="n">
        <v>306</v>
      </c>
      <c r="B307" s="20" t="n">
        <v>37</v>
      </c>
      <c r="C307" s="20" t="n">
        <v>1</v>
      </c>
      <c r="D307" s="20" t="n">
        <v>2</v>
      </c>
      <c r="E307" s="20" t="n">
        <v>130</v>
      </c>
      <c r="F307" s="20" t="n">
        <v>283</v>
      </c>
      <c r="G307" s="20" t="n">
        <v>0</v>
      </c>
      <c r="H307" s="20" t="n">
        <v>1</v>
      </c>
      <c r="I307" s="20" t="n">
        <v>98</v>
      </c>
      <c r="J307" s="20" t="n">
        <v>0</v>
      </c>
      <c r="K307" s="21" t="n">
        <v>0</v>
      </c>
      <c r="L307" s="20"/>
      <c r="M307" s="20"/>
      <c r="N307" s="20"/>
      <c r="O307" s="20" t="n">
        <v>0</v>
      </c>
      <c r="P307" s="22" t="s">
        <v>105</v>
      </c>
    </row>
    <row r="308" customFormat="false" ht="15" hidden="false" customHeight="false" outlineLevel="0" collapsed="false">
      <c r="A308" s="19" t="n">
        <v>307</v>
      </c>
      <c r="B308" s="20" t="n">
        <v>48</v>
      </c>
      <c r="C308" s="20" t="n">
        <v>0</v>
      </c>
      <c r="D308" s="20" t="n">
        <v>4</v>
      </c>
      <c r="E308" s="20" t="n">
        <v>138</v>
      </c>
      <c r="F308" s="20" t="n">
        <v>214</v>
      </c>
      <c r="G308" s="20" t="n">
        <v>0</v>
      </c>
      <c r="H308" s="20" t="n">
        <v>0</v>
      </c>
      <c r="I308" s="20" t="n">
        <v>108</v>
      </c>
      <c r="J308" s="20" t="n">
        <v>1</v>
      </c>
      <c r="K308" s="21" t="n">
        <v>1.5</v>
      </c>
      <c r="L308" s="20" t="n">
        <v>2</v>
      </c>
      <c r="M308" s="20"/>
      <c r="N308" s="20"/>
      <c r="O308" s="20" t="n">
        <v>3</v>
      </c>
      <c r="P308" s="22" t="s">
        <v>105</v>
      </c>
    </row>
    <row r="309" customFormat="false" ht="15" hidden="false" customHeight="false" outlineLevel="0" collapsed="false">
      <c r="A309" s="19" t="n">
        <v>308</v>
      </c>
      <c r="B309" s="20" t="n">
        <v>54</v>
      </c>
      <c r="C309" s="20" t="n">
        <v>1</v>
      </c>
      <c r="D309" s="20" t="n">
        <v>3</v>
      </c>
      <c r="E309" s="20" t="n">
        <v>150</v>
      </c>
      <c r="F309" s="20"/>
      <c r="G309" s="20" t="n">
        <v>0</v>
      </c>
      <c r="H309" s="20" t="n">
        <v>0</v>
      </c>
      <c r="I309" s="20" t="n">
        <v>122</v>
      </c>
      <c r="J309" s="20" t="n">
        <v>0</v>
      </c>
      <c r="K309" s="21" t="n">
        <v>0</v>
      </c>
      <c r="L309" s="20"/>
      <c r="M309" s="20"/>
      <c r="N309" s="20"/>
      <c r="O309" s="20" t="n">
        <v>0</v>
      </c>
      <c r="P309" s="22" t="s">
        <v>105</v>
      </c>
    </row>
    <row r="310" customFormat="false" ht="15" hidden="false" customHeight="false" outlineLevel="0" collapsed="false">
      <c r="A310" s="19" t="n">
        <v>309</v>
      </c>
      <c r="B310" s="20" t="n">
        <v>39</v>
      </c>
      <c r="C310" s="20" t="n">
        <v>1</v>
      </c>
      <c r="D310" s="20" t="n">
        <v>3</v>
      </c>
      <c r="E310" s="20" t="n">
        <v>120</v>
      </c>
      <c r="F310" s="20" t="n">
        <v>339</v>
      </c>
      <c r="G310" s="20" t="n">
        <v>0</v>
      </c>
      <c r="H310" s="20" t="n">
        <v>0</v>
      </c>
      <c r="I310" s="20" t="n">
        <v>170</v>
      </c>
      <c r="J310" s="20" t="n">
        <v>0</v>
      </c>
      <c r="K310" s="21" t="n">
        <v>0</v>
      </c>
      <c r="L310" s="20"/>
      <c r="M310" s="20"/>
      <c r="N310" s="20"/>
      <c r="O310" s="20" t="n">
        <v>0</v>
      </c>
      <c r="P310" s="22" t="s">
        <v>105</v>
      </c>
    </row>
    <row r="311" customFormat="false" ht="15" hidden="false" customHeight="false" outlineLevel="0" collapsed="false">
      <c r="A311" s="19" t="n">
        <v>310</v>
      </c>
      <c r="B311" s="20" t="n">
        <v>45</v>
      </c>
      <c r="C311" s="20" t="n">
        <v>0</v>
      </c>
      <c r="D311" s="20" t="n">
        <v>2</v>
      </c>
      <c r="E311" s="20" t="n">
        <v>130</v>
      </c>
      <c r="F311" s="20" t="n">
        <v>237</v>
      </c>
      <c r="G311" s="20" t="n">
        <v>0</v>
      </c>
      <c r="H311" s="20" t="n">
        <v>0</v>
      </c>
      <c r="I311" s="20" t="n">
        <v>170</v>
      </c>
      <c r="J311" s="20" t="n">
        <v>0</v>
      </c>
      <c r="K311" s="21" t="n">
        <v>0</v>
      </c>
      <c r="L311" s="20"/>
      <c r="M311" s="20"/>
      <c r="N311" s="20"/>
      <c r="O311" s="20" t="n">
        <v>0</v>
      </c>
      <c r="P311" s="22" t="s">
        <v>105</v>
      </c>
    </row>
    <row r="312" customFormat="false" ht="15" hidden="false" customHeight="false" outlineLevel="0" collapsed="false">
      <c r="A312" s="19" t="n">
        <v>311</v>
      </c>
      <c r="B312" s="20" t="n">
        <v>54</v>
      </c>
      <c r="C312" s="20" t="n">
        <v>1</v>
      </c>
      <c r="D312" s="20" t="n">
        <v>2</v>
      </c>
      <c r="E312" s="20" t="n">
        <v>110</v>
      </c>
      <c r="F312" s="20" t="n">
        <v>208</v>
      </c>
      <c r="G312" s="20" t="n">
        <v>0</v>
      </c>
      <c r="H312" s="20" t="n">
        <v>0</v>
      </c>
      <c r="I312" s="20" t="n">
        <v>142</v>
      </c>
      <c r="J312" s="20" t="n">
        <v>0</v>
      </c>
      <c r="K312" s="21" t="n">
        <v>0</v>
      </c>
      <c r="L312" s="20"/>
      <c r="M312" s="20"/>
      <c r="N312" s="20"/>
      <c r="O312" s="20" t="n">
        <v>0</v>
      </c>
      <c r="P312" s="22" t="s">
        <v>105</v>
      </c>
    </row>
    <row r="313" customFormat="false" ht="15" hidden="false" customHeight="false" outlineLevel="0" collapsed="false">
      <c r="A313" s="19" t="n">
        <v>312</v>
      </c>
      <c r="B313" s="20" t="n">
        <v>37</v>
      </c>
      <c r="C313" s="20" t="n">
        <v>1</v>
      </c>
      <c r="D313" s="20" t="n">
        <v>4</v>
      </c>
      <c r="E313" s="20" t="n">
        <v>140</v>
      </c>
      <c r="F313" s="20" t="n">
        <v>207</v>
      </c>
      <c r="G313" s="20" t="n">
        <v>0</v>
      </c>
      <c r="H313" s="20" t="n">
        <v>0</v>
      </c>
      <c r="I313" s="20" t="n">
        <v>130</v>
      </c>
      <c r="J313" s="20" t="n">
        <v>1</v>
      </c>
      <c r="K313" s="21" t="n">
        <v>1.5</v>
      </c>
      <c r="L313" s="20" t="n">
        <v>2</v>
      </c>
      <c r="M313" s="20"/>
      <c r="N313" s="20"/>
      <c r="O313" s="20" t="n">
        <v>1</v>
      </c>
      <c r="P313" s="22" t="s">
        <v>105</v>
      </c>
    </row>
    <row r="314" customFormat="false" ht="15" hidden="false" customHeight="false" outlineLevel="0" collapsed="false">
      <c r="A314" s="19" t="n">
        <v>313</v>
      </c>
      <c r="B314" s="20" t="n">
        <v>48</v>
      </c>
      <c r="C314" s="20" t="n">
        <v>0</v>
      </c>
      <c r="D314" s="20" t="n">
        <v>2</v>
      </c>
      <c r="E314" s="20" t="n">
        <v>120</v>
      </c>
      <c r="F314" s="20" t="n">
        <v>284</v>
      </c>
      <c r="G314" s="20" t="n">
        <v>0</v>
      </c>
      <c r="H314" s="20" t="n">
        <v>0</v>
      </c>
      <c r="I314" s="20" t="n">
        <v>120</v>
      </c>
      <c r="J314" s="20" t="n">
        <v>0</v>
      </c>
      <c r="K314" s="21" t="n">
        <v>0</v>
      </c>
      <c r="L314" s="20"/>
      <c r="M314" s="20"/>
      <c r="N314" s="20"/>
      <c r="O314" s="20" t="n">
        <v>0</v>
      </c>
      <c r="P314" s="22" t="s">
        <v>105</v>
      </c>
    </row>
    <row r="315" customFormat="false" ht="15" hidden="false" customHeight="false" outlineLevel="0" collapsed="false">
      <c r="A315" s="19" t="n">
        <v>314</v>
      </c>
      <c r="B315" s="20" t="n">
        <v>37</v>
      </c>
      <c r="C315" s="20" t="n">
        <v>0</v>
      </c>
      <c r="D315" s="20" t="n">
        <v>3</v>
      </c>
      <c r="E315" s="20" t="n">
        <v>130</v>
      </c>
      <c r="F315" s="20" t="n">
        <v>211</v>
      </c>
      <c r="G315" s="20" t="n">
        <v>0</v>
      </c>
      <c r="H315" s="20" t="n">
        <v>0</v>
      </c>
      <c r="I315" s="20" t="n">
        <v>142</v>
      </c>
      <c r="J315" s="20" t="n">
        <v>0</v>
      </c>
      <c r="K315" s="21" t="n">
        <v>0</v>
      </c>
      <c r="L315" s="20"/>
      <c r="M315" s="20"/>
      <c r="N315" s="20"/>
      <c r="O315" s="20" t="n">
        <v>0</v>
      </c>
      <c r="P315" s="22" t="s">
        <v>105</v>
      </c>
    </row>
    <row r="316" customFormat="false" ht="15" hidden="false" customHeight="false" outlineLevel="0" collapsed="false">
      <c r="A316" s="19" t="n">
        <v>315</v>
      </c>
      <c r="B316" s="20" t="n">
        <v>58</v>
      </c>
      <c r="C316" s="20" t="n">
        <v>1</v>
      </c>
      <c r="D316" s="20" t="n">
        <v>2</v>
      </c>
      <c r="E316" s="20" t="n">
        <v>136</v>
      </c>
      <c r="F316" s="20" t="n">
        <v>164</v>
      </c>
      <c r="G316" s="20" t="n">
        <v>0</v>
      </c>
      <c r="H316" s="20" t="n">
        <v>1</v>
      </c>
      <c r="I316" s="20" t="n">
        <v>99</v>
      </c>
      <c r="J316" s="20" t="n">
        <v>1</v>
      </c>
      <c r="K316" s="21" t="n">
        <v>2</v>
      </c>
      <c r="L316" s="20" t="n">
        <v>2</v>
      </c>
      <c r="M316" s="20"/>
      <c r="N316" s="20"/>
      <c r="O316" s="20" t="n">
        <v>3</v>
      </c>
      <c r="P316" s="22" t="s">
        <v>105</v>
      </c>
    </row>
    <row r="317" customFormat="false" ht="15" hidden="false" customHeight="false" outlineLevel="0" collapsed="false">
      <c r="A317" s="19" t="n">
        <v>316</v>
      </c>
      <c r="B317" s="20" t="n">
        <v>39</v>
      </c>
      <c r="C317" s="20" t="n">
        <v>1</v>
      </c>
      <c r="D317" s="20" t="n">
        <v>2</v>
      </c>
      <c r="E317" s="20" t="n">
        <v>120</v>
      </c>
      <c r="F317" s="20" t="n">
        <v>204</v>
      </c>
      <c r="G317" s="20" t="n">
        <v>0</v>
      </c>
      <c r="H317" s="20" t="n">
        <v>0</v>
      </c>
      <c r="I317" s="20" t="n">
        <v>145</v>
      </c>
      <c r="J317" s="20" t="n">
        <v>0</v>
      </c>
      <c r="K317" s="21" t="n">
        <v>0</v>
      </c>
      <c r="L317" s="20"/>
      <c r="M317" s="20"/>
      <c r="N317" s="20"/>
      <c r="O317" s="20" t="n">
        <v>0</v>
      </c>
      <c r="P317" s="22" t="s">
        <v>105</v>
      </c>
    </row>
    <row r="318" customFormat="false" ht="15" hidden="false" customHeight="false" outlineLevel="0" collapsed="false">
      <c r="A318" s="19" t="n">
        <v>317</v>
      </c>
      <c r="B318" s="20" t="n">
        <v>49</v>
      </c>
      <c r="C318" s="20" t="n">
        <v>1</v>
      </c>
      <c r="D318" s="20" t="n">
        <v>4</v>
      </c>
      <c r="E318" s="20" t="n">
        <v>140</v>
      </c>
      <c r="F318" s="20" t="n">
        <v>234</v>
      </c>
      <c r="G318" s="20" t="n">
        <v>0</v>
      </c>
      <c r="H318" s="20" t="n">
        <v>0</v>
      </c>
      <c r="I318" s="20" t="n">
        <v>140</v>
      </c>
      <c r="J318" s="20" t="n">
        <v>1</v>
      </c>
      <c r="K318" s="21" t="n">
        <v>1</v>
      </c>
      <c r="L318" s="20" t="n">
        <v>2</v>
      </c>
      <c r="M318" s="20"/>
      <c r="N318" s="20"/>
      <c r="O318" s="20" t="n">
        <v>3</v>
      </c>
      <c r="P318" s="22" t="s">
        <v>105</v>
      </c>
    </row>
    <row r="319" customFormat="false" ht="15" hidden="false" customHeight="false" outlineLevel="0" collapsed="false">
      <c r="A319" s="19" t="n">
        <v>318</v>
      </c>
      <c r="B319" s="20" t="n">
        <v>42</v>
      </c>
      <c r="C319" s="20" t="n">
        <v>0</v>
      </c>
      <c r="D319" s="20" t="n">
        <v>3</v>
      </c>
      <c r="E319" s="20" t="n">
        <v>115</v>
      </c>
      <c r="F319" s="20" t="n">
        <v>211</v>
      </c>
      <c r="G319" s="20" t="n">
        <v>0</v>
      </c>
      <c r="H319" s="20" t="n">
        <v>1</v>
      </c>
      <c r="I319" s="20" t="n">
        <v>137</v>
      </c>
      <c r="J319" s="20" t="n">
        <v>0</v>
      </c>
      <c r="K319" s="21" t="n">
        <v>0</v>
      </c>
      <c r="L319" s="20"/>
      <c r="M319" s="20"/>
      <c r="N319" s="20"/>
      <c r="O319" s="20" t="n">
        <v>0</v>
      </c>
      <c r="P319" s="22" t="s">
        <v>105</v>
      </c>
    </row>
    <row r="320" customFormat="false" ht="15" hidden="false" customHeight="false" outlineLevel="0" collapsed="false">
      <c r="A320" s="19" t="n">
        <v>319</v>
      </c>
      <c r="B320" s="20" t="n">
        <v>54</v>
      </c>
      <c r="C320" s="20" t="n">
        <v>0</v>
      </c>
      <c r="D320" s="20" t="n">
        <v>2</v>
      </c>
      <c r="E320" s="20" t="n">
        <v>120</v>
      </c>
      <c r="F320" s="20" t="n">
        <v>273</v>
      </c>
      <c r="G320" s="20" t="n">
        <v>0</v>
      </c>
      <c r="H320" s="20" t="n">
        <v>0</v>
      </c>
      <c r="I320" s="20" t="n">
        <v>150</v>
      </c>
      <c r="J320" s="20" t="n">
        <v>0</v>
      </c>
      <c r="K320" s="21" t="n">
        <v>1.5</v>
      </c>
      <c r="L320" s="20" t="n">
        <v>2</v>
      </c>
      <c r="M320" s="20"/>
      <c r="N320" s="20"/>
      <c r="O320" s="20" t="n">
        <v>0</v>
      </c>
      <c r="P320" s="22" t="s">
        <v>105</v>
      </c>
    </row>
    <row r="321" customFormat="false" ht="15" hidden="false" customHeight="false" outlineLevel="0" collapsed="false">
      <c r="A321" s="19" t="n">
        <v>320</v>
      </c>
      <c r="B321" s="20" t="n">
        <v>38</v>
      </c>
      <c r="C321" s="20" t="n">
        <v>1</v>
      </c>
      <c r="D321" s="20" t="n">
        <v>4</v>
      </c>
      <c r="E321" s="20" t="n">
        <v>110</v>
      </c>
      <c r="F321" s="20" t="n">
        <v>196</v>
      </c>
      <c r="G321" s="20" t="n">
        <v>0</v>
      </c>
      <c r="H321" s="20" t="n">
        <v>0</v>
      </c>
      <c r="I321" s="20" t="n">
        <v>166</v>
      </c>
      <c r="J321" s="20" t="n">
        <v>0</v>
      </c>
      <c r="K321" s="21" t="n">
        <v>0</v>
      </c>
      <c r="L321" s="20"/>
      <c r="M321" s="20"/>
      <c r="N321" s="20"/>
      <c r="O321" s="20" t="n">
        <v>1</v>
      </c>
      <c r="P321" s="22" t="s">
        <v>105</v>
      </c>
    </row>
    <row r="322" customFormat="false" ht="15" hidden="false" customHeight="false" outlineLevel="0" collapsed="false">
      <c r="A322" s="19" t="n">
        <v>321</v>
      </c>
      <c r="B322" s="20" t="n">
        <v>43</v>
      </c>
      <c r="C322" s="20" t="n">
        <v>0</v>
      </c>
      <c r="D322" s="20" t="n">
        <v>2</v>
      </c>
      <c r="E322" s="20" t="n">
        <v>120</v>
      </c>
      <c r="F322" s="20" t="n">
        <v>201</v>
      </c>
      <c r="G322" s="20" t="n">
        <v>0</v>
      </c>
      <c r="H322" s="20" t="n">
        <v>0</v>
      </c>
      <c r="I322" s="20" t="n">
        <v>165</v>
      </c>
      <c r="J322" s="20" t="n">
        <v>0</v>
      </c>
      <c r="K322" s="21" t="n">
        <v>0</v>
      </c>
      <c r="L322" s="20"/>
      <c r="M322" s="20"/>
      <c r="N322" s="20"/>
      <c r="O322" s="20" t="n">
        <v>0</v>
      </c>
      <c r="P322" s="22" t="s">
        <v>105</v>
      </c>
    </row>
    <row r="323" customFormat="false" ht="15" hidden="false" customHeight="false" outlineLevel="0" collapsed="false">
      <c r="A323" s="19" t="n">
        <v>322</v>
      </c>
      <c r="B323" s="20" t="n">
        <v>60</v>
      </c>
      <c r="C323" s="20" t="n">
        <v>1</v>
      </c>
      <c r="D323" s="20" t="n">
        <v>4</v>
      </c>
      <c r="E323" s="20" t="n">
        <v>100</v>
      </c>
      <c r="F323" s="20" t="n">
        <v>248</v>
      </c>
      <c r="G323" s="20" t="n">
        <v>0</v>
      </c>
      <c r="H323" s="20" t="n">
        <v>0</v>
      </c>
      <c r="I323" s="20" t="n">
        <v>125</v>
      </c>
      <c r="J323" s="20" t="n">
        <v>0</v>
      </c>
      <c r="K323" s="21" t="n">
        <v>1</v>
      </c>
      <c r="L323" s="20" t="n">
        <v>2</v>
      </c>
      <c r="M323" s="20"/>
      <c r="N323" s="20"/>
      <c r="O323" s="20" t="n">
        <v>1</v>
      </c>
      <c r="P323" s="22" t="s">
        <v>105</v>
      </c>
    </row>
    <row r="324" customFormat="false" ht="15" hidden="false" customHeight="false" outlineLevel="0" collapsed="false">
      <c r="A324" s="19" t="n">
        <v>323</v>
      </c>
      <c r="B324" s="20" t="n">
        <v>36</v>
      </c>
      <c r="C324" s="20" t="n">
        <v>1</v>
      </c>
      <c r="D324" s="20" t="n">
        <v>2</v>
      </c>
      <c r="E324" s="20" t="n">
        <v>120</v>
      </c>
      <c r="F324" s="20" t="n">
        <v>267</v>
      </c>
      <c r="G324" s="20" t="n">
        <v>0</v>
      </c>
      <c r="H324" s="20" t="n">
        <v>0</v>
      </c>
      <c r="I324" s="20" t="n">
        <v>160</v>
      </c>
      <c r="J324" s="20" t="n">
        <v>0</v>
      </c>
      <c r="K324" s="21" t="n">
        <v>3</v>
      </c>
      <c r="L324" s="20" t="n">
        <v>2</v>
      </c>
      <c r="M324" s="20"/>
      <c r="N324" s="20"/>
      <c r="O324" s="20" t="n">
        <v>1</v>
      </c>
      <c r="P324" s="22" t="s">
        <v>105</v>
      </c>
    </row>
    <row r="325" customFormat="false" ht="15" hidden="false" customHeight="false" outlineLevel="0" collapsed="false">
      <c r="A325" s="19" t="n">
        <v>324</v>
      </c>
      <c r="B325" s="20" t="n">
        <v>43</v>
      </c>
      <c r="C325" s="20" t="n">
        <v>0</v>
      </c>
      <c r="D325" s="20" t="n">
        <v>1</v>
      </c>
      <c r="E325" s="20" t="n">
        <v>100</v>
      </c>
      <c r="F325" s="20" t="n">
        <v>223</v>
      </c>
      <c r="G325" s="20" t="n">
        <v>0</v>
      </c>
      <c r="H325" s="20" t="n">
        <v>0</v>
      </c>
      <c r="I325" s="20" t="n">
        <v>142</v>
      </c>
      <c r="J325" s="20" t="n">
        <v>0</v>
      </c>
      <c r="K325" s="21" t="n">
        <v>0</v>
      </c>
      <c r="L325" s="20"/>
      <c r="M325" s="20"/>
      <c r="N325" s="20"/>
      <c r="O325" s="20" t="n">
        <v>0</v>
      </c>
      <c r="P325" s="22" t="s">
        <v>105</v>
      </c>
    </row>
    <row r="326" customFormat="false" ht="15" hidden="false" customHeight="false" outlineLevel="0" collapsed="false">
      <c r="A326" s="19" t="n">
        <v>325</v>
      </c>
      <c r="B326" s="20" t="n">
        <v>44</v>
      </c>
      <c r="C326" s="20" t="n">
        <v>1</v>
      </c>
      <c r="D326" s="20" t="n">
        <v>2</v>
      </c>
      <c r="E326" s="20" t="n">
        <v>120</v>
      </c>
      <c r="F326" s="20" t="n">
        <v>184</v>
      </c>
      <c r="G326" s="20" t="n">
        <v>0</v>
      </c>
      <c r="H326" s="20" t="n">
        <v>0</v>
      </c>
      <c r="I326" s="20" t="n">
        <v>142</v>
      </c>
      <c r="J326" s="20" t="n">
        <v>0</v>
      </c>
      <c r="K326" s="21" t="n">
        <v>1</v>
      </c>
      <c r="L326" s="20" t="n">
        <v>2</v>
      </c>
      <c r="M326" s="20"/>
      <c r="N326" s="20"/>
      <c r="O326" s="20" t="n">
        <v>0</v>
      </c>
      <c r="P326" s="22" t="s">
        <v>105</v>
      </c>
    </row>
    <row r="327" customFormat="false" ht="15" hidden="false" customHeight="false" outlineLevel="0" collapsed="false">
      <c r="A327" s="19" t="n">
        <v>326</v>
      </c>
      <c r="B327" s="20" t="n">
        <v>49</v>
      </c>
      <c r="C327" s="20" t="n">
        <v>0</v>
      </c>
      <c r="D327" s="20" t="n">
        <v>2</v>
      </c>
      <c r="E327" s="20" t="n">
        <v>124</v>
      </c>
      <c r="F327" s="20" t="n">
        <v>201</v>
      </c>
      <c r="G327" s="20" t="n">
        <v>0</v>
      </c>
      <c r="H327" s="20" t="n">
        <v>0</v>
      </c>
      <c r="I327" s="20" t="n">
        <v>164</v>
      </c>
      <c r="J327" s="20" t="n">
        <v>0</v>
      </c>
      <c r="K327" s="21" t="n">
        <v>0</v>
      </c>
      <c r="L327" s="20"/>
      <c r="M327" s="20"/>
      <c r="N327" s="20"/>
      <c r="O327" s="20" t="n">
        <v>0</v>
      </c>
      <c r="P327" s="22" t="s">
        <v>105</v>
      </c>
    </row>
    <row r="328" customFormat="false" ht="15" hidden="false" customHeight="false" outlineLevel="0" collapsed="false">
      <c r="A328" s="19" t="n">
        <v>327</v>
      </c>
      <c r="B328" s="20" t="n">
        <v>44</v>
      </c>
      <c r="C328" s="20" t="n">
        <v>1</v>
      </c>
      <c r="D328" s="20" t="n">
        <v>2</v>
      </c>
      <c r="E328" s="20" t="n">
        <v>150</v>
      </c>
      <c r="F328" s="20" t="n">
        <v>288</v>
      </c>
      <c r="G328" s="20" t="n">
        <v>0</v>
      </c>
      <c r="H328" s="20" t="n">
        <v>0</v>
      </c>
      <c r="I328" s="20" t="n">
        <v>150</v>
      </c>
      <c r="J328" s="20" t="n">
        <v>1</v>
      </c>
      <c r="K328" s="21" t="n">
        <v>3</v>
      </c>
      <c r="L328" s="20" t="n">
        <v>2</v>
      </c>
      <c r="M328" s="20"/>
      <c r="N328" s="20"/>
      <c r="O328" s="20" t="n">
        <v>3</v>
      </c>
      <c r="P328" s="22" t="s">
        <v>105</v>
      </c>
    </row>
    <row r="329" customFormat="false" ht="15" hidden="false" customHeight="false" outlineLevel="0" collapsed="false">
      <c r="A329" s="19" t="n">
        <v>328</v>
      </c>
      <c r="B329" s="20" t="n">
        <v>40</v>
      </c>
      <c r="C329" s="20" t="n">
        <v>1</v>
      </c>
      <c r="D329" s="20" t="n">
        <v>3</v>
      </c>
      <c r="E329" s="20" t="n">
        <v>130</v>
      </c>
      <c r="F329" s="20" t="n">
        <v>215</v>
      </c>
      <c r="G329" s="20" t="n">
        <v>0</v>
      </c>
      <c r="H329" s="20" t="n">
        <v>0</v>
      </c>
      <c r="I329" s="20" t="n">
        <v>138</v>
      </c>
      <c r="J329" s="20" t="n">
        <v>0</v>
      </c>
      <c r="K329" s="21" t="n">
        <v>0</v>
      </c>
      <c r="L329" s="20"/>
      <c r="M329" s="20"/>
      <c r="N329" s="20"/>
      <c r="O329" s="20" t="n">
        <v>0</v>
      </c>
      <c r="P329" s="22" t="s">
        <v>105</v>
      </c>
    </row>
    <row r="330" customFormat="false" ht="15" hidden="false" customHeight="false" outlineLevel="0" collapsed="false">
      <c r="A330" s="19" t="n">
        <v>329</v>
      </c>
      <c r="B330" s="20" t="n">
        <v>36</v>
      </c>
      <c r="C330" s="20" t="n">
        <v>1</v>
      </c>
      <c r="D330" s="20" t="n">
        <v>3</v>
      </c>
      <c r="E330" s="20" t="n">
        <v>130</v>
      </c>
      <c r="F330" s="20" t="n">
        <v>209</v>
      </c>
      <c r="G330" s="20" t="n">
        <v>0</v>
      </c>
      <c r="H330" s="20" t="n">
        <v>0</v>
      </c>
      <c r="I330" s="20" t="n">
        <v>178</v>
      </c>
      <c r="J330" s="20" t="n">
        <v>0</v>
      </c>
      <c r="K330" s="21" t="n">
        <v>0</v>
      </c>
      <c r="L330" s="20"/>
      <c r="M330" s="20"/>
      <c r="N330" s="20"/>
      <c r="O330" s="20" t="n">
        <v>0</v>
      </c>
      <c r="P330" s="22" t="s">
        <v>105</v>
      </c>
    </row>
    <row r="331" customFormat="false" ht="15" hidden="false" customHeight="false" outlineLevel="0" collapsed="false">
      <c r="A331" s="19" t="n">
        <v>330</v>
      </c>
      <c r="B331" s="20" t="n">
        <v>53</v>
      </c>
      <c r="C331" s="20" t="n">
        <v>1</v>
      </c>
      <c r="D331" s="20" t="n">
        <v>4</v>
      </c>
      <c r="E331" s="20" t="n">
        <v>124</v>
      </c>
      <c r="F331" s="20" t="n">
        <v>260</v>
      </c>
      <c r="G331" s="20" t="n">
        <v>0</v>
      </c>
      <c r="H331" s="20" t="n">
        <v>1</v>
      </c>
      <c r="I331" s="20" t="n">
        <v>112</v>
      </c>
      <c r="J331" s="20" t="n">
        <v>1</v>
      </c>
      <c r="K331" s="21" t="n">
        <v>3</v>
      </c>
      <c r="L331" s="20" t="n">
        <v>2</v>
      </c>
      <c r="M331" s="20"/>
      <c r="N331" s="20"/>
      <c r="O331" s="20" t="n">
        <v>0</v>
      </c>
      <c r="P331" s="22" t="s">
        <v>105</v>
      </c>
    </row>
    <row r="332" customFormat="false" ht="15" hidden="false" customHeight="false" outlineLevel="0" collapsed="false">
      <c r="A332" s="19" t="n">
        <v>331</v>
      </c>
      <c r="B332" s="20" t="n">
        <v>52</v>
      </c>
      <c r="C332" s="20" t="n">
        <v>1</v>
      </c>
      <c r="D332" s="20" t="n">
        <v>2</v>
      </c>
      <c r="E332" s="20" t="n">
        <v>120</v>
      </c>
      <c r="F332" s="20" t="n">
        <v>284</v>
      </c>
      <c r="G332" s="20" t="n">
        <v>0</v>
      </c>
      <c r="H332" s="20" t="n">
        <v>0</v>
      </c>
      <c r="I332" s="20" t="n">
        <v>118</v>
      </c>
      <c r="J332" s="20" t="n">
        <v>0</v>
      </c>
      <c r="K332" s="21" t="n">
        <v>0</v>
      </c>
      <c r="L332" s="20"/>
      <c r="M332" s="20"/>
      <c r="N332" s="20"/>
      <c r="O332" s="20" t="n">
        <v>0</v>
      </c>
      <c r="P332" s="22" t="s">
        <v>105</v>
      </c>
    </row>
    <row r="333" customFormat="false" ht="15" hidden="false" customHeight="false" outlineLevel="0" collapsed="false">
      <c r="A333" s="19" t="n">
        <v>332</v>
      </c>
      <c r="B333" s="20" t="n">
        <v>53</v>
      </c>
      <c r="C333" s="20" t="n">
        <v>0</v>
      </c>
      <c r="D333" s="20" t="n">
        <v>2</v>
      </c>
      <c r="E333" s="20" t="n">
        <v>113</v>
      </c>
      <c r="F333" s="20" t="n">
        <v>468</v>
      </c>
      <c r="G333" s="20"/>
      <c r="H333" s="20" t="n">
        <v>0</v>
      </c>
      <c r="I333" s="20" t="n">
        <v>127</v>
      </c>
      <c r="J333" s="20" t="n">
        <v>0</v>
      </c>
      <c r="K333" s="21" t="n">
        <v>0</v>
      </c>
      <c r="L333" s="20"/>
      <c r="M333" s="20"/>
      <c r="N333" s="20"/>
      <c r="O333" s="20" t="n">
        <v>0</v>
      </c>
      <c r="P333" s="22" t="s">
        <v>105</v>
      </c>
    </row>
    <row r="334" customFormat="false" ht="15" hidden="false" customHeight="false" outlineLevel="0" collapsed="false">
      <c r="A334" s="19" t="n">
        <v>333</v>
      </c>
      <c r="B334" s="20" t="n">
        <v>51</v>
      </c>
      <c r="C334" s="20" t="n">
        <v>1</v>
      </c>
      <c r="D334" s="20" t="n">
        <v>2</v>
      </c>
      <c r="E334" s="20" t="n">
        <v>125</v>
      </c>
      <c r="F334" s="20" t="n">
        <v>188</v>
      </c>
      <c r="G334" s="20" t="n">
        <v>0</v>
      </c>
      <c r="H334" s="20" t="n">
        <v>0</v>
      </c>
      <c r="I334" s="20" t="n">
        <v>145</v>
      </c>
      <c r="J334" s="20" t="n">
        <v>0</v>
      </c>
      <c r="K334" s="21" t="n">
        <v>0</v>
      </c>
      <c r="L334" s="20"/>
      <c r="M334" s="20"/>
      <c r="N334" s="20"/>
      <c r="O334" s="20" t="n">
        <v>0</v>
      </c>
      <c r="P334" s="22" t="s">
        <v>105</v>
      </c>
    </row>
    <row r="335" customFormat="false" ht="15" hidden="false" customHeight="false" outlineLevel="0" collapsed="false">
      <c r="A335" s="19" t="n">
        <v>334</v>
      </c>
      <c r="B335" s="20" t="n">
        <v>53</v>
      </c>
      <c r="C335" s="20" t="n">
        <v>1</v>
      </c>
      <c r="D335" s="20" t="n">
        <v>3</v>
      </c>
      <c r="E335" s="20" t="n">
        <v>145</v>
      </c>
      <c r="F335" s="20" t="n">
        <v>518</v>
      </c>
      <c r="G335" s="20" t="n">
        <v>0</v>
      </c>
      <c r="H335" s="20" t="n">
        <v>0</v>
      </c>
      <c r="I335" s="20" t="n">
        <v>130</v>
      </c>
      <c r="J335" s="20" t="n">
        <v>0</v>
      </c>
      <c r="K335" s="21" t="n">
        <v>0</v>
      </c>
      <c r="L335" s="20"/>
      <c r="M335" s="20"/>
      <c r="N335" s="20"/>
      <c r="O335" s="20" t="n">
        <v>3</v>
      </c>
      <c r="P335" s="22" t="s">
        <v>105</v>
      </c>
    </row>
    <row r="336" customFormat="false" ht="15" hidden="false" customHeight="false" outlineLevel="0" collapsed="false">
      <c r="A336" s="19" t="n">
        <v>335</v>
      </c>
      <c r="B336" s="20" t="n">
        <v>56</v>
      </c>
      <c r="C336" s="20" t="n">
        <v>1</v>
      </c>
      <c r="D336" s="20" t="n">
        <v>3</v>
      </c>
      <c r="E336" s="20" t="n">
        <v>130</v>
      </c>
      <c r="F336" s="20"/>
      <c r="G336" s="20" t="n">
        <v>0</v>
      </c>
      <c r="H336" s="20" t="n">
        <v>0</v>
      </c>
      <c r="I336" s="20" t="n">
        <v>114</v>
      </c>
      <c r="J336" s="20" t="n">
        <v>0</v>
      </c>
      <c r="K336" s="21" t="n">
        <v>0</v>
      </c>
      <c r="L336" s="20"/>
      <c r="M336" s="20"/>
      <c r="N336" s="20"/>
      <c r="O336" s="20" t="n">
        <v>0</v>
      </c>
      <c r="P336" s="22" t="s">
        <v>105</v>
      </c>
    </row>
    <row r="337" customFormat="false" ht="15" hidden="false" customHeight="false" outlineLevel="0" collapsed="false">
      <c r="A337" s="19" t="n">
        <v>336</v>
      </c>
      <c r="B337" s="20" t="n">
        <v>54</v>
      </c>
      <c r="C337" s="20" t="n">
        <v>1</v>
      </c>
      <c r="D337" s="20" t="n">
        <v>4</v>
      </c>
      <c r="E337" s="20" t="n">
        <v>125</v>
      </c>
      <c r="F337" s="20" t="n">
        <v>224</v>
      </c>
      <c r="G337" s="20" t="n">
        <v>0</v>
      </c>
      <c r="H337" s="20" t="n">
        <v>0</v>
      </c>
      <c r="I337" s="20" t="n">
        <v>122</v>
      </c>
      <c r="J337" s="20" t="n">
        <v>0</v>
      </c>
      <c r="K337" s="21" t="n">
        <v>2</v>
      </c>
      <c r="L337" s="20" t="n">
        <v>2</v>
      </c>
      <c r="M337" s="20"/>
      <c r="N337" s="20"/>
      <c r="O337" s="20" t="n">
        <v>1</v>
      </c>
      <c r="P337" s="22" t="s">
        <v>105</v>
      </c>
    </row>
    <row r="338" customFormat="false" ht="15" hidden="false" customHeight="false" outlineLevel="0" collapsed="false">
      <c r="A338" s="19" t="n">
        <v>337</v>
      </c>
      <c r="B338" s="20" t="n">
        <v>41</v>
      </c>
      <c r="C338" s="20" t="n">
        <v>1</v>
      </c>
      <c r="D338" s="20" t="n">
        <v>4</v>
      </c>
      <c r="E338" s="20" t="n">
        <v>130</v>
      </c>
      <c r="F338" s="20" t="n">
        <v>172</v>
      </c>
      <c r="G338" s="20" t="n">
        <v>0</v>
      </c>
      <c r="H338" s="20" t="n">
        <v>1</v>
      </c>
      <c r="I338" s="20" t="n">
        <v>130</v>
      </c>
      <c r="J338" s="20" t="n">
        <v>0</v>
      </c>
      <c r="K338" s="21" t="n">
        <v>2</v>
      </c>
      <c r="L338" s="20" t="n">
        <v>2</v>
      </c>
      <c r="M338" s="20"/>
      <c r="N338" s="20"/>
      <c r="O338" s="20" t="n">
        <v>3</v>
      </c>
      <c r="P338" s="22" t="s">
        <v>105</v>
      </c>
    </row>
    <row r="339" customFormat="false" ht="15" hidden="false" customHeight="false" outlineLevel="0" collapsed="false">
      <c r="A339" s="19" t="n">
        <v>338</v>
      </c>
      <c r="B339" s="20" t="n">
        <v>43</v>
      </c>
      <c r="C339" s="20" t="n">
        <v>0</v>
      </c>
      <c r="D339" s="20" t="n">
        <v>2</v>
      </c>
      <c r="E339" s="20" t="n">
        <v>150</v>
      </c>
      <c r="F339" s="20" t="n">
        <v>186</v>
      </c>
      <c r="G339" s="20" t="n">
        <v>0</v>
      </c>
      <c r="H339" s="20" t="n">
        <v>0</v>
      </c>
      <c r="I339" s="20" t="n">
        <v>154</v>
      </c>
      <c r="J339" s="20" t="n">
        <v>0</v>
      </c>
      <c r="K339" s="21" t="n">
        <v>0</v>
      </c>
      <c r="L339" s="20"/>
      <c r="M339" s="20"/>
      <c r="N339" s="20"/>
      <c r="O339" s="20" t="n">
        <v>0</v>
      </c>
      <c r="P339" s="22" t="s">
        <v>105</v>
      </c>
    </row>
    <row r="340" customFormat="false" ht="15" hidden="false" customHeight="false" outlineLevel="0" collapsed="false">
      <c r="A340" s="19" t="n">
        <v>339</v>
      </c>
      <c r="B340" s="20" t="n">
        <v>32</v>
      </c>
      <c r="C340" s="20" t="n">
        <v>1</v>
      </c>
      <c r="D340" s="20" t="n">
        <v>2</v>
      </c>
      <c r="E340" s="20" t="n">
        <v>125</v>
      </c>
      <c r="F340" s="20" t="n">
        <v>254</v>
      </c>
      <c r="G340" s="20" t="n">
        <v>0</v>
      </c>
      <c r="H340" s="20" t="n">
        <v>0</v>
      </c>
      <c r="I340" s="20" t="n">
        <v>155</v>
      </c>
      <c r="J340" s="20" t="n">
        <v>0</v>
      </c>
      <c r="K340" s="21" t="n">
        <v>0</v>
      </c>
      <c r="L340" s="20"/>
      <c r="M340" s="20"/>
      <c r="N340" s="20"/>
      <c r="O340" s="20" t="n">
        <v>0</v>
      </c>
      <c r="P340" s="22" t="s">
        <v>105</v>
      </c>
    </row>
    <row r="341" customFormat="false" ht="15" hidden="false" customHeight="false" outlineLevel="0" collapsed="false">
      <c r="A341" s="19" t="n">
        <v>340</v>
      </c>
      <c r="B341" s="20" t="n">
        <v>65</v>
      </c>
      <c r="C341" s="20" t="n">
        <v>1</v>
      </c>
      <c r="D341" s="20" t="n">
        <v>4</v>
      </c>
      <c r="E341" s="20" t="n">
        <v>140</v>
      </c>
      <c r="F341" s="20" t="n">
        <v>306</v>
      </c>
      <c r="G341" s="20" t="n">
        <v>1</v>
      </c>
      <c r="H341" s="20" t="n">
        <v>0</v>
      </c>
      <c r="I341" s="20" t="n">
        <v>87</v>
      </c>
      <c r="J341" s="20" t="n">
        <v>1</v>
      </c>
      <c r="K341" s="21" t="n">
        <v>1.5</v>
      </c>
      <c r="L341" s="20" t="n">
        <v>2</v>
      </c>
      <c r="M341" s="20"/>
      <c r="N341" s="20"/>
      <c r="O341" s="20" t="n">
        <v>1</v>
      </c>
      <c r="P341" s="22" t="s">
        <v>105</v>
      </c>
    </row>
    <row r="342" customFormat="false" ht="15" hidden="false" customHeight="false" outlineLevel="0" collapsed="false">
      <c r="A342" s="19" t="n">
        <v>341</v>
      </c>
      <c r="B342" s="20" t="n">
        <v>41</v>
      </c>
      <c r="C342" s="20" t="n">
        <v>0</v>
      </c>
      <c r="D342" s="20" t="n">
        <v>2</v>
      </c>
      <c r="E342" s="20" t="n">
        <v>110</v>
      </c>
      <c r="F342" s="20" t="n">
        <v>250</v>
      </c>
      <c r="G342" s="20" t="n">
        <v>0</v>
      </c>
      <c r="H342" s="20" t="n">
        <v>1</v>
      </c>
      <c r="I342" s="20" t="n">
        <v>142</v>
      </c>
      <c r="J342" s="20" t="n">
        <v>0</v>
      </c>
      <c r="K342" s="21" t="n">
        <v>0</v>
      </c>
      <c r="L342" s="20"/>
      <c r="M342" s="20"/>
      <c r="N342" s="20"/>
      <c r="O342" s="20" t="n">
        <v>0</v>
      </c>
      <c r="P342" s="22" t="s">
        <v>105</v>
      </c>
    </row>
    <row r="343" customFormat="false" ht="15" hidden="false" customHeight="false" outlineLevel="0" collapsed="false">
      <c r="A343" s="19" t="n">
        <v>342</v>
      </c>
      <c r="B343" s="20" t="n">
        <v>48</v>
      </c>
      <c r="C343" s="20" t="n">
        <v>0</v>
      </c>
      <c r="D343" s="20" t="n">
        <v>2</v>
      </c>
      <c r="E343" s="20" t="n">
        <v>120</v>
      </c>
      <c r="F343" s="20"/>
      <c r="G343" s="20" t="n">
        <v>1</v>
      </c>
      <c r="H343" s="20" t="n">
        <v>1</v>
      </c>
      <c r="I343" s="20" t="n">
        <v>148</v>
      </c>
      <c r="J343" s="20" t="n">
        <v>0</v>
      </c>
      <c r="K343" s="21" t="n">
        <v>0</v>
      </c>
      <c r="L343" s="20"/>
      <c r="M343" s="20"/>
      <c r="N343" s="20"/>
      <c r="O343" s="20" t="n">
        <v>0</v>
      </c>
      <c r="P343" s="22" t="s">
        <v>105</v>
      </c>
    </row>
    <row r="344" customFormat="false" ht="15" hidden="false" customHeight="false" outlineLevel="0" collapsed="false">
      <c r="A344" s="19" t="n">
        <v>343</v>
      </c>
      <c r="B344" s="20" t="n">
        <v>48</v>
      </c>
      <c r="C344" s="20" t="n">
        <v>0</v>
      </c>
      <c r="D344" s="20" t="n">
        <v>4</v>
      </c>
      <c r="E344" s="20" t="n">
        <v>150</v>
      </c>
      <c r="F344" s="20" t="n">
        <v>227</v>
      </c>
      <c r="G344" s="20" t="n">
        <v>0</v>
      </c>
      <c r="H344" s="20" t="n">
        <v>0</v>
      </c>
      <c r="I344" s="20" t="n">
        <v>130</v>
      </c>
      <c r="J344" s="20" t="n">
        <v>1</v>
      </c>
      <c r="K344" s="21" t="n">
        <v>1</v>
      </c>
      <c r="L344" s="20" t="n">
        <v>2</v>
      </c>
      <c r="M344" s="23" t="n">
        <v>9</v>
      </c>
      <c r="N344" s="20"/>
      <c r="O344" s="20" t="n">
        <v>0</v>
      </c>
      <c r="P344" s="22" t="s">
        <v>105</v>
      </c>
    </row>
    <row r="345" customFormat="false" ht="15" hidden="false" customHeight="false" outlineLevel="0" collapsed="false">
      <c r="A345" s="19" t="n">
        <v>344</v>
      </c>
      <c r="B345" s="20" t="n">
        <v>54</v>
      </c>
      <c r="C345" s="20" t="n">
        <v>0</v>
      </c>
      <c r="D345" s="20" t="n">
        <v>2</v>
      </c>
      <c r="E345" s="20" t="n">
        <v>150</v>
      </c>
      <c r="F345" s="20" t="n">
        <v>230</v>
      </c>
      <c r="G345" s="20" t="n">
        <v>0</v>
      </c>
      <c r="H345" s="20" t="n">
        <v>0</v>
      </c>
      <c r="I345" s="20" t="n">
        <v>130</v>
      </c>
      <c r="J345" s="20" t="n">
        <v>0</v>
      </c>
      <c r="K345" s="21" t="n">
        <v>0</v>
      </c>
      <c r="L345" s="20"/>
      <c r="M345" s="20"/>
      <c r="N345" s="20"/>
      <c r="O345" s="20" t="n">
        <v>0</v>
      </c>
      <c r="P345" s="22" t="s">
        <v>105</v>
      </c>
    </row>
    <row r="346" customFormat="false" ht="15" hidden="false" customHeight="false" outlineLevel="0" collapsed="false">
      <c r="A346" s="19" t="n">
        <v>345</v>
      </c>
      <c r="B346" s="20" t="n">
        <v>54</v>
      </c>
      <c r="C346" s="20" t="n">
        <v>0</v>
      </c>
      <c r="D346" s="20" t="n">
        <v>3</v>
      </c>
      <c r="E346" s="20" t="n">
        <v>130</v>
      </c>
      <c r="F346" s="20" t="n">
        <v>294</v>
      </c>
      <c r="G346" s="20" t="n">
        <v>0</v>
      </c>
      <c r="H346" s="20" t="n">
        <v>1</v>
      </c>
      <c r="I346" s="20" t="n">
        <v>100</v>
      </c>
      <c r="J346" s="20" t="n">
        <v>1</v>
      </c>
      <c r="K346" s="21" t="n">
        <v>0</v>
      </c>
      <c r="L346" s="20" t="n">
        <v>2</v>
      </c>
      <c r="M346" s="20"/>
      <c r="N346" s="20"/>
      <c r="O346" s="20" t="n">
        <v>4</v>
      </c>
      <c r="P346" s="22" t="s">
        <v>105</v>
      </c>
    </row>
    <row r="347" customFormat="false" ht="15" hidden="false" customHeight="false" outlineLevel="0" collapsed="false">
      <c r="A347" s="19" t="n">
        <v>346</v>
      </c>
      <c r="B347" s="20" t="n">
        <v>35</v>
      </c>
      <c r="C347" s="20" t="n">
        <v>1</v>
      </c>
      <c r="D347" s="20" t="n">
        <v>2</v>
      </c>
      <c r="E347" s="20" t="n">
        <v>150</v>
      </c>
      <c r="F347" s="20" t="n">
        <v>264</v>
      </c>
      <c r="G347" s="20" t="n">
        <v>0</v>
      </c>
      <c r="H347" s="20" t="n">
        <v>0</v>
      </c>
      <c r="I347" s="20" t="n">
        <v>168</v>
      </c>
      <c r="J347" s="20" t="n">
        <v>0</v>
      </c>
      <c r="K347" s="21" t="n">
        <v>0</v>
      </c>
      <c r="L347" s="20"/>
      <c r="M347" s="20"/>
      <c r="N347" s="20"/>
      <c r="O347" s="20" t="n">
        <v>0</v>
      </c>
      <c r="P347" s="22" t="s">
        <v>105</v>
      </c>
    </row>
    <row r="348" customFormat="false" ht="15" hidden="false" customHeight="false" outlineLevel="0" collapsed="false">
      <c r="A348" s="19" t="n">
        <v>347</v>
      </c>
      <c r="B348" s="20" t="n">
        <v>52</v>
      </c>
      <c r="C348" s="20" t="n">
        <v>1</v>
      </c>
      <c r="D348" s="20" t="n">
        <v>3</v>
      </c>
      <c r="E348" s="20" t="n">
        <v>140</v>
      </c>
      <c r="F348" s="20" t="n">
        <v>259</v>
      </c>
      <c r="G348" s="20" t="n">
        <v>0</v>
      </c>
      <c r="H348" s="20" t="n">
        <v>1</v>
      </c>
      <c r="I348" s="20" t="n">
        <v>170</v>
      </c>
      <c r="J348" s="20" t="n">
        <v>0</v>
      </c>
      <c r="K348" s="21" t="n">
        <v>0</v>
      </c>
      <c r="L348" s="20"/>
      <c r="M348" s="20"/>
      <c r="N348" s="20"/>
      <c r="O348" s="20" t="n">
        <v>0</v>
      </c>
      <c r="P348" s="22" t="s">
        <v>105</v>
      </c>
    </row>
    <row r="349" customFormat="false" ht="15" hidden="false" customHeight="false" outlineLevel="0" collapsed="false">
      <c r="A349" s="19" t="n">
        <v>348</v>
      </c>
      <c r="B349" s="20" t="n">
        <v>43</v>
      </c>
      <c r="C349" s="20" t="n">
        <v>1</v>
      </c>
      <c r="D349" s="20" t="n">
        <v>4</v>
      </c>
      <c r="E349" s="20" t="n">
        <v>120</v>
      </c>
      <c r="F349" s="20" t="n">
        <v>175</v>
      </c>
      <c r="G349" s="20" t="n">
        <v>0</v>
      </c>
      <c r="H349" s="20" t="n">
        <v>0</v>
      </c>
      <c r="I349" s="20" t="n">
        <v>120</v>
      </c>
      <c r="J349" s="20" t="n">
        <v>1</v>
      </c>
      <c r="K349" s="21" t="n">
        <v>1</v>
      </c>
      <c r="L349" s="20" t="n">
        <v>2</v>
      </c>
      <c r="M349" s="20"/>
      <c r="N349" s="20" t="n">
        <v>7</v>
      </c>
      <c r="O349" s="20" t="n">
        <v>3</v>
      </c>
      <c r="P349" s="22" t="s">
        <v>105</v>
      </c>
    </row>
    <row r="350" customFormat="false" ht="15" hidden="false" customHeight="false" outlineLevel="0" collapsed="false">
      <c r="A350" s="19" t="n">
        <v>349</v>
      </c>
      <c r="B350" s="20" t="n">
        <v>59</v>
      </c>
      <c r="C350" s="20" t="n">
        <v>1</v>
      </c>
      <c r="D350" s="20" t="n">
        <v>3</v>
      </c>
      <c r="E350" s="20" t="n">
        <v>130</v>
      </c>
      <c r="F350" s="20" t="n">
        <v>318</v>
      </c>
      <c r="G350" s="20" t="n">
        <v>0</v>
      </c>
      <c r="H350" s="20" t="n">
        <v>0</v>
      </c>
      <c r="I350" s="20" t="n">
        <v>120</v>
      </c>
      <c r="J350" s="20" t="n">
        <v>1</v>
      </c>
      <c r="K350" s="21" t="n">
        <v>1</v>
      </c>
      <c r="L350" s="20" t="n">
        <v>2</v>
      </c>
      <c r="M350" s="20"/>
      <c r="N350" s="20" t="n">
        <v>3</v>
      </c>
      <c r="O350" s="20" t="n">
        <v>0</v>
      </c>
      <c r="P350" s="22" t="s">
        <v>105</v>
      </c>
    </row>
    <row r="351" customFormat="false" ht="15" hidden="false" customHeight="false" outlineLevel="0" collapsed="false">
      <c r="A351" s="19" t="n">
        <v>350</v>
      </c>
      <c r="B351" s="20" t="n">
        <v>37</v>
      </c>
      <c r="C351" s="20" t="n">
        <v>1</v>
      </c>
      <c r="D351" s="20" t="n">
        <v>4</v>
      </c>
      <c r="E351" s="20" t="n">
        <v>120</v>
      </c>
      <c r="F351" s="20" t="n">
        <v>223</v>
      </c>
      <c r="G351" s="20" t="n">
        <v>0</v>
      </c>
      <c r="H351" s="20" t="n">
        <v>0</v>
      </c>
      <c r="I351" s="20" t="n">
        <v>168</v>
      </c>
      <c r="J351" s="20" t="n">
        <v>0</v>
      </c>
      <c r="K351" s="21" t="n">
        <v>0</v>
      </c>
      <c r="L351" s="20"/>
      <c r="M351" s="20"/>
      <c r="N351" s="20" t="n">
        <v>3</v>
      </c>
      <c r="O351" s="20" t="n">
        <v>0</v>
      </c>
      <c r="P351" s="22" t="s">
        <v>105</v>
      </c>
    </row>
    <row r="352" customFormat="false" ht="15" hidden="false" customHeight="false" outlineLevel="0" collapsed="false">
      <c r="A352" s="19" t="n">
        <v>351</v>
      </c>
      <c r="B352" s="20" t="n">
        <v>50</v>
      </c>
      <c r="C352" s="20" t="n">
        <v>1</v>
      </c>
      <c r="D352" s="20" t="n">
        <v>2</v>
      </c>
      <c r="E352" s="20" t="n">
        <v>140</v>
      </c>
      <c r="F352" s="20" t="n">
        <v>216</v>
      </c>
      <c r="G352" s="20" t="n">
        <v>0</v>
      </c>
      <c r="H352" s="20" t="n">
        <v>0</v>
      </c>
      <c r="I352" s="20" t="n">
        <v>170</v>
      </c>
      <c r="J352" s="20" t="n">
        <v>0</v>
      </c>
      <c r="K352" s="21" t="n">
        <v>0</v>
      </c>
      <c r="L352" s="20"/>
      <c r="M352" s="20"/>
      <c r="N352" s="20" t="n">
        <v>3</v>
      </c>
      <c r="O352" s="20" t="n">
        <v>0</v>
      </c>
      <c r="P352" s="22" t="s">
        <v>105</v>
      </c>
    </row>
    <row r="353" customFormat="false" ht="15" hidden="false" customHeight="false" outlineLevel="0" collapsed="false">
      <c r="A353" s="19" t="n">
        <v>352</v>
      </c>
      <c r="B353" s="20" t="n">
        <v>36</v>
      </c>
      <c r="C353" s="20" t="n">
        <v>1</v>
      </c>
      <c r="D353" s="20" t="n">
        <v>3</v>
      </c>
      <c r="E353" s="20" t="n">
        <v>112</v>
      </c>
      <c r="F353" s="20" t="n">
        <v>340</v>
      </c>
      <c r="G353" s="20" t="n">
        <v>0</v>
      </c>
      <c r="H353" s="20" t="n">
        <v>0</v>
      </c>
      <c r="I353" s="20" t="n">
        <v>184</v>
      </c>
      <c r="J353" s="20" t="n">
        <v>0</v>
      </c>
      <c r="K353" s="21" t="n">
        <v>1</v>
      </c>
      <c r="L353" s="20" t="n">
        <v>2</v>
      </c>
      <c r="M353" s="20"/>
      <c r="N353" s="20" t="n">
        <v>3</v>
      </c>
      <c r="O353" s="20" t="n">
        <v>0</v>
      </c>
      <c r="P353" s="22" t="s">
        <v>105</v>
      </c>
    </row>
    <row r="354" customFormat="false" ht="15" hidden="false" customHeight="false" outlineLevel="0" collapsed="false">
      <c r="A354" s="19" t="n">
        <v>353</v>
      </c>
      <c r="B354" s="20" t="n">
        <v>41</v>
      </c>
      <c r="C354" s="20" t="n">
        <v>1</v>
      </c>
      <c r="D354" s="20" t="n">
        <v>4</v>
      </c>
      <c r="E354" s="20" t="n">
        <v>110</v>
      </c>
      <c r="F354" s="20" t="n">
        <v>289</v>
      </c>
      <c r="G354" s="20" t="n">
        <v>0</v>
      </c>
      <c r="H354" s="20" t="n">
        <v>0</v>
      </c>
      <c r="I354" s="20" t="n">
        <v>170</v>
      </c>
      <c r="J354" s="20" t="n">
        <v>0</v>
      </c>
      <c r="K354" s="21" t="n">
        <v>0</v>
      </c>
      <c r="L354" s="20"/>
      <c r="M354" s="20"/>
      <c r="N354" s="20" t="n">
        <v>6</v>
      </c>
      <c r="O354" s="20" t="n">
        <v>1</v>
      </c>
      <c r="P354" s="22" t="s">
        <v>105</v>
      </c>
    </row>
    <row r="355" customFormat="false" ht="15" hidden="false" customHeight="false" outlineLevel="0" collapsed="false">
      <c r="A355" s="19" t="n">
        <v>354</v>
      </c>
      <c r="B355" s="20" t="n">
        <v>50</v>
      </c>
      <c r="C355" s="20" t="n">
        <v>1</v>
      </c>
      <c r="D355" s="20" t="n">
        <v>4</v>
      </c>
      <c r="E355" s="20" t="n">
        <v>130</v>
      </c>
      <c r="F355" s="20" t="n">
        <v>233</v>
      </c>
      <c r="G355" s="20" t="n">
        <v>0</v>
      </c>
      <c r="H355" s="20" t="n">
        <v>0</v>
      </c>
      <c r="I355" s="20" t="n">
        <v>121</v>
      </c>
      <c r="J355" s="20" t="n">
        <v>1</v>
      </c>
      <c r="K355" s="21" t="n">
        <v>2</v>
      </c>
      <c r="L355" s="20" t="n">
        <v>2</v>
      </c>
      <c r="M355" s="20"/>
      <c r="N355" s="20" t="n">
        <v>7</v>
      </c>
      <c r="O355" s="20" t="n">
        <v>2</v>
      </c>
      <c r="P355" s="22" t="s">
        <v>105</v>
      </c>
    </row>
    <row r="356" customFormat="false" ht="15" hidden="false" customHeight="false" outlineLevel="0" collapsed="false">
      <c r="A356" s="19" t="n">
        <v>355</v>
      </c>
      <c r="B356" s="20" t="n">
        <v>47</v>
      </c>
      <c r="C356" s="20" t="n">
        <v>0</v>
      </c>
      <c r="D356" s="20" t="n">
        <v>4</v>
      </c>
      <c r="E356" s="20" t="n">
        <v>120</v>
      </c>
      <c r="F356" s="20" t="n">
        <v>205</v>
      </c>
      <c r="G356" s="20" t="n">
        <v>0</v>
      </c>
      <c r="H356" s="20" t="n">
        <v>0</v>
      </c>
      <c r="I356" s="20" t="n">
        <v>98</v>
      </c>
      <c r="J356" s="20" t="n">
        <v>1</v>
      </c>
      <c r="K356" s="21" t="n">
        <v>2</v>
      </c>
      <c r="L356" s="20" t="n">
        <v>2</v>
      </c>
      <c r="M356" s="20"/>
      <c r="N356" s="20" t="n">
        <v>6</v>
      </c>
      <c r="O356" s="20" t="n">
        <v>4</v>
      </c>
      <c r="P356" s="22" t="s">
        <v>105</v>
      </c>
    </row>
    <row r="357" customFormat="false" ht="15" hidden="false" customHeight="false" outlineLevel="0" collapsed="false">
      <c r="A357" s="19" t="n">
        <v>356</v>
      </c>
      <c r="B357" s="20" t="n">
        <v>45</v>
      </c>
      <c r="C357" s="20" t="n">
        <v>1</v>
      </c>
      <c r="D357" s="20" t="n">
        <v>2</v>
      </c>
      <c r="E357" s="20" t="n">
        <v>140</v>
      </c>
      <c r="F357" s="20" t="n">
        <v>224</v>
      </c>
      <c r="G357" s="20" t="n">
        <v>1</v>
      </c>
      <c r="H357" s="20" t="n">
        <v>0</v>
      </c>
      <c r="I357" s="20" t="n">
        <v>122</v>
      </c>
      <c r="J357" s="20" t="n">
        <v>0</v>
      </c>
      <c r="K357" s="21" t="n">
        <v>0</v>
      </c>
      <c r="L357" s="20"/>
      <c r="M357" s="20"/>
      <c r="N357" s="20"/>
      <c r="O357" s="20" t="n">
        <v>0</v>
      </c>
      <c r="P357" s="22" t="s">
        <v>105</v>
      </c>
    </row>
    <row r="358" customFormat="false" ht="15" hidden="false" customHeight="false" outlineLevel="0" collapsed="false">
      <c r="A358" s="19" t="n">
        <v>357</v>
      </c>
      <c r="B358" s="20" t="n">
        <v>41</v>
      </c>
      <c r="C358" s="20" t="n">
        <v>0</v>
      </c>
      <c r="D358" s="20" t="n">
        <v>2</v>
      </c>
      <c r="E358" s="20" t="n">
        <v>130</v>
      </c>
      <c r="F358" s="20" t="n">
        <v>245</v>
      </c>
      <c r="G358" s="20" t="n">
        <v>0</v>
      </c>
      <c r="H358" s="20" t="n">
        <v>0</v>
      </c>
      <c r="I358" s="20" t="n">
        <v>150</v>
      </c>
      <c r="J358" s="20" t="n">
        <v>0</v>
      </c>
      <c r="K358" s="21" t="n">
        <v>0</v>
      </c>
      <c r="L358" s="20"/>
      <c r="M358" s="20"/>
      <c r="N358" s="20"/>
      <c r="O358" s="20" t="n">
        <v>0</v>
      </c>
      <c r="P358" s="22" t="s">
        <v>105</v>
      </c>
    </row>
    <row r="359" customFormat="false" ht="15" hidden="false" customHeight="false" outlineLevel="0" collapsed="false">
      <c r="A359" s="19" t="n">
        <v>358</v>
      </c>
      <c r="B359" s="20" t="n">
        <v>52</v>
      </c>
      <c r="C359" s="20" t="n">
        <v>0</v>
      </c>
      <c r="D359" s="20" t="n">
        <v>4</v>
      </c>
      <c r="E359" s="20" t="n">
        <v>130</v>
      </c>
      <c r="F359" s="20" t="n">
        <v>180</v>
      </c>
      <c r="G359" s="20" t="n">
        <v>0</v>
      </c>
      <c r="H359" s="20" t="n">
        <v>0</v>
      </c>
      <c r="I359" s="20" t="n">
        <v>140</v>
      </c>
      <c r="J359" s="20" t="n">
        <v>1</v>
      </c>
      <c r="K359" s="21" t="n">
        <v>1.5</v>
      </c>
      <c r="L359" s="20" t="n">
        <v>2</v>
      </c>
      <c r="M359" s="20"/>
      <c r="N359" s="20"/>
      <c r="O359" s="20" t="n">
        <v>0</v>
      </c>
      <c r="P359" s="22" t="s">
        <v>105</v>
      </c>
    </row>
    <row r="360" customFormat="false" ht="15" hidden="false" customHeight="false" outlineLevel="0" collapsed="false">
      <c r="A360" s="19" t="n">
        <v>359</v>
      </c>
      <c r="B360" s="20" t="n">
        <v>51</v>
      </c>
      <c r="C360" s="20" t="n">
        <v>0</v>
      </c>
      <c r="D360" s="20" t="n">
        <v>2</v>
      </c>
      <c r="E360" s="20" t="n">
        <v>160</v>
      </c>
      <c r="F360" s="20" t="n">
        <v>194</v>
      </c>
      <c r="G360" s="20" t="n">
        <v>0</v>
      </c>
      <c r="H360" s="20" t="n">
        <v>0</v>
      </c>
      <c r="I360" s="20" t="n">
        <v>170</v>
      </c>
      <c r="J360" s="20" t="n">
        <v>0</v>
      </c>
      <c r="K360" s="21" t="n">
        <v>0</v>
      </c>
      <c r="L360" s="20"/>
      <c r="M360" s="20"/>
      <c r="N360" s="20"/>
      <c r="O360" s="20" t="n">
        <v>0</v>
      </c>
      <c r="P360" s="22" t="s">
        <v>105</v>
      </c>
    </row>
    <row r="361" customFormat="false" ht="15" hidden="false" customHeight="false" outlineLevel="0" collapsed="false">
      <c r="A361" s="19" t="n">
        <v>360</v>
      </c>
      <c r="B361" s="20" t="n">
        <v>31</v>
      </c>
      <c r="C361" s="20" t="n">
        <v>1</v>
      </c>
      <c r="D361" s="20" t="n">
        <v>4</v>
      </c>
      <c r="E361" s="20" t="n">
        <v>120</v>
      </c>
      <c r="F361" s="20" t="n">
        <v>270</v>
      </c>
      <c r="G361" s="20" t="n">
        <v>0</v>
      </c>
      <c r="H361" s="20" t="n">
        <v>0</v>
      </c>
      <c r="I361" s="20" t="n">
        <v>153</v>
      </c>
      <c r="J361" s="20" t="n">
        <v>1</v>
      </c>
      <c r="K361" s="21" t="n">
        <v>1.5</v>
      </c>
      <c r="L361" s="20" t="n">
        <v>2</v>
      </c>
      <c r="M361" s="20"/>
      <c r="N361" s="20"/>
      <c r="O361" s="20" t="n">
        <v>1</v>
      </c>
      <c r="P361" s="22" t="s">
        <v>105</v>
      </c>
    </row>
    <row r="362" customFormat="false" ht="15" hidden="false" customHeight="false" outlineLevel="0" collapsed="false">
      <c r="A362" s="19" t="n">
        <v>361</v>
      </c>
      <c r="B362" s="20" t="n">
        <v>58</v>
      </c>
      <c r="C362" s="20" t="n">
        <v>1</v>
      </c>
      <c r="D362" s="20" t="n">
        <v>3</v>
      </c>
      <c r="E362" s="20" t="n">
        <v>130</v>
      </c>
      <c r="F362" s="20" t="n">
        <v>213</v>
      </c>
      <c r="G362" s="20" t="n">
        <v>0</v>
      </c>
      <c r="H362" s="20" t="n">
        <v>1</v>
      </c>
      <c r="I362" s="20" t="n">
        <v>140</v>
      </c>
      <c r="J362" s="20" t="n">
        <v>0</v>
      </c>
      <c r="K362" s="21" t="n">
        <v>0</v>
      </c>
      <c r="L362" s="20"/>
      <c r="M362" s="20"/>
      <c r="N362" s="20" t="n">
        <v>6</v>
      </c>
      <c r="O362" s="20" t="n">
        <v>1</v>
      </c>
      <c r="P362" s="22" t="s">
        <v>105</v>
      </c>
    </row>
    <row r="363" customFormat="false" ht="15" hidden="false" customHeight="false" outlineLevel="0" collapsed="false">
      <c r="A363" s="19" t="n">
        <v>362</v>
      </c>
      <c r="B363" s="20" t="n">
        <v>54</v>
      </c>
      <c r="C363" s="20" t="n">
        <v>1</v>
      </c>
      <c r="D363" s="20" t="n">
        <v>4</v>
      </c>
      <c r="E363" s="20" t="n">
        <v>150</v>
      </c>
      <c r="F363" s="20" t="n">
        <v>365</v>
      </c>
      <c r="G363" s="20" t="n">
        <v>0</v>
      </c>
      <c r="H363" s="20" t="n">
        <v>1</v>
      </c>
      <c r="I363" s="20" t="n">
        <v>134</v>
      </c>
      <c r="J363" s="20" t="n">
        <v>0</v>
      </c>
      <c r="K363" s="21" t="n">
        <v>1</v>
      </c>
      <c r="L363" s="20" t="n">
        <v>1</v>
      </c>
      <c r="M363" s="20"/>
      <c r="N363" s="20"/>
      <c r="O363" s="20" t="n">
        <v>0</v>
      </c>
      <c r="P363" s="22" t="s">
        <v>105</v>
      </c>
    </row>
    <row r="364" customFormat="false" ht="15" hidden="false" customHeight="false" outlineLevel="0" collapsed="false">
      <c r="A364" s="19" t="n">
        <v>363</v>
      </c>
      <c r="B364" s="20" t="n">
        <v>52</v>
      </c>
      <c r="C364" s="20" t="n">
        <v>1</v>
      </c>
      <c r="D364" s="20" t="n">
        <v>4</v>
      </c>
      <c r="E364" s="20" t="n">
        <v>112</v>
      </c>
      <c r="F364" s="20" t="n">
        <v>342</v>
      </c>
      <c r="G364" s="20" t="n">
        <v>0</v>
      </c>
      <c r="H364" s="20" t="n">
        <v>1</v>
      </c>
      <c r="I364" s="20" t="n">
        <v>96</v>
      </c>
      <c r="J364" s="20" t="n">
        <v>1</v>
      </c>
      <c r="K364" s="21" t="n">
        <v>1</v>
      </c>
      <c r="L364" s="20" t="n">
        <v>2</v>
      </c>
      <c r="M364" s="20"/>
      <c r="N364" s="20"/>
      <c r="O364" s="20" t="n">
        <v>3</v>
      </c>
      <c r="P364" s="22" t="s">
        <v>105</v>
      </c>
    </row>
    <row r="365" customFormat="false" ht="15" hidden="false" customHeight="false" outlineLevel="0" collapsed="false">
      <c r="A365" s="19" t="n">
        <v>364</v>
      </c>
      <c r="B365" s="20" t="n">
        <v>49</v>
      </c>
      <c r="C365" s="20" t="n">
        <v>1</v>
      </c>
      <c r="D365" s="20" t="n">
        <v>2</v>
      </c>
      <c r="E365" s="20" t="n">
        <v>100</v>
      </c>
      <c r="F365" s="20" t="n">
        <v>253</v>
      </c>
      <c r="G365" s="20" t="n">
        <v>0</v>
      </c>
      <c r="H365" s="20" t="n">
        <v>0</v>
      </c>
      <c r="I365" s="20" t="n">
        <v>174</v>
      </c>
      <c r="J365" s="20" t="n">
        <v>0</v>
      </c>
      <c r="K365" s="21" t="n">
        <v>0</v>
      </c>
      <c r="L365" s="20"/>
      <c r="M365" s="20"/>
      <c r="N365" s="20"/>
      <c r="O365" s="20" t="n">
        <v>0</v>
      </c>
      <c r="P365" s="22" t="s">
        <v>105</v>
      </c>
    </row>
    <row r="366" customFormat="false" ht="15" hidden="false" customHeight="false" outlineLevel="0" collapsed="false">
      <c r="A366" s="19" t="n">
        <v>365</v>
      </c>
      <c r="B366" s="20" t="n">
        <v>43</v>
      </c>
      <c r="C366" s="20" t="n">
        <v>0</v>
      </c>
      <c r="D366" s="20" t="n">
        <v>3</v>
      </c>
      <c r="E366" s="20" t="n">
        <v>150</v>
      </c>
      <c r="F366" s="20"/>
      <c r="G366" s="20" t="n">
        <v>0</v>
      </c>
      <c r="H366" s="20" t="n">
        <v>0</v>
      </c>
      <c r="I366" s="20" t="n">
        <v>175</v>
      </c>
      <c r="J366" s="20" t="n">
        <v>0</v>
      </c>
      <c r="K366" s="21" t="n">
        <v>0</v>
      </c>
      <c r="L366" s="20"/>
      <c r="M366" s="20"/>
      <c r="N366" s="20" t="n">
        <v>3</v>
      </c>
      <c r="O366" s="20" t="n">
        <v>0</v>
      </c>
      <c r="P366" s="22" t="s">
        <v>105</v>
      </c>
    </row>
    <row r="367" customFormat="false" ht="15" hidden="false" customHeight="false" outlineLevel="0" collapsed="false">
      <c r="A367" s="19" t="n">
        <v>366</v>
      </c>
      <c r="B367" s="20" t="n">
        <v>45</v>
      </c>
      <c r="C367" s="20" t="n">
        <v>1</v>
      </c>
      <c r="D367" s="20" t="n">
        <v>4</v>
      </c>
      <c r="E367" s="20" t="n">
        <v>140</v>
      </c>
      <c r="F367" s="20" t="n">
        <v>224</v>
      </c>
      <c r="G367" s="20" t="n">
        <v>0</v>
      </c>
      <c r="H367" s="20" t="n">
        <v>0</v>
      </c>
      <c r="I367" s="20" t="n">
        <v>144</v>
      </c>
      <c r="J367" s="20" t="n">
        <v>0</v>
      </c>
      <c r="K367" s="21" t="n">
        <v>0</v>
      </c>
      <c r="L367" s="20"/>
      <c r="M367" s="20"/>
      <c r="N367" s="20"/>
      <c r="O367" s="20" t="n">
        <v>0</v>
      </c>
      <c r="P367" s="22" t="s">
        <v>105</v>
      </c>
    </row>
    <row r="368" customFormat="false" ht="15" hidden="false" customHeight="false" outlineLevel="0" collapsed="false">
      <c r="A368" s="19" t="n">
        <v>367</v>
      </c>
      <c r="B368" s="20" t="n">
        <v>46</v>
      </c>
      <c r="C368" s="20" t="n">
        <v>1</v>
      </c>
      <c r="D368" s="20" t="n">
        <v>4</v>
      </c>
      <c r="E368" s="20" t="n">
        <v>120</v>
      </c>
      <c r="F368" s="20" t="n">
        <v>277</v>
      </c>
      <c r="G368" s="20" t="n">
        <v>0</v>
      </c>
      <c r="H368" s="20" t="n">
        <v>0</v>
      </c>
      <c r="I368" s="20" t="n">
        <v>125</v>
      </c>
      <c r="J368" s="20" t="n">
        <v>1</v>
      </c>
      <c r="K368" s="21" t="n">
        <v>1</v>
      </c>
      <c r="L368" s="20" t="n">
        <v>2</v>
      </c>
      <c r="M368" s="20"/>
      <c r="N368" s="20"/>
      <c r="O368" s="20" t="n">
        <v>1</v>
      </c>
      <c r="P368" s="22" t="s">
        <v>105</v>
      </c>
    </row>
    <row r="369" customFormat="false" ht="15" hidden="false" customHeight="false" outlineLevel="0" collapsed="false">
      <c r="A369" s="19" t="n">
        <v>368</v>
      </c>
      <c r="B369" s="20" t="n">
        <v>50</v>
      </c>
      <c r="C369" s="20" t="n">
        <v>0</v>
      </c>
      <c r="D369" s="20" t="n">
        <v>2</v>
      </c>
      <c r="E369" s="20" t="n">
        <v>110</v>
      </c>
      <c r="F369" s="20" t="n">
        <v>202</v>
      </c>
      <c r="G369" s="20" t="n">
        <v>0</v>
      </c>
      <c r="H369" s="20" t="n">
        <v>0</v>
      </c>
      <c r="I369" s="20" t="n">
        <v>145</v>
      </c>
      <c r="J369" s="20" t="n">
        <v>0</v>
      </c>
      <c r="K369" s="21" t="n">
        <v>0</v>
      </c>
      <c r="L369" s="20"/>
      <c r="M369" s="20"/>
      <c r="N369" s="20"/>
      <c r="O369" s="20" t="n">
        <v>0</v>
      </c>
      <c r="P369" s="22" t="s">
        <v>105</v>
      </c>
    </row>
    <row r="370" customFormat="false" ht="15" hidden="false" customHeight="false" outlineLevel="0" collapsed="false">
      <c r="A370" s="19" t="n">
        <v>369</v>
      </c>
      <c r="B370" s="20" t="n">
        <v>37</v>
      </c>
      <c r="C370" s="20" t="n">
        <v>0</v>
      </c>
      <c r="D370" s="20" t="n">
        <v>2</v>
      </c>
      <c r="E370" s="20" t="n">
        <v>120</v>
      </c>
      <c r="F370" s="20" t="n">
        <v>260</v>
      </c>
      <c r="G370" s="20" t="n">
        <v>0</v>
      </c>
      <c r="H370" s="20" t="n">
        <v>0</v>
      </c>
      <c r="I370" s="20" t="n">
        <v>130</v>
      </c>
      <c r="J370" s="20" t="n">
        <v>0</v>
      </c>
      <c r="K370" s="21" t="n">
        <v>0</v>
      </c>
      <c r="L370" s="20"/>
      <c r="M370" s="20"/>
      <c r="N370" s="20"/>
      <c r="O370" s="20" t="n">
        <v>0</v>
      </c>
      <c r="P370" s="22" t="s">
        <v>105</v>
      </c>
    </row>
    <row r="371" customFormat="false" ht="15" hidden="false" customHeight="false" outlineLevel="0" collapsed="false">
      <c r="A371" s="19" t="n">
        <v>370</v>
      </c>
      <c r="B371" s="20" t="n">
        <v>45</v>
      </c>
      <c r="C371" s="20" t="n">
        <v>0</v>
      </c>
      <c r="D371" s="20" t="n">
        <v>4</v>
      </c>
      <c r="E371" s="20" t="n">
        <v>132</v>
      </c>
      <c r="F371" s="20" t="n">
        <v>297</v>
      </c>
      <c r="G371" s="20" t="n">
        <v>0</v>
      </c>
      <c r="H371" s="20" t="n">
        <v>0</v>
      </c>
      <c r="I371" s="20" t="n">
        <v>144</v>
      </c>
      <c r="J371" s="20" t="n">
        <v>0</v>
      </c>
      <c r="K371" s="21" t="n">
        <v>0</v>
      </c>
      <c r="L371" s="20"/>
      <c r="M371" s="20"/>
      <c r="N371" s="20"/>
      <c r="O371" s="20" t="n">
        <v>0</v>
      </c>
      <c r="P371" s="22" t="s">
        <v>105</v>
      </c>
    </row>
    <row r="372" customFormat="false" ht="15" hidden="false" customHeight="false" outlineLevel="0" collapsed="false">
      <c r="A372" s="19" t="n">
        <v>371</v>
      </c>
      <c r="B372" s="20" t="n">
        <v>32</v>
      </c>
      <c r="C372" s="20" t="n">
        <v>1</v>
      </c>
      <c r="D372" s="20" t="n">
        <v>2</v>
      </c>
      <c r="E372" s="20" t="n">
        <v>110</v>
      </c>
      <c r="F372" s="20" t="n">
        <v>225</v>
      </c>
      <c r="G372" s="20" t="n">
        <v>0</v>
      </c>
      <c r="H372" s="20" t="n">
        <v>0</v>
      </c>
      <c r="I372" s="20" t="n">
        <v>184</v>
      </c>
      <c r="J372" s="20" t="n">
        <v>0</v>
      </c>
      <c r="K372" s="21" t="n">
        <v>0</v>
      </c>
      <c r="L372" s="20"/>
      <c r="M372" s="20"/>
      <c r="N372" s="20"/>
      <c r="O372" s="20" t="n">
        <v>0</v>
      </c>
      <c r="P372" s="22" t="s">
        <v>105</v>
      </c>
    </row>
    <row r="373" customFormat="false" ht="15" hidden="false" customHeight="false" outlineLevel="0" collapsed="false">
      <c r="A373" s="19" t="n">
        <v>372</v>
      </c>
      <c r="B373" s="20" t="n">
        <v>52</v>
      </c>
      <c r="C373" s="20" t="n">
        <v>1</v>
      </c>
      <c r="D373" s="20" t="n">
        <v>4</v>
      </c>
      <c r="E373" s="20" t="n">
        <v>160</v>
      </c>
      <c r="F373" s="20" t="n">
        <v>246</v>
      </c>
      <c r="G373" s="20" t="n">
        <v>0</v>
      </c>
      <c r="H373" s="20" t="n">
        <v>1</v>
      </c>
      <c r="I373" s="20" t="n">
        <v>82</v>
      </c>
      <c r="J373" s="20" t="n">
        <v>1</v>
      </c>
      <c r="K373" s="21" t="n">
        <v>4</v>
      </c>
      <c r="L373" s="20" t="n">
        <v>2</v>
      </c>
      <c r="M373" s="20"/>
      <c r="N373" s="20"/>
      <c r="O373" s="20" t="n">
        <v>3</v>
      </c>
      <c r="P373" s="22" t="s">
        <v>105</v>
      </c>
    </row>
    <row r="374" customFormat="false" ht="15" hidden="false" customHeight="false" outlineLevel="0" collapsed="false">
      <c r="A374" s="19" t="n">
        <v>373</v>
      </c>
      <c r="B374" s="20" t="n">
        <v>44</v>
      </c>
      <c r="C374" s="20" t="n">
        <v>1</v>
      </c>
      <c r="D374" s="20" t="n">
        <v>4</v>
      </c>
      <c r="E374" s="20" t="n">
        <v>150</v>
      </c>
      <c r="F374" s="20" t="n">
        <v>412</v>
      </c>
      <c r="G374" s="20" t="n">
        <v>0</v>
      </c>
      <c r="H374" s="20" t="n">
        <v>0</v>
      </c>
      <c r="I374" s="20" t="n">
        <v>170</v>
      </c>
      <c r="J374" s="20" t="n">
        <v>0</v>
      </c>
      <c r="K374" s="21" t="n">
        <v>0</v>
      </c>
      <c r="L374" s="20"/>
      <c r="M374" s="20"/>
      <c r="N374" s="20"/>
      <c r="O374" s="20" t="n">
        <v>0</v>
      </c>
      <c r="P374" s="22" t="s">
        <v>105</v>
      </c>
    </row>
    <row r="375" customFormat="false" ht="15" hidden="false" customHeight="false" outlineLevel="0" collapsed="false">
      <c r="A375" s="19" t="n">
        <v>374</v>
      </c>
      <c r="B375" s="20" t="n">
        <v>57</v>
      </c>
      <c r="C375" s="20" t="n">
        <v>1</v>
      </c>
      <c r="D375" s="20" t="n">
        <v>2</v>
      </c>
      <c r="E375" s="20" t="n">
        <v>140</v>
      </c>
      <c r="F375" s="20" t="n">
        <v>265</v>
      </c>
      <c r="G375" s="20" t="n">
        <v>0</v>
      </c>
      <c r="H375" s="20" t="n">
        <v>1</v>
      </c>
      <c r="I375" s="20" t="n">
        <v>145</v>
      </c>
      <c r="J375" s="20" t="n">
        <v>1</v>
      </c>
      <c r="K375" s="21" t="n">
        <v>1</v>
      </c>
      <c r="L375" s="20" t="n">
        <v>2</v>
      </c>
      <c r="M375" s="20"/>
      <c r="N375" s="20"/>
      <c r="O375" s="20" t="n">
        <v>1</v>
      </c>
      <c r="P375" s="22" t="s">
        <v>105</v>
      </c>
    </row>
    <row r="376" customFormat="false" ht="15" hidden="false" customHeight="false" outlineLevel="0" collapsed="false">
      <c r="A376" s="19" t="n">
        <v>375</v>
      </c>
      <c r="B376" s="20" t="n">
        <v>44</v>
      </c>
      <c r="C376" s="20" t="n">
        <v>1</v>
      </c>
      <c r="D376" s="20" t="n">
        <v>2</v>
      </c>
      <c r="E376" s="20" t="n">
        <v>130</v>
      </c>
      <c r="F376" s="20" t="n">
        <v>215</v>
      </c>
      <c r="G376" s="20" t="n">
        <v>0</v>
      </c>
      <c r="H376" s="20" t="n">
        <v>0</v>
      </c>
      <c r="I376" s="20" t="n">
        <v>135</v>
      </c>
      <c r="J376" s="20" t="n">
        <v>0</v>
      </c>
      <c r="K376" s="21" t="n">
        <v>0</v>
      </c>
      <c r="L376" s="20"/>
      <c r="M376" s="20"/>
      <c r="N376" s="20"/>
      <c r="O376" s="20" t="n">
        <v>0</v>
      </c>
      <c r="P376" s="22" t="s">
        <v>105</v>
      </c>
    </row>
    <row r="377" customFormat="false" ht="15" hidden="false" customHeight="false" outlineLevel="0" collapsed="false">
      <c r="A377" s="19" t="n">
        <v>376</v>
      </c>
      <c r="B377" s="20" t="n">
        <v>52</v>
      </c>
      <c r="C377" s="20" t="n">
        <v>1</v>
      </c>
      <c r="D377" s="20" t="n">
        <v>4</v>
      </c>
      <c r="E377" s="20" t="n">
        <v>120</v>
      </c>
      <c r="F377" s="20" t="n">
        <v>182</v>
      </c>
      <c r="G377" s="20" t="n">
        <v>0</v>
      </c>
      <c r="H377" s="20" t="n">
        <v>0</v>
      </c>
      <c r="I377" s="20" t="n">
        <v>150</v>
      </c>
      <c r="J377" s="20" t="n">
        <v>0</v>
      </c>
      <c r="K377" s="21" t="n">
        <v>0</v>
      </c>
      <c r="L377" s="20"/>
      <c r="M377" s="20"/>
      <c r="N377" s="20"/>
      <c r="O377" s="20" t="n">
        <v>2</v>
      </c>
      <c r="P377" s="22" t="s">
        <v>105</v>
      </c>
    </row>
    <row r="378" customFormat="false" ht="15" hidden="false" customHeight="false" outlineLevel="0" collapsed="false">
      <c r="A378" s="19" t="n">
        <v>377</v>
      </c>
      <c r="B378" s="20" t="n">
        <v>44</v>
      </c>
      <c r="C378" s="20" t="n">
        <v>0</v>
      </c>
      <c r="D378" s="20" t="n">
        <v>4</v>
      </c>
      <c r="E378" s="20" t="n">
        <v>120</v>
      </c>
      <c r="F378" s="20" t="n">
        <v>218</v>
      </c>
      <c r="G378" s="20" t="n">
        <v>0</v>
      </c>
      <c r="H378" s="20" t="n">
        <v>1</v>
      </c>
      <c r="I378" s="20" t="n">
        <v>115</v>
      </c>
      <c r="J378" s="20" t="n">
        <v>0</v>
      </c>
      <c r="K378" s="21" t="n">
        <v>0</v>
      </c>
      <c r="L378" s="20"/>
      <c r="M378" s="20"/>
      <c r="N378" s="20"/>
      <c r="O378" s="20" t="n">
        <v>0</v>
      </c>
      <c r="P378" s="22" t="s">
        <v>105</v>
      </c>
    </row>
    <row r="379" customFormat="false" ht="15" hidden="false" customHeight="false" outlineLevel="0" collapsed="false">
      <c r="A379" s="19" t="n">
        <v>378</v>
      </c>
      <c r="B379" s="20" t="n">
        <v>55</v>
      </c>
      <c r="C379" s="20" t="n">
        <v>1</v>
      </c>
      <c r="D379" s="20" t="n">
        <v>4</v>
      </c>
      <c r="E379" s="20" t="n">
        <v>140</v>
      </c>
      <c r="F379" s="20" t="n">
        <v>268</v>
      </c>
      <c r="G379" s="20" t="n">
        <v>0</v>
      </c>
      <c r="H379" s="20" t="n">
        <v>0</v>
      </c>
      <c r="I379" s="20" t="n">
        <v>128</v>
      </c>
      <c r="J379" s="20" t="n">
        <v>1</v>
      </c>
      <c r="K379" s="21" t="n">
        <v>1.5</v>
      </c>
      <c r="L379" s="20" t="n">
        <v>2</v>
      </c>
      <c r="M379" s="20"/>
      <c r="N379" s="20"/>
      <c r="O379" s="20" t="n">
        <v>2</v>
      </c>
      <c r="P379" s="22" t="s">
        <v>105</v>
      </c>
    </row>
    <row r="380" customFormat="false" ht="15" hidden="false" customHeight="false" outlineLevel="0" collapsed="false">
      <c r="A380" s="19" t="n">
        <v>379</v>
      </c>
      <c r="B380" s="20" t="n">
        <v>46</v>
      </c>
      <c r="C380" s="20" t="n">
        <v>1</v>
      </c>
      <c r="D380" s="20" t="n">
        <v>3</v>
      </c>
      <c r="E380" s="20" t="n">
        <v>150</v>
      </c>
      <c r="F380" s="20" t="n">
        <v>163</v>
      </c>
      <c r="G380" s="20"/>
      <c r="H380" s="20" t="n">
        <v>0</v>
      </c>
      <c r="I380" s="20" t="n">
        <v>116</v>
      </c>
      <c r="J380" s="20" t="n">
        <v>0</v>
      </c>
      <c r="K380" s="21" t="n">
        <v>0</v>
      </c>
      <c r="L380" s="20"/>
      <c r="M380" s="20"/>
      <c r="N380" s="20"/>
      <c r="O380" s="20" t="n">
        <v>0</v>
      </c>
      <c r="P380" s="22" t="s">
        <v>105</v>
      </c>
    </row>
    <row r="381" customFormat="false" ht="15" hidden="false" customHeight="false" outlineLevel="0" collapsed="false">
      <c r="A381" s="19" t="n">
        <v>380</v>
      </c>
      <c r="B381" s="20" t="n">
        <v>32</v>
      </c>
      <c r="C381" s="20" t="n">
        <v>1</v>
      </c>
      <c r="D381" s="20" t="n">
        <v>4</v>
      </c>
      <c r="E381" s="20" t="n">
        <v>118</v>
      </c>
      <c r="F381" s="20" t="n">
        <v>529</v>
      </c>
      <c r="G381" s="20" t="n">
        <v>0</v>
      </c>
      <c r="H381" s="20" t="n">
        <v>0</v>
      </c>
      <c r="I381" s="20" t="n">
        <v>130</v>
      </c>
      <c r="J381" s="20" t="n">
        <v>0</v>
      </c>
      <c r="K381" s="21" t="n">
        <v>0</v>
      </c>
      <c r="L381" s="20"/>
      <c r="M381" s="20"/>
      <c r="N381" s="20"/>
      <c r="O381" s="20" t="n">
        <v>2</v>
      </c>
      <c r="P381" s="22" t="s">
        <v>105</v>
      </c>
    </row>
    <row r="382" customFormat="false" ht="15" hidden="false" customHeight="false" outlineLevel="0" collapsed="false">
      <c r="A382" s="19" t="n">
        <v>381</v>
      </c>
      <c r="B382" s="20" t="n">
        <v>35</v>
      </c>
      <c r="C382" s="20" t="n">
        <v>0</v>
      </c>
      <c r="D382" s="20" t="n">
        <v>4</v>
      </c>
      <c r="E382" s="20" t="n">
        <v>140</v>
      </c>
      <c r="F382" s="20" t="n">
        <v>167</v>
      </c>
      <c r="G382" s="20" t="n">
        <v>0</v>
      </c>
      <c r="H382" s="20" t="n">
        <v>0</v>
      </c>
      <c r="I382" s="20" t="n">
        <v>150</v>
      </c>
      <c r="J382" s="20" t="n">
        <v>0</v>
      </c>
      <c r="K382" s="21" t="n">
        <v>0</v>
      </c>
      <c r="L382" s="20"/>
      <c r="M382" s="20"/>
      <c r="N382" s="20"/>
      <c r="O382" s="20" t="n">
        <v>0</v>
      </c>
      <c r="P382" s="22" t="s">
        <v>105</v>
      </c>
    </row>
    <row r="383" customFormat="false" ht="15" hidden="false" customHeight="false" outlineLevel="0" collapsed="false">
      <c r="A383" s="19" t="n">
        <v>382</v>
      </c>
      <c r="B383" s="20" t="n">
        <v>52</v>
      </c>
      <c r="C383" s="20" t="n">
        <v>1</v>
      </c>
      <c r="D383" s="20" t="n">
        <v>2</v>
      </c>
      <c r="E383" s="20" t="n">
        <v>140</v>
      </c>
      <c r="F383" s="20" t="n">
        <v>100</v>
      </c>
      <c r="G383" s="20" t="n">
        <v>0</v>
      </c>
      <c r="H383" s="20" t="n">
        <v>0</v>
      </c>
      <c r="I383" s="20" t="n">
        <v>138</v>
      </c>
      <c r="J383" s="20" t="n">
        <v>1</v>
      </c>
      <c r="K383" s="21" t="n">
        <v>0</v>
      </c>
      <c r="L383" s="20"/>
      <c r="M383" s="20"/>
      <c r="N383" s="20"/>
      <c r="O383" s="20" t="n">
        <v>0</v>
      </c>
      <c r="P383" s="22" t="s">
        <v>105</v>
      </c>
    </row>
    <row r="384" customFormat="false" ht="15" hidden="false" customHeight="false" outlineLevel="0" collapsed="false">
      <c r="A384" s="19" t="n">
        <v>383</v>
      </c>
      <c r="B384" s="20" t="n">
        <v>49</v>
      </c>
      <c r="C384" s="20" t="n">
        <v>1</v>
      </c>
      <c r="D384" s="20" t="n">
        <v>4</v>
      </c>
      <c r="E384" s="20" t="n">
        <v>130</v>
      </c>
      <c r="F384" s="20" t="n">
        <v>206</v>
      </c>
      <c r="G384" s="20" t="n">
        <v>0</v>
      </c>
      <c r="H384" s="20" t="n">
        <v>0</v>
      </c>
      <c r="I384" s="20" t="n">
        <v>170</v>
      </c>
      <c r="J384" s="20" t="n">
        <v>0</v>
      </c>
      <c r="K384" s="21" t="n">
        <v>0</v>
      </c>
      <c r="L384" s="20"/>
      <c r="M384" s="20"/>
      <c r="N384" s="20"/>
      <c r="O384" s="20" t="n">
        <v>1</v>
      </c>
      <c r="P384" s="22" t="s">
        <v>105</v>
      </c>
    </row>
    <row r="385" customFormat="false" ht="15" hidden="false" customHeight="false" outlineLevel="0" collapsed="false">
      <c r="A385" s="19" t="n">
        <v>384</v>
      </c>
      <c r="B385" s="20" t="n">
        <v>55</v>
      </c>
      <c r="C385" s="20" t="n">
        <v>1</v>
      </c>
      <c r="D385" s="20" t="n">
        <v>3</v>
      </c>
      <c r="E385" s="20" t="n">
        <v>110</v>
      </c>
      <c r="F385" s="20" t="n">
        <v>277</v>
      </c>
      <c r="G385" s="20" t="n">
        <v>0</v>
      </c>
      <c r="H385" s="20" t="n">
        <v>0</v>
      </c>
      <c r="I385" s="20" t="n">
        <v>160</v>
      </c>
      <c r="J385" s="20" t="n">
        <v>0</v>
      </c>
      <c r="K385" s="21" t="n">
        <v>0</v>
      </c>
      <c r="L385" s="20"/>
      <c r="M385" s="20"/>
      <c r="N385" s="20"/>
      <c r="O385" s="20" t="n">
        <v>0</v>
      </c>
      <c r="P385" s="22" t="s">
        <v>105</v>
      </c>
    </row>
    <row r="386" customFormat="false" ht="15" hidden="false" customHeight="false" outlineLevel="0" collapsed="false">
      <c r="A386" s="19" t="n">
        <v>385</v>
      </c>
      <c r="B386" s="20" t="n">
        <v>54</v>
      </c>
      <c r="C386" s="20" t="n">
        <v>1</v>
      </c>
      <c r="D386" s="20" t="n">
        <v>2</v>
      </c>
      <c r="E386" s="20" t="n">
        <v>120</v>
      </c>
      <c r="F386" s="20" t="n">
        <v>238</v>
      </c>
      <c r="G386" s="20" t="n">
        <v>0</v>
      </c>
      <c r="H386" s="20" t="n">
        <v>0</v>
      </c>
      <c r="I386" s="20" t="n">
        <v>154</v>
      </c>
      <c r="J386" s="20" t="n">
        <v>0</v>
      </c>
      <c r="K386" s="21" t="n">
        <v>0</v>
      </c>
      <c r="L386" s="20"/>
      <c r="M386" s="20"/>
      <c r="N386" s="20"/>
      <c r="O386" s="20" t="n">
        <v>0</v>
      </c>
      <c r="P386" s="22" t="s">
        <v>105</v>
      </c>
    </row>
    <row r="387" customFormat="false" ht="15" hidden="false" customHeight="false" outlineLevel="0" collapsed="false">
      <c r="A387" s="19" t="n">
        <v>386</v>
      </c>
      <c r="B387" s="20" t="n">
        <v>63</v>
      </c>
      <c r="C387" s="20" t="n">
        <v>1</v>
      </c>
      <c r="D387" s="20" t="n">
        <v>4</v>
      </c>
      <c r="E387" s="20" t="n">
        <v>150</v>
      </c>
      <c r="F387" s="20" t="n">
        <v>223</v>
      </c>
      <c r="G387" s="20" t="n">
        <v>0</v>
      </c>
      <c r="H387" s="20" t="n">
        <v>0</v>
      </c>
      <c r="I387" s="20" t="n">
        <v>115</v>
      </c>
      <c r="J387" s="20" t="n">
        <v>0</v>
      </c>
      <c r="K387" s="21" t="n">
        <v>0</v>
      </c>
      <c r="L387" s="20"/>
      <c r="M387" s="20"/>
      <c r="N387" s="20"/>
      <c r="O387" s="20" t="n">
        <v>1</v>
      </c>
      <c r="P387" s="22" t="s">
        <v>105</v>
      </c>
    </row>
    <row r="388" customFormat="false" ht="15" hidden="false" customHeight="false" outlineLevel="0" collapsed="false">
      <c r="A388" s="19" t="n">
        <v>387</v>
      </c>
      <c r="B388" s="20" t="n">
        <v>52</v>
      </c>
      <c r="C388" s="20" t="n">
        <v>1</v>
      </c>
      <c r="D388" s="20" t="n">
        <v>2</v>
      </c>
      <c r="E388" s="20" t="n">
        <v>160</v>
      </c>
      <c r="F388" s="20" t="n">
        <v>196</v>
      </c>
      <c r="G388" s="20" t="n">
        <v>0</v>
      </c>
      <c r="H388" s="20" t="n">
        <v>0</v>
      </c>
      <c r="I388" s="20" t="n">
        <v>165</v>
      </c>
      <c r="J388" s="20" t="n">
        <v>0</v>
      </c>
      <c r="K388" s="21" t="n">
        <v>0</v>
      </c>
      <c r="L388" s="20"/>
      <c r="M388" s="20"/>
      <c r="N388" s="20"/>
      <c r="O388" s="20" t="n">
        <v>0</v>
      </c>
      <c r="P388" s="22" t="s">
        <v>105</v>
      </c>
    </row>
    <row r="389" customFormat="false" ht="15" hidden="false" customHeight="false" outlineLevel="0" collapsed="false">
      <c r="A389" s="19" t="n">
        <v>388</v>
      </c>
      <c r="B389" s="20" t="n">
        <v>56</v>
      </c>
      <c r="C389" s="20" t="n">
        <v>1</v>
      </c>
      <c r="D389" s="20" t="n">
        <v>4</v>
      </c>
      <c r="E389" s="20" t="n">
        <v>150</v>
      </c>
      <c r="F389" s="20" t="n">
        <v>213</v>
      </c>
      <c r="G389" s="20" t="n">
        <v>1</v>
      </c>
      <c r="H389" s="20" t="n">
        <v>0</v>
      </c>
      <c r="I389" s="20" t="n">
        <v>125</v>
      </c>
      <c r="J389" s="20" t="n">
        <v>1</v>
      </c>
      <c r="K389" s="21" t="n">
        <v>1</v>
      </c>
      <c r="L389" s="20" t="n">
        <v>2</v>
      </c>
      <c r="M389" s="20"/>
      <c r="N389" s="20"/>
      <c r="O389" s="20" t="n">
        <v>2</v>
      </c>
      <c r="P389" s="22" t="s">
        <v>105</v>
      </c>
    </row>
    <row r="390" customFormat="false" ht="15" hidden="false" customHeight="false" outlineLevel="0" collapsed="false">
      <c r="A390" s="19" t="n">
        <v>389</v>
      </c>
      <c r="B390" s="20" t="n">
        <v>66</v>
      </c>
      <c r="C390" s="20" t="n">
        <v>1</v>
      </c>
      <c r="D390" s="20" t="n">
        <v>4</v>
      </c>
      <c r="E390" s="20" t="n">
        <v>140</v>
      </c>
      <c r="F390" s="20"/>
      <c r="G390" s="20" t="n">
        <v>0</v>
      </c>
      <c r="H390" s="20" t="n">
        <v>0</v>
      </c>
      <c r="I390" s="20" t="n">
        <v>94</v>
      </c>
      <c r="J390" s="20" t="n">
        <v>1</v>
      </c>
      <c r="K390" s="21" t="n">
        <v>1</v>
      </c>
      <c r="L390" s="20" t="n">
        <v>2</v>
      </c>
      <c r="M390" s="20"/>
      <c r="N390" s="20"/>
      <c r="O390" s="20" t="n">
        <v>3</v>
      </c>
      <c r="P390" s="22" t="s">
        <v>105</v>
      </c>
    </row>
    <row r="391" customFormat="false" ht="15" hidden="false" customHeight="false" outlineLevel="0" collapsed="false">
      <c r="A391" s="19" t="n">
        <v>390</v>
      </c>
      <c r="B391" s="20" t="n">
        <v>65</v>
      </c>
      <c r="C391" s="20" t="n">
        <v>1</v>
      </c>
      <c r="D391" s="20" t="n">
        <v>4</v>
      </c>
      <c r="E391" s="20" t="n">
        <v>170</v>
      </c>
      <c r="F391" s="20" t="n">
        <v>263</v>
      </c>
      <c r="G391" s="20" t="n">
        <v>1</v>
      </c>
      <c r="H391" s="20" t="n">
        <v>0</v>
      </c>
      <c r="I391" s="20" t="n">
        <v>112</v>
      </c>
      <c r="J391" s="20" t="n">
        <v>1</v>
      </c>
      <c r="K391" s="21" t="n">
        <v>2</v>
      </c>
      <c r="L391" s="20" t="n">
        <v>2</v>
      </c>
      <c r="M391" s="20"/>
      <c r="N391" s="20"/>
      <c r="O391" s="20" t="n">
        <v>3</v>
      </c>
      <c r="P391" s="22" t="s">
        <v>105</v>
      </c>
    </row>
    <row r="392" customFormat="false" ht="15" hidden="false" customHeight="false" outlineLevel="0" collapsed="false">
      <c r="A392" s="19" t="n">
        <v>391</v>
      </c>
      <c r="B392" s="20" t="n">
        <v>53</v>
      </c>
      <c r="C392" s="20" t="n">
        <v>0</v>
      </c>
      <c r="D392" s="20" t="n">
        <v>2</v>
      </c>
      <c r="E392" s="20" t="n">
        <v>140</v>
      </c>
      <c r="F392" s="20" t="n">
        <v>216</v>
      </c>
      <c r="G392" s="20" t="n">
        <v>0</v>
      </c>
      <c r="H392" s="20" t="n">
        <v>0</v>
      </c>
      <c r="I392" s="20" t="n">
        <v>142</v>
      </c>
      <c r="J392" s="20" t="n">
        <v>1</v>
      </c>
      <c r="K392" s="21" t="n">
        <v>2</v>
      </c>
      <c r="L392" s="20" t="n">
        <v>2</v>
      </c>
      <c r="M392" s="20"/>
      <c r="N392" s="20"/>
      <c r="O392" s="20" t="n">
        <v>0</v>
      </c>
      <c r="P392" s="22" t="s">
        <v>105</v>
      </c>
    </row>
    <row r="393" customFormat="false" ht="15" hidden="false" customHeight="false" outlineLevel="0" collapsed="false">
      <c r="A393" s="19" t="n">
        <v>392</v>
      </c>
      <c r="B393" s="20" t="n">
        <v>43</v>
      </c>
      <c r="C393" s="20" t="n">
        <v>1</v>
      </c>
      <c r="D393" s="20" t="n">
        <v>1</v>
      </c>
      <c r="E393" s="20" t="n">
        <v>120</v>
      </c>
      <c r="F393" s="20" t="n">
        <v>291</v>
      </c>
      <c r="G393" s="20" t="n">
        <v>0</v>
      </c>
      <c r="H393" s="20" t="n">
        <v>1</v>
      </c>
      <c r="I393" s="20" t="n">
        <v>155</v>
      </c>
      <c r="J393" s="20" t="n">
        <v>0</v>
      </c>
      <c r="K393" s="21" t="n">
        <v>0</v>
      </c>
      <c r="L393" s="20"/>
      <c r="M393" s="20"/>
      <c r="N393" s="20"/>
      <c r="O393" s="20" t="n">
        <v>2</v>
      </c>
      <c r="P393" s="22" t="s">
        <v>105</v>
      </c>
    </row>
    <row r="394" customFormat="false" ht="15" hidden="false" customHeight="false" outlineLevel="0" collapsed="false">
      <c r="A394" s="19" t="n">
        <v>393</v>
      </c>
      <c r="B394" s="20" t="n">
        <v>55</v>
      </c>
      <c r="C394" s="20" t="n">
        <v>1</v>
      </c>
      <c r="D394" s="20" t="n">
        <v>4</v>
      </c>
      <c r="E394" s="20" t="n">
        <v>140</v>
      </c>
      <c r="F394" s="20" t="n">
        <v>229</v>
      </c>
      <c r="G394" s="20" t="n">
        <v>0</v>
      </c>
      <c r="H394" s="20" t="n">
        <v>0</v>
      </c>
      <c r="I394" s="20" t="n">
        <v>110</v>
      </c>
      <c r="J394" s="20" t="n">
        <v>1</v>
      </c>
      <c r="K394" s="21" t="n">
        <v>0.5</v>
      </c>
      <c r="L394" s="20" t="n">
        <v>2</v>
      </c>
      <c r="M394" s="20"/>
      <c r="N394" s="20"/>
      <c r="O394" s="20" t="n">
        <v>0</v>
      </c>
      <c r="P394" s="22" t="s">
        <v>105</v>
      </c>
    </row>
    <row r="395" customFormat="false" ht="15" hidden="false" customHeight="false" outlineLevel="0" collapsed="false">
      <c r="A395" s="24" t="n">
        <v>394</v>
      </c>
      <c r="B395" s="20" t="n">
        <v>49</v>
      </c>
      <c r="C395" s="20" t="n">
        <v>0</v>
      </c>
      <c r="D395" s="20" t="n">
        <v>2</v>
      </c>
      <c r="E395" s="20" t="n">
        <v>110</v>
      </c>
      <c r="F395" s="20"/>
      <c r="G395" s="20" t="n">
        <v>0</v>
      </c>
      <c r="H395" s="20" t="n">
        <v>0</v>
      </c>
      <c r="I395" s="20" t="n">
        <v>160</v>
      </c>
      <c r="J395" s="20" t="n">
        <v>0</v>
      </c>
      <c r="K395" s="21" t="n">
        <v>0</v>
      </c>
      <c r="L395" s="20"/>
      <c r="M395" s="20"/>
      <c r="N395" s="20"/>
      <c r="O395" s="20" t="n">
        <v>0</v>
      </c>
      <c r="P395" s="22" t="s">
        <v>105</v>
      </c>
    </row>
    <row r="396" customFormat="false" ht="15" hidden="false" customHeight="false" outlineLevel="0" collapsed="false">
      <c r="A396" s="19" t="n">
        <v>395</v>
      </c>
      <c r="B396" s="20" t="n">
        <v>39</v>
      </c>
      <c r="C396" s="20" t="n">
        <v>1</v>
      </c>
      <c r="D396" s="20" t="n">
        <v>4</v>
      </c>
      <c r="E396" s="20" t="n">
        <v>130</v>
      </c>
      <c r="F396" s="20" t="n">
        <v>307</v>
      </c>
      <c r="G396" s="20" t="n">
        <v>0</v>
      </c>
      <c r="H396" s="20" t="n">
        <v>0</v>
      </c>
      <c r="I396" s="20" t="n">
        <v>140</v>
      </c>
      <c r="J396" s="20" t="n">
        <v>0</v>
      </c>
      <c r="K396" s="21" t="n">
        <v>0</v>
      </c>
      <c r="L396" s="20"/>
      <c r="M396" s="20"/>
      <c r="N396" s="20"/>
      <c r="O396" s="20" t="n">
        <v>0</v>
      </c>
      <c r="P396" s="22" t="s">
        <v>105</v>
      </c>
    </row>
    <row r="397" customFormat="false" ht="15" hidden="false" customHeight="false" outlineLevel="0" collapsed="false">
      <c r="A397" s="19" t="n">
        <v>396</v>
      </c>
      <c r="B397" s="20" t="n">
        <v>52</v>
      </c>
      <c r="C397" s="20" t="n">
        <v>0</v>
      </c>
      <c r="D397" s="20" t="n">
        <v>2</v>
      </c>
      <c r="E397" s="20" t="n">
        <v>120</v>
      </c>
      <c r="F397" s="20" t="n">
        <v>210</v>
      </c>
      <c r="G397" s="20" t="n">
        <v>0</v>
      </c>
      <c r="H397" s="20" t="n">
        <v>0</v>
      </c>
      <c r="I397" s="20" t="n">
        <v>148</v>
      </c>
      <c r="J397" s="20" t="n">
        <v>0</v>
      </c>
      <c r="K397" s="21" t="n">
        <v>0</v>
      </c>
      <c r="L397" s="20"/>
      <c r="M397" s="20"/>
      <c r="N397" s="20"/>
      <c r="O397" s="20" t="n">
        <v>0</v>
      </c>
      <c r="P397" s="22" t="s">
        <v>105</v>
      </c>
    </row>
    <row r="398" customFormat="false" ht="15" hidden="false" customHeight="false" outlineLevel="0" collapsed="false">
      <c r="A398" s="19" t="n">
        <v>397</v>
      </c>
      <c r="B398" s="20" t="n">
        <v>48</v>
      </c>
      <c r="C398" s="20" t="n">
        <v>1</v>
      </c>
      <c r="D398" s="20" t="n">
        <v>4</v>
      </c>
      <c r="E398" s="20" t="n">
        <v>160</v>
      </c>
      <c r="F398" s="20" t="n">
        <v>329</v>
      </c>
      <c r="G398" s="20" t="n">
        <v>0</v>
      </c>
      <c r="H398" s="20" t="n">
        <v>0</v>
      </c>
      <c r="I398" s="20" t="n">
        <v>92</v>
      </c>
      <c r="J398" s="20" t="n">
        <v>1</v>
      </c>
      <c r="K398" s="21" t="n">
        <v>1.5</v>
      </c>
      <c r="L398" s="20" t="n">
        <v>2</v>
      </c>
      <c r="M398" s="20"/>
      <c r="N398" s="20"/>
      <c r="O398" s="20" t="n">
        <v>2</v>
      </c>
      <c r="P398" s="22" t="s">
        <v>105</v>
      </c>
    </row>
    <row r="399" customFormat="false" ht="15" hidden="false" customHeight="false" outlineLevel="0" collapsed="false">
      <c r="A399" s="19" t="n">
        <v>398</v>
      </c>
      <c r="B399" s="20" t="n">
        <v>39</v>
      </c>
      <c r="C399" s="20" t="n">
        <v>0</v>
      </c>
      <c r="D399" s="20" t="n">
        <v>3</v>
      </c>
      <c r="E399" s="20" t="n">
        <v>110</v>
      </c>
      <c r="F399" s="20" t="n">
        <v>182</v>
      </c>
      <c r="G399" s="20" t="n">
        <v>0</v>
      </c>
      <c r="H399" s="20" t="n">
        <v>1</v>
      </c>
      <c r="I399" s="20" t="n">
        <v>180</v>
      </c>
      <c r="J399" s="20" t="n">
        <v>0</v>
      </c>
      <c r="K399" s="21" t="n">
        <v>0</v>
      </c>
      <c r="L399" s="20"/>
      <c r="M399" s="20"/>
      <c r="N399" s="20"/>
      <c r="O399" s="20" t="n">
        <v>0</v>
      </c>
      <c r="P399" s="22" t="s">
        <v>105</v>
      </c>
    </row>
    <row r="400" customFormat="false" ht="15" hidden="false" customHeight="false" outlineLevel="0" collapsed="false">
      <c r="A400" s="19" t="n">
        <v>399</v>
      </c>
      <c r="B400" s="20" t="n">
        <v>58</v>
      </c>
      <c r="C400" s="20" t="n">
        <v>1</v>
      </c>
      <c r="D400" s="20" t="n">
        <v>4</v>
      </c>
      <c r="E400" s="20" t="n">
        <v>130</v>
      </c>
      <c r="F400" s="20" t="n">
        <v>263</v>
      </c>
      <c r="G400" s="20" t="n">
        <v>0</v>
      </c>
      <c r="H400" s="20" t="n">
        <v>0</v>
      </c>
      <c r="I400" s="20" t="n">
        <v>140</v>
      </c>
      <c r="J400" s="20" t="n">
        <v>1</v>
      </c>
      <c r="K400" s="21" t="n">
        <v>2</v>
      </c>
      <c r="L400" s="20" t="n">
        <v>2</v>
      </c>
      <c r="M400" s="20"/>
      <c r="N400" s="20"/>
      <c r="O400" s="20" t="n">
        <v>2</v>
      </c>
      <c r="P400" s="22" t="s">
        <v>105</v>
      </c>
    </row>
    <row r="401" customFormat="false" ht="15" hidden="false" customHeight="false" outlineLevel="0" collapsed="false">
      <c r="A401" s="19" t="n">
        <v>400</v>
      </c>
      <c r="B401" s="20" t="n">
        <v>43</v>
      </c>
      <c r="C401" s="20" t="n">
        <v>1</v>
      </c>
      <c r="D401" s="20" t="n">
        <v>2</v>
      </c>
      <c r="E401" s="20" t="n">
        <v>142</v>
      </c>
      <c r="F401" s="20" t="n">
        <v>207</v>
      </c>
      <c r="G401" s="20" t="n">
        <v>0</v>
      </c>
      <c r="H401" s="20" t="n">
        <v>0</v>
      </c>
      <c r="I401" s="20" t="n">
        <v>138</v>
      </c>
      <c r="J401" s="20" t="n">
        <v>0</v>
      </c>
      <c r="K401" s="21" t="n">
        <v>0</v>
      </c>
      <c r="L401" s="20"/>
      <c r="M401" s="20"/>
      <c r="N401" s="20"/>
      <c r="O401" s="20" t="n">
        <v>0</v>
      </c>
      <c r="P401" s="22" t="s">
        <v>105</v>
      </c>
    </row>
    <row r="402" customFormat="false" ht="15" hidden="false" customHeight="false" outlineLevel="0" collapsed="false">
      <c r="A402" s="19" t="n">
        <v>401</v>
      </c>
      <c r="B402" s="20" t="n">
        <v>39</v>
      </c>
      <c r="C402" s="20" t="n">
        <v>1</v>
      </c>
      <c r="D402" s="20" t="n">
        <v>3</v>
      </c>
      <c r="E402" s="20" t="n">
        <v>160</v>
      </c>
      <c r="F402" s="20" t="n">
        <v>147</v>
      </c>
      <c r="G402" s="20" t="n">
        <v>1</v>
      </c>
      <c r="H402" s="20" t="n">
        <v>0</v>
      </c>
      <c r="I402" s="20" t="n">
        <v>160</v>
      </c>
      <c r="J402" s="20" t="n">
        <v>0</v>
      </c>
      <c r="K402" s="21" t="n">
        <v>0</v>
      </c>
      <c r="L402" s="20"/>
      <c r="M402" s="20"/>
      <c r="N402" s="20"/>
      <c r="O402" s="20" t="n">
        <v>0</v>
      </c>
      <c r="P402" s="22" t="s">
        <v>105</v>
      </c>
    </row>
    <row r="403" customFormat="false" ht="15" hidden="false" customHeight="false" outlineLevel="0" collapsed="false">
      <c r="A403" s="19" t="n">
        <v>402</v>
      </c>
      <c r="B403" s="20" t="n">
        <v>56</v>
      </c>
      <c r="C403" s="20" t="n">
        <v>1</v>
      </c>
      <c r="D403" s="20" t="n">
        <v>4</v>
      </c>
      <c r="E403" s="20" t="n">
        <v>120</v>
      </c>
      <c r="F403" s="20" t="n">
        <v>85</v>
      </c>
      <c r="G403" s="20" t="n">
        <v>0</v>
      </c>
      <c r="H403" s="20" t="n">
        <v>0</v>
      </c>
      <c r="I403" s="20" t="n">
        <v>140</v>
      </c>
      <c r="J403" s="20" t="n">
        <v>0</v>
      </c>
      <c r="K403" s="21" t="n">
        <v>0</v>
      </c>
      <c r="L403" s="20"/>
      <c r="M403" s="20"/>
      <c r="N403" s="20"/>
      <c r="O403" s="20" t="n">
        <v>0</v>
      </c>
      <c r="P403" s="22" t="s">
        <v>105</v>
      </c>
    </row>
    <row r="404" customFormat="false" ht="15" hidden="false" customHeight="false" outlineLevel="0" collapsed="false">
      <c r="A404" s="19" t="n">
        <v>403</v>
      </c>
      <c r="B404" s="20" t="n">
        <v>41</v>
      </c>
      <c r="C404" s="20" t="n">
        <v>1</v>
      </c>
      <c r="D404" s="20" t="n">
        <v>2</v>
      </c>
      <c r="E404" s="20" t="n">
        <v>125</v>
      </c>
      <c r="F404" s="20" t="n">
        <v>269</v>
      </c>
      <c r="G404" s="20" t="n">
        <v>0</v>
      </c>
      <c r="H404" s="20" t="n">
        <v>0</v>
      </c>
      <c r="I404" s="20" t="n">
        <v>144</v>
      </c>
      <c r="J404" s="20" t="n">
        <v>0</v>
      </c>
      <c r="K404" s="21" t="n">
        <v>0</v>
      </c>
      <c r="L404" s="20"/>
      <c r="M404" s="20"/>
      <c r="N404" s="20"/>
      <c r="O404" s="20" t="n">
        <v>0</v>
      </c>
      <c r="P404" s="22" t="s">
        <v>105</v>
      </c>
    </row>
    <row r="405" customFormat="false" ht="15" hidden="false" customHeight="false" outlineLevel="0" collapsed="false">
      <c r="A405" s="19" t="n">
        <v>404</v>
      </c>
      <c r="B405" s="20" t="n">
        <v>65</v>
      </c>
      <c r="C405" s="20" t="n">
        <v>1</v>
      </c>
      <c r="D405" s="20" t="n">
        <v>4</v>
      </c>
      <c r="E405" s="20" t="n">
        <v>130</v>
      </c>
      <c r="F405" s="20" t="n">
        <v>275</v>
      </c>
      <c r="G405" s="20" t="n">
        <v>0</v>
      </c>
      <c r="H405" s="20" t="n">
        <v>1</v>
      </c>
      <c r="I405" s="20" t="n">
        <v>115</v>
      </c>
      <c r="J405" s="20" t="n">
        <v>1</v>
      </c>
      <c r="K405" s="21" t="n">
        <v>1</v>
      </c>
      <c r="L405" s="20" t="n">
        <v>2</v>
      </c>
      <c r="M405" s="20"/>
      <c r="N405" s="20"/>
      <c r="O405" s="20" t="n">
        <v>4</v>
      </c>
      <c r="P405" s="22" t="s">
        <v>105</v>
      </c>
    </row>
    <row r="406" customFormat="false" ht="15" hidden="false" customHeight="false" outlineLevel="0" collapsed="false">
      <c r="A406" s="19" t="n">
        <v>405</v>
      </c>
      <c r="B406" s="20" t="n">
        <v>51</v>
      </c>
      <c r="C406" s="20" t="n">
        <v>1</v>
      </c>
      <c r="D406" s="20" t="n">
        <v>4</v>
      </c>
      <c r="E406" s="20" t="n">
        <v>130</v>
      </c>
      <c r="F406" s="20" t="n">
        <v>179</v>
      </c>
      <c r="G406" s="20" t="n">
        <v>0</v>
      </c>
      <c r="H406" s="20" t="n">
        <v>0</v>
      </c>
      <c r="I406" s="20" t="n">
        <v>100</v>
      </c>
      <c r="J406" s="20" t="n">
        <v>0</v>
      </c>
      <c r="K406" s="21" t="n">
        <v>0</v>
      </c>
      <c r="L406" s="20"/>
      <c r="M406" s="20"/>
      <c r="N406" s="20" t="n">
        <v>7</v>
      </c>
      <c r="O406" s="20" t="n">
        <v>0</v>
      </c>
      <c r="P406" s="22" t="s">
        <v>105</v>
      </c>
    </row>
    <row r="407" customFormat="false" ht="15" hidden="false" customHeight="false" outlineLevel="0" collapsed="false">
      <c r="A407" s="19" t="n">
        <v>406</v>
      </c>
      <c r="B407" s="20" t="n">
        <v>40</v>
      </c>
      <c r="C407" s="20" t="n">
        <v>0</v>
      </c>
      <c r="D407" s="20" t="n">
        <v>4</v>
      </c>
      <c r="E407" s="20" t="n">
        <v>150</v>
      </c>
      <c r="F407" s="20" t="n">
        <v>392</v>
      </c>
      <c r="G407" s="20" t="n">
        <v>0</v>
      </c>
      <c r="H407" s="20" t="n">
        <v>0</v>
      </c>
      <c r="I407" s="20" t="n">
        <v>130</v>
      </c>
      <c r="J407" s="20" t="n">
        <v>0</v>
      </c>
      <c r="K407" s="21" t="n">
        <v>2</v>
      </c>
      <c r="L407" s="20" t="n">
        <v>2</v>
      </c>
      <c r="M407" s="20"/>
      <c r="N407" s="20" t="n">
        <v>6</v>
      </c>
      <c r="O407" s="20" t="n">
        <v>2</v>
      </c>
      <c r="P407" s="22" t="s">
        <v>105</v>
      </c>
    </row>
    <row r="408" customFormat="false" ht="15" hidden="false" customHeight="false" outlineLevel="0" collapsed="false">
      <c r="A408" s="19" t="n">
        <v>407</v>
      </c>
      <c r="B408" s="20" t="n">
        <v>40</v>
      </c>
      <c r="C408" s="20" t="n">
        <v>1</v>
      </c>
      <c r="D408" s="20" t="n">
        <v>4</v>
      </c>
      <c r="E408" s="20" t="n">
        <v>120</v>
      </c>
      <c r="F408" s="20" t="n">
        <v>466</v>
      </c>
      <c r="G408" s="20"/>
      <c r="H408" s="20" t="n">
        <v>0</v>
      </c>
      <c r="I408" s="20" t="n">
        <v>152</v>
      </c>
      <c r="J408" s="20" t="n">
        <v>1</v>
      </c>
      <c r="K408" s="21" t="n">
        <v>1</v>
      </c>
      <c r="L408" s="20" t="n">
        <v>2</v>
      </c>
      <c r="M408" s="20"/>
      <c r="N408" s="20" t="n">
        <v>6</v>
      </c>
      <c r="O408" s="20" t="n">
        <v>1</v>
      </c>
      <c r="P408" s="22" t="s">
        <v>105</v>
      </c>
    </row>
    <row r="409" customFormat="false" ht="15" hidden="false" customHeight="false" outlineLevel="0" collapsed="false">
      <c r="A409" s="19" t="n">
        <v>408</v>
      </c>
      <c r="B409" s="20" t="n">
        <v>46</v>
      </c>
      <c r="C409" s="20" t="n">
        <v>1</v>
      </c>
      <c r="D409" s="20" t="n">
        <v>4</v>
      </c>
      <c r="E409" s="20" t="n">
        <v>118</v>
      </c>
      <c r="F409" s="20" t="n">
        <v>186</v>
      </c>
      <c r="G409" s="20" t="n">
        <v>0</v>
      </c>
      <c r="H409" s="20" t="n">
        <v>0</v>
      </c>
      <c r="I409" s="20" t="n">
        <v>124</v>
      </c>
      <c r="J409" s="20" t="n">
        <v>0</v>
      </c>
      <c r="K409" s="21" t="n">
        <v>0</v>
      </c>
      <c r="L409" s="20"/>
      <c r="M409" s="20"/>
      <c r="N409" s="20" t="n">
        <v>7</v>
      </c>
      <c r="O409" s="20" t="n">
        <v>1</v>
      </c>
      <c r="P409" s="22" t="s">
        <v>105</v>
      </c>
    </row>
    <row r="410" customFormat="false" ht="15" hidden="false" customHeight="false" outlineLevel="0" collapsed="false">
      <c r="A410" s="19" t="n">
        <v>409</v>
      </c>
      <c r="B410" s="20" t="n">
        <v>57</v>
      </c>
      <c r="C410" s="20" t="n">
        <v>1</v>
      </c>
      <c r="D410" s="20" t="n">
        <v>2</v>
      </c>
      <c r="E410" s="20" t="n">
        <v>140</v>
      </c>
      <c r="F410" s="20" t="n">
        <v>260</v>
      </c>
      <c r="G410" s="20" t="n">
        <v>1</v>
      </c>
      <c r="H410" s="20" t="n">
        <v>0</v>
      </c>
      <c r="I410" s="20" t="n">
        <v>140</v>
      </c>
      <c r="J410" s="20" t="n">
        <v>0</v>
      </c>
      <c r="K410" s="21" t="n">
        <v>0</v>
      </c>
      <c r="L410" s="20"/>
      <c r="M410" s="20"/>
      <c r="N410" s="20" t="n">
        <v>6</v>
      </c>
      <c r="O410" s="20" t="n">
        <v>0</v>
      </c>
      <c r="P410" s="22" t="s">
        <v>105</v>
      </c>
    </row>
    <row r="411" customFormat="false" ht="15" hidden="false" customHeight="false" outlineLevel="0" collapsed="false">
      <c r="A411" s="19" t="n">
        <v>410</v>
      </c>
      <c r="B411" s="20" t="n">
        <v>48</v>
      </c>
      <c r="C411" s="20" t="n">
        <v>0</v>
      </c>
      <c r="D411" s="20" t="n">
        <v>4</v>
      </c>
      <c r="E411" s="20" t="n">
        <v>120</v>
      </c>
      <c r="F411" s="20" t="n">
        <v>254</v>
      </c>
      <c r="G411" s="20" t="n">
        <v>0</v>
      </c>
      <c r="H411" s="20" t="n">
        <v>1</v>
      </c>
      <c r="I411" s="20" t="n">
        <v>110</v>
      </c>
      <c r="J411" s="20" t="n">
        <v>0</v>
      </c>
      <c r="K411" s="21" t="n">
        <v>0</v>
      </c>
      <c r="L411" s="20"/>
      <c r="M411" s="20"/>
      <c r="N411" s="20"/>
      <c r="O411" s="20" t="n">
        <v>0</v>
      </c>
      <c r="P411" s="22" t="s">
        <v>105</v>
      </c>
    </row>
    <row r="412" customFormat="false" ht="15" hidden="false" customHeight="false" outlineLevel="0" collapsed="false">
      <c r="A412" s="19" t="n">
        <v>411</v>
      </c>
      <c r="B412" s="20" t="n">
        <v>34</v>
      </c>
      <c r="C412" s="20" t="n">
        <v>1</v>
      </c>
      <c r="D412" s="20" t="n">
        <v>2</v>
      </c>
      <c r="E412" s="20" t="n">
        <v>150</v>
      </c>
      <c r="F412" s="20" t="n">
        <v>214</v>
      </c>
      <c r="G412" s="20" t="n">
        <v>0</v>
      </c>
      <c r="H412" s="20" t="n">
        <v>1</v>
      </c>
      <c r="I412" s="20" t="n">
        <v>168</v>
      </c>
      <c r="J412" s="20" t="n">
        <v>0</v>
      </c>
      <c r="K412" s="21" t="n">
        <v>0</v>
      </c>
      <c r="L412" s="20"/>
      <c r="M412" s="20"/>
      <c r="N412" s="20"/>
      <c r="O412" s="20" t="n">
        <v>0</v>
      </c>
      <c r="P412" s="22" t="s">
        <v>105</v>
      </c>
    </row>
    <row r="413" customFormat="false" ht="15" hidden="false" customHeight="false" outlineLevel="0" collapsed="false">
      <c r="A413" s="19" t="n">
        <v>412</v>
      </c>
      <c r="B413" s="20" t="n">
        <v>50</v>
      </c>
      <c r="C413" s="20" t="n">
        <v>1</v>
      </c>
      <c r="D413" s="20" t="n">
        <v>4</v>
      </c>
      <c r="E413" s="20" t="n">
        <v>140</v>
      </c>
      <c r="F413" s="20" t="n">
        <v>129</v>
      </c>
      <c r="G413" s="20" t="n">
        <v>0</v>
      </c>
      <c r="H413" s="20" t="n">
        <v>0</v>
      </c>
      <c r="I413" s="20" t="n">
        <v>135</v>
      </c>
      <c r="J413" s="20" t="n">
        <v>0</v>
      </c>
      <c r="K413" s="21" t="n">
        <v>0</v>
      </c>
      <c r="L413" s="20"/>
      <c r="M413" s="20"/>
      <c r="N413" s="20"/>
      <c r="O413" s="20" t="n">
        <v>0</v>
      </c>
      <c r="P413" s="22" t="s">
        <v>105</v>
      </c>
    </row>
    <row r="414" customFormat="false" ht="15" hidden="false" customHeight="false" outlineLevel="0" collapsed="false">
      <c r="A414" s="19" t="n">
        <v>413</v>
      </c>
      <c r="B414" s="20" t="n">
        <v>39</v>
      </c>
      <c r="C414" s="20" t="n">
        <v>1</v>
      </c>
      <c r="D414" s="20" t="n">
        <v>2</v>
      </c>
      <c r="E414" s="20" t="n">
        <v>190</v>
      </c>
      <c r="F414" s="20" t="n">
        <v>241</v>
      </c>
      <c r="G414" s="20" t="n">
        <v>0</v>
      </c>
      <c r="H414" s="20" t="n">
        <v>0</v>
      </c>
      <c r="I414" s="20" t="n">
        <v>106</v>
      </c>
      <c r="J414" s="20" t="n">
        <v>0</v>
      </c>
      <c r="K414" s="21" t="n">
        <v>0</v>
      </c>
      <c r="L414" s="20"/>
      <c r="M414" s="20"/>
      <c r="N414" s="20"/>
      <c r="O414" s="20" t="n">
        <v>0</v>
      </c>
      <c r="P414" s="22" t="s">
        <v>105</v>
      </c>
    </row>
    <row r="415" customFormat="false" ht="15" hidden="false" customHeight="false" outlineLevel="0" collapsed="false">
      <c r="A415" s="19" t="n">
        <v>414</v>
      </c>
      <c r="B415" s="20" t="n">
        <v>59</v>
      </c>
      <c r="C415" s="20" t="n">
        <v>0</v>
      </c>
      <c r="D415" s="20" t="n">
        <v>2</v>
      </c>
      <c r="E415" s="20" t="n">
        <v>130</v>
      </c>
      <c r="F415" s="20" t="n">
        <v>188</v>
      </c>
      <c r="G415" s="20" t="n">
        <v>0</v>
      </c>
      <c r="H415" s="20" t="n">
        <v>0</v>
      </c>
      <c r="I415" s="20" t="n">
        <v>124</v>
      </c>
      <c r="J415" s="20" t="n">
        <v>0</v>
      </c>
      <c r="K415" s="21" t="n">
        <v>1</v>
      </c>
      <c r="L415" s="20" t="n">
        <v>2</v>
      </c>
      <c r="M415" s="20"/>
      <c r="N415" s="20"/>
      <c r="O415" s="20" t="n">
        <v>0</v>
      </c>
      <c r="P415" s="22" t="s">
        <v>105</v>
      </c>
    </row>
    <row r="416" customFormat="false" ht="15" hidden="false" customHeight="false" outlineLevel="0" collapsed="false">
      <c r="A416" s="19" t="n">
        <v>415</v>
      </c>
      <c r="B416" s="20" t="n">
        <v>57</v>
      </c>
      <c r="C416" s="20" t="n">
        <v>1</v>
      </c>
      <c r="D416" s="20" t="n">
        <v>4</v>
      </c>
      <c r="E416" s="20" t="n">
        <v>150</v>
      </c>
      <c r="F416" s="20" t="n">
        <v>255</v>
      </c>
      <c r="G416" s="20" t="n">
        <v>0</v>
      </c>
      <c r="H416" s="20" t="n">
        <v>0</v>
      </c>
      <c r="I416" s="20" t="n">
        <v>92</v>
      </c>
      <c r="J416" s="20" t="n">
        <v>1</v>
      </c>
      <c r="K416" s="21" t="n">
        <v>3</v>
      </c>
      <c r="L416" s="20" t="n">
        <v>2</v>
      </c>
      <c r="M416" s="20"/>
      <c r="N416" s="20"/>
      <c r="O416" s="20" t="n">
        <v>2</v>
      </c>
      <c r="P416" s="22" t="s">
        <v>105</v>
      </c>
    </row>
    <row r="417" customFormat="false" ht="15" hidden="false" customHeight="false" outlineLevel="0" collapsed="false">
      <c r="A417" s="19" t="n">
        <v>416</v>
      </c>
      <c r="B417" s="20" t="n">
        <v>47</v>
      </c>
      <c r="C417" s="20" t="n">
        <v>1</v>
      </c>
      <c r="D417" s="20" t="n">
        <v>4</v>
      </c>
      <c r="E417" s="20" t="n">
        <v>140</v>
      </c>
      <c r="F417" s="20" t="n">
        <v>276</v>
      </c>
      <c r="G417" s="20" t="n">
        <v>1</v>
      </c>
      <c r="H417" s="20" t="n">
        <v>0</v>
      </c>
      <c r="I417" s="20" t="n">
        <v>125</v>
      </c>
      <c r="J417" s="20" t="n">
        <v>1</v>
      </c>
      <c r="K417" s="21" t="n">
        <v>0</v>
      </c>
      <c r="L417" s="20"/>
      <c r="M417" s="20"/>
      <c r="N417" s="20"/>
      <c r="O417" s="20" t="n">
        <v>0</v>
      </c>
      <c r="P417" s="22" t="s">
        <v>105</v>
      </c>
    </row>
    <row r="418" customFormat="false" ht="15" hidden="false" customHeight="false" outlineLevel="0" collapsed="false">
      <c r="A418" s="19" t="n">
        <v>417</v>
      </c>
      <c r="B418" s="20" t="n">
        <v>38</v>
      </c>
      <c r="C418" s="20" t="n">
        <v>1</v>
      </c>
      <c r="D418" s="20" t="n">
        <v>2</v>
      </c>
      <c r="E418" s="20" t="n">
        <v>140</v>
      </c>
      <c r="F418" s="20" t="n">
        <v>297</v>
      </c>
      <c r="G418" s="20" t="n">
        <v>0</v>
      </c>
      <c r="H418" s="20" t="n">
        <v>0</v>
      </c>
      <c r="I418" s="20" t="n">
        <v>150</v>
      </c>
      <c r="J418" s="20" t="n">
        <v>0</v>
      </c>
      <c r="K418" s="21" t="n">
        <v>0</v>
      </c>
      <c r="L418" s="20"/>
      <c r="M418" s="20"/>
      <c r="N418" s="20"/>
      <c r="O418" s="20" t="n">
        <v>0</v>
      </c>
      <c r="P418" s="22" t="s">
        <v>105</v>
      </c>
    </row>
    <row r="419" customFormat="false" ht="15" hidden="false" customHeight="false" outlineLevel="0" collapsed="false">
      <c r="A419" s="19" t="n">
        <v>418</v>
      </c>
      <c r="B419" s="20" t="n">
        <v>49</v>
      </c>
      <c r="C419" s="20" t="n">
        <v>0</v>
      </c>
      <c r="D419" s="20" t="n">
        <v>3</v>
      </c>
      <c r="E419" s="20" t="n">
        <v>130</v>
      </c>
      <c r="F419" s="20" t="n">
        <v>207</v>
      </c>
      <c r="G419" s="20" t="n">
        <v>0</v>
      </c>
      <c r="H419" s="20" t="n">
        <v>1</v>
      </c>
      <c r="I419" s="20" t="n">
        <v>135</v>
      </c>
      <c r="J419" s="20" t="n">
        <v>0</v>
      </c>
      <c r="K419" s="21" t="n">
        <v>0</v>
      </c>
      <c r="L419" s="20"/>
      <c r="M419" s="20"/>
      <c r="N419" s="20"/>
      <c r="O419" s="20" t="n">
        <v>0</v>
      </c>
      <c r="P419" s="22" t="s">
        <v>105</v>
      </c>
    </row>
    <row r="420" customFormat="false" ht="15" hidden="false" customHeight="false" outlineLevel="0" collapsed="false">
      <c r="A420" s="19" t="n">
        <v>419</v>
      </c>
      <c r="B420" s="20" t="n">
        <v>33</v>
      </c>
      <c r="C420" s="20" t="n">
        <v>0</v>
      </c>
      <c r="D420" s="20" t="n">
        <v>4</v>
      </c>
      <c r="E420" s="20" t="n">
        <v>100</v>
      </c>
      <c r="F420" s="20" t="n">
        <v>246</v>
      </c>
      <c r="G420" s="20" t="n">
        <v>0</v>
      </c>
      <c r="H420" s="20" t="n">
        <v>0</v>
      </c>
      <c r="I420" s="20" t="n">
        <v>150</v>
      </c>
      <c r="J420" s="20" t="n">
        <v>1</v>
      </c>
      <c r="K420" s="21" t="n">
        <v>1</v>
      </c>
      <c r="L420" s="20" t="n">
        <v>2</v>
      </c>
      <c r="M420" s="20"/>
      <c r="N420" s="20"/>
      <c r="O420" s="20" t="n">
        <v>1</v>
      </c>
      <c r="P420" s="22" t="s">
        <v>105</v>
      </c>
    </row>
    <row r="421" customFormat="false" ht="15" hidden="false" customHeight="false" outlineLevel="0" collapsed="false">
      <c r="A421" s="19" t="n">
        <v>420</v>
      </c>
      <c r="B421" s="20" t="n">
        <v>38</v>
      </c>
      <c r="C421" s="20" t="n">
        <v>1</v>
      </c>
      <c r="D421" s="20" t="n">
        <v>4</v>
      </c>
      <c r="E421" s="20" t="n">
        <v>120</v>
      </c>
      <c r="F421" s="20" t="n">
        <v>282</v>
      </c>
      <c r="G421" s="20" t="n">
        <v>0</v>
      </c>
      <c r="H421" s="20" t="n">
        <v>0</v>
      </c>
      <c r="I421" s="20" t="n">
        <v>170</v>
      </c>
      <c r="J421" s="20" t="n">
        <v>0</v>
      </c>
      <c r="K421" s="21" t="n">
        <v>0</v>
      </c>
      <c r="L421" s="20"/>
      <c r="M421" s="20"/>
      <c r="N421" s="20"/>
      <c r="O421" s="20" t="n">
        <v>1</v>
      </c>
      <c r="P421" s="22" t="s">
        <v>105</v>
      </c>
    </row>
    <row r="422" customFormat="false" ht="15" hidden="false" customHeight="false" outlineLevel="0" collapsed="false">
      <c r="A422" s="19" t="n">
        <v>421</v>
      </c>
      <c r="B422" s="20" t="n">
        <v>59</v>
      </c>
      <c r="C422" s="20" t="n">
        <v>0</v>
      </c>
      <c r="D422" s="20" t="n">
        <v>4</v>
      </c>
      <c r="E422" s="20" t="n">
        <v>130</v>
      </c>
      <c r="F422" s="20" t="n">
        <v>338</v>
      </c>
      <c r="G422" s="20" t="n">
        <v>1</v>
      </c>
      <c r="H422" s="20" t="n">
        <v>1</v>
      </c>
      <c r="I422" s="20" t="n">
        <v>130</v>
      </c>
      <c r="J422" s="20" t="n">
        <v>1</v>
      </c>
      <c r="K422" s="21" t="n">
        <v>1.5</v>
      </c>
      <c r="L422" s="20" t="n">
        <v>2</v>
      </c>
      <c r="M422" s="20"/>
      <c r="N422" s="20"/>
      <c r="O422" s="20" t="n">
        <v>1</v>
      </c>
      <c r="P422" s="22" t="s">
        <v>105</v>
      </c>
    </row>
    <row r="423" customFormat="false" ht="15" hidden="false" customHeight="false" outlineLevel="0" collapsed="false">
      <c r="A423" s="19" t="n">
        <v>422</v>
      </c>
      <c r="B423" s="20" t="n">
        <v>35</v>
      </c>
      <c r="C423" s="20" t="n">
        <v>0</v>
      </c>
      <c r="D423" s="20" t="n">
        <v>1</v>
      </c>
      <c r="E423" s="20" t="n">
        <v>120</v>
      </c>
      <c r="F423" s="20" t="n">
        <v>160</v>
      </c>
      <c r="G423" s="20" t="n">
        <v>0</v>
      </c>
      <c r="H423" s="20" t="n">
        <v>1</v>
      </c>
      <c r="I423" s="20" t="n">
        <v>185</v>
      </c>
      <c r="J423" s="20" t="n">
        <v>0</v>
      </c>
      <c r="K423" s="21" t="n">
        <v>0</v>
      </c>
      <c r="L423" s="20"/>
      <c r="M423" s="20"/>
      <c r="N423" s="20"/>
      <c r="O423" s="20" t="n">
        <v>0</v>
      </c>
      <c r="P423" s="22" t="s">
        <v>105</v>
      </c>
    </row>
    <row r="424" customFormat="false" ht="15" hidden="false" customHeight="false" outlineLevel="0" collapsed="false">
      <c r="A424" s="19" t="n">
        <v>423</v>
      </c>
      <c r="B424" s="20" t="n">
        <v>34</v>
      </c>
      <c r="C424" s="20" t="n">
        <v>1</v>
      </c>
      <c r="D424" s="20" t="n">
        <v>1</v>
      </c>
      <c r="E424" s="20" t="n">
        <v>140</v>
      </c>
      <c r="F424" s="20" t="n">
        <v>156</v>
      </c>
      <c r="G424" s="20" t="n">
        <v>0</v>
      </c>
      <c r="H424" s="20" t="n">
        <v>0</v>
      </c>
      <c r="I424" s="20" t="n">
        <v>180</v>
      </c>
      <c r="J424" s="20" t="n">
        <v>0</v>
      </c>
      <c r="K424" s="21" t="n">
        <v>0</v>
      </c>
      <c r="L424" s="20"/>
      <c r="M424" s="20"/>
      <c r="N424" s="20"/>
      <c r="O424" s="20" t="n">
        <v>1</v>
      </c>
      <c r="P424" s="22" t="s">
        <v>105</v>
      </c>
    </row>
    <row r="425" customFormat="false" ht="15" hidden="false" customHeight="false" outlineLevel="0" collapsed="false">
      <c r="A425" s="19" t="n">
        <v>424</v>
      </c>
      <c r="B425" s="20" t="n">
        <v>47</v>
      </c>
      <c r="C425" s="20" t="n">
        <v>0</v>
      </c>
      <c r="D425" s="20" t="n">
        <v>3</v>
      </c>
      <c r="E425" s="20" t="n">
        <v>135</v>
      </c>
      <c r="F425" s="20" t="n">
        <v>248</v>
      </c>
      <c r="G425" s="20" t="n">
        <v>1</v>
      </c>
      <c r="H425" s="20" t="n">
        <v>0</v>
      </c>
      <c r="I425" s="20" t="n">
        <v>170</v>
      </c>
      <c r="J425" s="20" t="n">
        <v>0</v>
      </c>
      <c r="K425" s="21" t="n">
        <v>0</v>
      </c>
      <c r="L425" s="20"/>
      <c r="M425" s="20"/>
      <c r="N425" s="20"/>
      <c r="O425" s="20" t="n">
        <v>3</v>
      </c>
      <c r="P425" s="22" t="s">
        <v>105</v>
      </c>
    </row>
    <row r="426" customFormat="false" ht="15" hidden="false" customHeight="false" outlineLevel="0" collapsed="false">
      <c r="A426" s="19" t="n">
        <v>425</v>
      </c>
      <c r="B426" s="20" t="n">
        <v>52</v>
      </c>
      <c r="C426" s="20" t="n">
        <v>0</v>
      </c>
      <c r="D426" s="20" t="n">
        <v>3</v>
      </c>
      <c r="E426" s="20" t="n">
        <v>125</v>
      </c>
      <c r="F426" s="20" t="n">
        <v>272</v>
      </c>
      <c r="G426" s="20" t="n">
        <v>0</v>
      </c>
      <c r="H426" s="20" t="n">
        <v>0</v>
      </c>
      <c r="I426" s="20" t="n">
        <v>139</v>
      </c>
      <c r="J426" s="20" t="n">
        <v>0</v>
      </c>
      <c r="K426" s="21" t="n">
        <v>0</v>
      </c>
      <c r="L426" s="20"/>
      <c r="M426" s="20"/>
      <c r="N426" s="20"/>
      <c r="O426" s="20" t="n">
        <v>0</v>
      </c>
      <c r="P426" s="22" t="s">
        <v>105</v>
      </c>
    </row>
    <row r="427" customFormat="false" ht="15" hidden="false" customHeight="false" outlineLevel="0" collapsed="false">
      <c r="A427" s="19" t="n">
        <v>426</v>
      </c>
      <c r="B427" s="20" t="n">
        <v>46</v>
      </c>
      <c r="C427" s="20" t="n">
        <v>1</v>
      </c>
      <c r="D427" s="20" t="n">
        <v>4</v>
      </c>
      <c r="E427" s="20" t="n">
        <v>110</v>
      </c>
      <c r="F427" s="20" t="n">
        <v>240</v>
      </c>
      <c r="G427" s="20" t="n">
        <v>0</v>
      </c>
      <c r="H427" s="20" t="n">
        <v>1</v>
      </c>
      <c r="I427" s="20" t="n">
        <v>140</v>
      </c>
      <c r="J427" s="20" t="n">
        <v>0</v>
      </c>
      <c r="K427" s="21" t="n">
        <v>0</v>
      </c>
      <c r="L427" s="20"/>
      <c r="M427" s="20"/>
      <c r="N427" s="20" t="n">
        <v>3</v>
      </c>
      <c r="O427" s="20" t="n">
        <v>0</v>
      </c>
      <c r="P427" s="22" t="s">
        <v>105</v>
      </c>
    </row>
    <row r="428" customFormat="false" ht="15" hidden="false" customHeight="false" outlineLevel="0" collapsed="false">
      <c r="A428" s="19" t="n">
        <v>427</v>
      </c>
      <c r="B428" s="20" t="n">
        <v>58</v>
      </c>
      <c r="C428" s="20" t="n">
        <v>0</v>
      </c>
      <c r="D428" s="20" t="n">
        <v>2</v>
      </c>
      <c r="E428" s="20" t="n">
        <v>180</v>
      </c>
      <c r="F428" s="20" t="n">
        <v>393</v>
      </c>
      <c r="G428" s="20" t="n">
        <v>0</v>
      </c>
      <c r="H428" s="20" t="n">
        <v>0</v>
      </c>
      <c r="I428" s="20" t="n">
        <v>110</v>
      </c>
      <c r="J428" s="20" t="n">
        <v>1</v>
      </c>
      <c r="K428" s="21" t="n">
        <v>1</v>
      </c>
      <c r="L428" s="20" t="n">
        <v>2</v>
      </c>
      <c r="M428" s="20"/>
      <c r="N428" s="20" t="n">
        <v>7</v>
      </c>
      <c r="O428" s="20" t="n">
        <v>4</v>
      </c>
      <c r="P428" s="22" t="s">
        <v>105</v>
      </c>
    </row>
    <row r="429" customFormat="false" ht="15" hidden="false" customHeight="false" outlineLevel="0" collapsed="false">
      <c r="A429" s="19" t="n">
        <v>428</v>
      </c>
      <c r="B429" s="20" t="n">
        <v>58</v>
      </c>
      <c r="C429" s="20" t="n">
        <v>1</v>
      </c>
      <c r="D429" s="20" t="n">
        <v>2</v>
      </c>
      <c r="E429" s="20" t="n">
        <v>130</v>
      </c>
      <c r="F429" s="20" t="n">
        <v>230</v>
      </c>
      <c r="G429" s="20" t="n">
        <v>0</v>
      </c>
      <c r="H429" s="20" t="n">
        <v>0</v>
      </c>
      <c r="I429" s="20" t="n">
        <v>150</v>
      </c>
      <c r="J429" s="20" t="n">
        <v>0</v>
      </c>
      <c r="K429" s="21" t="n">
        <v>0</v>
      </c>
      <c r="L429" s="20"/>
      <c r="M429" s="20"/>
      <c r="N429" s="20"/>
      <c r="O429" s="20" t="n">
        <v>0</v>
      </c>
      <c r="P429" s="22" t="s">
        <v>105</v>
      </c>
    </row>
    <row r="430" customFormat="false" ht="15" hidden="false" customHeight="false" outlineLevel="0" collapsed="false">
      <c r="A430" s="19" t="n">
        <v>429</v>
      </c>
      <c r="B430" s="20" t="n">
        <v>54</v>
      </c>
      <c r="C430" s="20" t="n">
        <v>1</v>
      </c>
      <c r="D430" s="20" t="n">
        <v>2</v>
      </c>
      <c r="E430" s="20" t="n">
        <v>120</v>
      </c>
      <c r="F430" s="20" t="n">
        <v>246</v>
      </c>
      <c r="G430" s="20" t="n">
        <v>0</v>
      </c>
      <c r="H430" s="20" t="n">
        <v>0</v>
      </c>
      <c r="I430" s="20" t="n">
        <v>110</v>
      </c>
      <c r="J430" s="20" t="n">
        <v>0</v>
      </c>
      <c r="K430" s="21" t="n">
        <v>0</v>
      </c>
      <c r="L430" s="20"/>
      <c r="M430" s="20"/>
      <c r="N430" s="20"/>
      <c r="O430" s="20" t="n">
        <v>0</v>
      </c>
      <c r="P430" s="22" t="s">
        <v>105</v>
      </c>
    </row>
    <row r="431" customFormat="false" ht="15" hidden="false" customHeight="false" outlineLevel="0" collapsed="false">
      <c r="A431" s="19" t="n">
        <v>430</v>
      </c>
      <c r="B431" s="20" t="n">
        <v>34</v>
      </c>
      <c r="C431" s="20" t="n">
        <v>0</v>
      </c>
      <c r="D431" s="20" t="n">
        <v>2</v>
      </c>
      <c r="E431" s="20" t="n">
        <v>130</v>
      </c>
      <c r="F431" s="20" t="n">
        <v>161</v>
      </c>
      <c r="G431" s="20" t="n">
        <v>0</v>
      </c>
      <c r="H431" s="20" t="n">
        <v>0</v>
      </c>
      <c r="I431" s="20" t="n">
        <v>190</v>
      </c>
      <c r="J431" s="20" t="n">
        <v>0</v>
      </c>
      <c r="K431" s="21" t="n">
        <v>0</v>
      </c>
      <c r="L431" s="20"/>
      <c r="M431" s="20"/>
      <c r="N431" s="20"/>
      <c r="O431" s="20" t="n">
        <v>0</v>
      </c>
      <c r="P431" s="22" t="s">
        <v>105</v>
      </c>
    </row>
    <row r="432" customFormat="false" ht="15" hidden="false" customHeight="false" outlineLevel="0" collapsed="false">
      <c r="A432" s="19" t="n">
        <v>431</v>
      </c>
      <c r="B432" s="20" t="n">
        <v>48</v>
      </c>
      <c r="C432" s="20" t="n">
        <v>0</v>
      </c>
      <c r="D432" s="20" t="n">
        <v>4</v>
      </c>
      <c r="E432" s="20" t="n">
        <v>108</v>
      </c>
      <c r="F432" s="20" t="n">
        <v>163</v>
      </c>
      <c r="G432" s="20" t="n">
        <v>0</v>
      </c>
      <c r="H432" s="20" t="n">
        <v>0</v>
      </c>
      <c r="I432" s="20" t="n">
        <v>175</v>
      </c>
      <c r="J432" s="20" t="n">
        <v>0</v>
      </c>
      <c r="K432" s="21" t="n">
        <v>2</v>
      </c>
      <c r="L432" s="20" t="n">
        <v>1</v>
      </c>
      <c r="M432" s="20"/>
      <c r="N432" s="20"/>
      <c r="O432" s="20" t="n">
        <v>0</v>
      </c>
      <c r="P432" s="22" t="s">
        <v>105</v>
      </c>
    </row>
    <row r="433" customFormat="false" ht="15" hidden="false" customHeight="false" outlineLevel="0" collapsed="false">
      <c r="A433" s="19" t="n">
        <v>432</v>
      </c>
      <c r="B433" s="20" t="n">
        <v>54</v>
      </c>
      <c r="C433" s="20" t="n">
        <v>0</v>
      </c>
      <c r="D433" s="20" t="n">
        <v>2</v>
      </c>
      <c r="E433" s="20" t="n">
        <v>120</v>
      </c>
      <c r="F433" s="20" t="n">
        <v>230</v>
      </c>
      <c r="G433" s="20" t="n">
        <v>1</v>
      </c>
      <c r="H433" s="20" t="n">
        <v>0</v>
      </c>
      <c r="I433" s="20" t="n">
        <v>140</v>
      </c>
      <c r="J433" s="20" t="n">
        <v>0</v>
      </c>
      <c r="K433" s="21" t="n">
        <v>0</v>
      </c>
      <c r="L433" s="20"/>
      <c r="M433" s="20"/>
      <c r="N433" s="20"/>
      <c r="O433" s="20" t="n">
        <v>0</v>
      </c>
      <c r="P433" s="22" t="s">
        <v>105</v>
      </c>
    </row>
    <row r="434" customFormat="false" ht="15" hidden="false" customHeight="false" outlineLevel="0" collapsed="false">
      <c r="A434" s="19" t="n">
        <v>433</v>
      </c>
      <c r="B434" s="20" t="n">
        <v>42</v>
      </c>
      <c r="C434" s="20" t="n">
        <v>1</v>
      </c>
      <c r="D434" s="20" t="n">
        <v>3</v>
      </c>
      <c r="E434" s="20" t="n">
        <v>120</v>
      </c>
      <c r="F434" s="20" t="n">
        <v>228</v>
      </c>
      <c r="G434" s="20" t="n">
        <v>0</v>
      </c>
      <c r="H434" s="20" t="n">
        <v>0</v>
      </c>
      <c r="I434" s="20" t="n">
        <v>152</v>
      </c>
      <c r="J434" s="20" t="n">
        <v>1</v>
      </c>
      <c r="K434" s="21" t="n">
        <v>1.5</v>
      </c>
      <c r="L434" s="20" t="n">
        <v>2</v>
      </c>
      <c r="M434" s="20"/>
      <c r="N434" s="20"/>
      <c r="O434" s="20" t="n">
        <v>0</v>
      </c>
      <c r="P434" s="22" t="s">
        <v>105</v>
      </c>
    </row>
    <row r="435" customFormat="false" ht="15" hidden="false" customHeight="false" outlineLevel="0" collapsed="false">
      <c r="A435" s="19" t="n">
        <v>434</v>
      </c>
      <c r="B435" s="20" t="n">
        <v>38</v>
      </c>
      <c r="C435" s="20" t="n">
        <v>1</v>
      </c>
      <c r="D435" s="20" t="n">
        <v>3</v>
      </c>
      <c r="E435" s="20" t="n">
        <v>145</v>
      </c>
      <c r="F435" s="20" t="n">
        <v>292</v>
      </c>
      <c r="G435" s="20" t="n">
        <v>0</v>
      </c>
      <c r="H435" s="20" t="n">
        <v>0</v>
      </c>
      <c r="I435" s="20" t="n">
        <v>130</v>
      </c>
      <c r="J435" s="20" t="n">
        <v>0</v>
      </c>
      <c r="K435" s="21" t="n">
        <v>0</v>
      </c>
      <c r="L435" s="20"/>
      <c r="M435" s="20"/>
      <c r="N435" s="20"/>
      <c r="O435" s="20" t="n">
        <v>0</v>
      </c>
      <c r="P435" s="22" t="s">
        <v>105</v>
      </c>
    </row>
    <row r="436" customFormat="false" ht="15" hidden="false" customHeight="false" outlineLevel="0" collapsed="false">
      <c r="A436" s="19" t="n">
        <v>435</v>
      </c>
      <c r="B436" s="20" t="n">
        <v>46</v>
      </c>
      <c r="C436" s="20" t="n">
        <v>1</v>
      </c>
      <c r="D436" s="20" t="n">
        <v>4</v>
      </c>
      <c r="E436" s="20" t="n">
        <v>110</v>
      </c>
      <c r="F436" s="20" t="n">
        <v>202</v>
      </c>
      <c r="G436" s="20" t="n">
        <v>0</v>
      </c>
      <c r="H436" s="20" t="n">
        <v>0</v>
      </c>
      <c r="I436" s="20" t="n">
        <v>150</v>
      </c>
      <c r="J436" s="20" t="n">
        <v>1</v>
      </c>
      <c r="K436" s="21" t="n">
        <v>0</v>
      </c>
      <c r="L436" s="20"/>
      <c r="M436" s="20"/>
      <c r="N436" s="20"/>
      <c r="O436" s="20" t="n">
        <v>1</v>
      </c>
      <c r="P436" s="22" t="s">
        <v>105</v>
      </c>
    </row>
    <row r="437" customFormat="false" ht="15" hidden="false" customHeight="false" outlineLevel="0" collapsed="false">
      <c r="A437" s="19" t="n">
        <v>436</v>
      </c>
      <c r="B437" s="20" t="n">
        <v>56</v>
      </c>
      <c r="C437" s="20" t="n">
        <v>1</v>
      </c>
      <c r="D437" s="20" t="n">
        <v>4</v>
      </c>
      <c r="E437" s="20" t="n">
        <v>170</v>
      </c>
      <c r="F437" s="20" t="n">
        <v>388</v>
      </c>
      <c r="G437" s="20" t="n">
        <v>0</v>
      </c>
      <c r="H437" s="20" t="n">
        <v>1</v>
      </c>
      <c r="I437" s="20" t="n">
        <v>122</v>
      </c>
      <c r="J437" s="20" t="n">
        <v>1</v>
      </c>
      <c r="K437" s="21" t="n">
        <v>2</v>
      </c>
      <c r="L437" s="20" t="n">
        <v>2</v>
      </c>
      <c r="M437" s="20"/>
      <c r="N437" s="20"/>
      <c r="O437" s="20" t="n">
        <v>3</v>
      </c>
      <c r="P437" s="22" t="s">
        <v>105</v>
      </c>
    </row>
    <row r="438" customFormat="false" ht="15" hidden="false" customHeight="false" outlineLevel="0" collapsed="false">
      <c r="A438" s="19" t="n">
        <v>437</v>
      </c>
      <c r="B438" s="20" t="n">
        <v>56</v>
      </c>
      <c r="C438" s="20" t="n">
        <v>1</v>
      </c>
      <c r="D438" s="20" t="n">
        <v>4</v>
      </c>
      <c r="E438" s="20" t="n">
        <v>150</v>
      </c>
      <c r="F438" s="20" t="n">
        <v>230</v>
      </c>
      <c r="G438" s="20" t="n">
        <v>0</v>
      </c>
      <c r="H438" s="20" t="n">
        <v>1</v>
      </c>
      <c r="I438" s="20" t="n">
        <v>124</v>
      </c>
      <c r="J438" s="20" t="n">
        <v>1</v>
      </c>
      <c r="K438" s="21" t="n">
        <v>1.5</v>
      </c>
      <c r="L438" s="20" t="n">
        <v>2</v>
      </c>
      <c r="M438" s="20"/>
      <c r="N438" s="20"/>
      <c r="O438" s="20" t="n">
        <v>3</v>
      </c>
      <c r="P438" s="22" t="s">
        <v>105</v>
      </c>
    </row>
    <row r="439" customFormat="false" ht="15" hidden="false" customHeight="false" outlineLevel="0" collapsed="false">
      <c r="A439" s="19" t="n">
        <v>438</v>
      </c>
      <c r="B439" s="20" t="n">
        <v>61</v>
      </c>
      <c r="C439" s="20" t="n">
        <v>0</v>
      </c>
      <c r="D439" s="20" t="n">
        <v>4</v>
      </c>
      <c r="E439" s="20" t="n">
        <v>130</v>
      </c>
      <c r="F439" s="20" t="n">
        <v>294</v>
      </c>
      <c r="G439" s="20" t="n">
        <v>0</v>
      </c>
      <c r="H439" s="20" t="n">
        <v>1</v>
      </c>
      <c r="I439" s="20" t="n">
        <v>120</v>
      </c>
      <c r="J439" s="20" t="n">
        <v>1</v>
      </c>
      <c r="K439" s="21" t="n">
        <v>1</v>
      </c>
      <c r="L439" s="20" t="n">
        <v>2</v>
      </c>
      <c r="M439" s="20"/>
      <c r="N439" s="20"/>
      <c r="O439" s="20" t="n">
        <v>0</v>
      </c>
      <c r="P439" s="22" t="s">
        <v>105</v>
      </c>
    </row>
    <row r="440" customFormat="false" ht="15" hidden="false" customHeight="false" outlineLevel="0" collapsed="false">
      <c r="A440" s="19" t="n">
        <v>439</v>
      </c>
      <c r="B440" s="20" t="n">
        <v>49</v>
      </c>
      <c r="C440" s="20" t="n">
        <v>1</v>
      </c>
      <c r="D440" s="20" t="n">
        <v>3</v>
      </c>
      <c r="E440" s="20" t="n">
        <v>115</v>
      </c>
      <c r="F440" s="20" t="n">
        <v>265</v>
      </c>
      <c r="G440" s="20" t="n">
        <v>0</v>
      </c>
      <c r="H440" s="20" t="n">
        <v>0</v>
      </c>
      <c r="I440" s="20" t="n">
        <v>175</v>
      </c>
      <c r="J440" s="20" t="n">
        <v>0</v>
      </c>
      <c r="K440" s="21" t="n">
        <v>0</v>
      </c>
      <c r="L440" s="20"/>
      <c r="M440" s="20"/>
      <c r="N440" s="20"/>
      <c r="O440" s="20" t="n">
        <v>1</v>
      </c>
      <c r="P440" s="22" t="s">
        <v>105</v>
      </c>
    </row>
    <row r="441" customFormat="false" ht="15" hidden="false" customHeight="false" outlineLevel="0" collapsed="false">
      <c r="A441" s="19" t="n">
        <v>440</v>
      </c>
      <c r="B441" s="20" t="n">
        <v>43</v>
      </c>
      <c r="C441" s="20" t="n">
        <v>0</v>
      </c>
      <c r="D441" s="20" t="n">
        <v>2</v>
      </c>
      <c r="E441" s="20" t="n">
        <v>120</v>
      </c>
      <c r="F441" s="20" t="n">
        <v>215</v>
      </c>
      <c r="G441" s="20" t="n">
        <v>0</v>
      </c>
      <c r="H441" s="20" t="n">
        <v>1</v>
      </c>
      <c r="I441" s="20" t="n">
        <v>175</v>
      </c>
      <c r="J441" s="20" t="n">
        <v>0</v>
      </c>
      <c r="K441" s="21" t="n">
        <v>0</v>
      </c>
      <c r="L441" s="20"/>
      <c r="M441" s="20"/>
      <c r="N441" s="20"/>
      <c r="O441" s="20" t="n">
        <v>0</v>
      </c>
      <c r="P441" s="22" t="s">
        <v>105</v>
      </c>
    </row>
    <row r="442" customFormat="false" ht="15" hidden="false" customHeight="false" outlineLevel="0" collapsed="false">
      <c r="A442" s="19" t="n">
        <v>441</v>
      </c>
      <c r="B442" s="20" t="n">
        <v>39</v>
      </c>
      <c r="C442" s="20" t="n">
        <v>1</v>
      </c>
      <c r="D442" s="20" t="n">
        <v>2</v>
      </c>
      <c r="E442" s="20" t="n">
        <v>120</v>
      </c>
      <c r="F442" s="20"/>
      <c r="G442" s="20" t="n">
        <v>0</v>
      </c>
      <c r="H442" s="20" t="n">
        <v>1</v>
      </c>
      <c r="I442" s="20" t="n">
        <v>146</v>
      </c>
      <c r="J442" s="20" t="n">
        <v>0</v>
      </c>
      <c r="K442" s="21" t="n">
        <v>2</v>
      </c>
      <c r="L442" s="20" t="n">
        <v>1</v>
      </c>
      <c r="M442" s="20"/>
      <c r="N442" s="20"/>
      <c r="O442" s="20" t="n">
        <v>0</v>
      </c>
      <c r="P442" s="22" t="s">
        <v>105</v>
      </c>
    </row>
    <row r="443" customFormat="false" ht="15" hidden="false" customHeight="false" outlineLevel="0" collapsed="false">
      <c r="A443" s="19" t="n">
        <v>442</v>
      </c>
      <c r="B443" s="20" t="n">
        <v>54</v>
      </c>
      <c r="C443" s="20" t="n">
        <v>1</v>
      </c>
      <c r="D443" s="20" t="n">
        <v>4</v>
      </c>
      <c r="E443" s="20" t="n">
        <v>140</v>
      </c>
      <c r="F443" s="20"/>
      <c r="G443" s="20" t="n">
        <v>0</v>
      </c>
      <c r="H443" s="20" t="n">
        <v>0</v>
      </c>
      <c r="I443" s="20" t="n">
        <v>118</v>
      </c>
      <c r="J443" s="20" t="n">
        <v>1</v>
      </c>
      <c r="K443" s="21" t="n">
        <v>0</v>
      </c>
      <c r="L443" s="20"/>
      <c r="M443" s="20"/>
      <c r="N443" s="20"/>
      <c r="O443" s="20" t="n">
        <v>2</v>
      </c>
      <c r="P443" s="22" t="s">
        <v>105</v>
      </c>
    </row>
    <row r="444" customFormat="false" ht="15" hidden="false" customHeight="false" outlineLevel="0" collapsed="false">
      <c r="A444" s="19" t="n">
        <v>443</v>
      </c>
      <c r="B444" s="20" t="n">
        <v>43</v>
      </c>
      <c r="C444" s="20" t="n">
        <v>1</v>
      </c>
      <c r="D444" s="20" t="n">
        <v>4</v>
      </c>
      <c r="E444" s="20" t="n">
        <v>150</v>
      </c>
      <c r="F444" s="20" t="n">
        <v>247</v>
      </c>
      <c r="G444" s="20" t="n">
        <v>0</v>
      </c>
      <c r="H444" s="20" t="n">
        <v>0</v>
      </c>
      <c r="I444" s="20" t="n">
        <v>130</v>
      </c>
      <c r="J444" s="20" t="n">
        <v>1</v>
      </c>
      <c r="K444" s="21" t="n">
        <v>2</v>
      </c>
      <c r="L444" s="20" t="n">
        <v>2</v>
      </c>
      <c r="M444" s="20"/>
      <c r="N444" s="20"/>
      <c r="O444" s="20" t="n">
        <v>1</v>
      </c>
      <c r="P444" s="22" t="s">
        <v>105</v>
      </c>
    </row>
    <row r="445" customFormat="false" ht="15" hidden="false" customHeight="false" outlineLevel="0" collapsed="false">
      <c r="A445" s="19" t="n">
        <v>444</v>
      </c>
      <c r="B445" s="20" t="n">
        <v>52</v>
      </c>
      <c r="C445" s="20" t="n">
        <v>1</v>
      </c>
      <c r="D445" s="20" t="n">
        <v>4</v>
      </c>
      <c r="E445" s="20" t="n">
        <v>160</v>
      </c>
      <c r="F445" s="20" t="n">
        <v>331</v>
      </c>
      <c r="G445" s="20" t="n">
        <v>0</v>
      </c>
      <c r="H445" s="20" t="n">
        <v>0</v>
      </c>
      <c r="I445" s="20" t="n">
        <v>94</v>
      </c>
      <c r="J445" s="20" t="n">
        <v>1</v>
      </c>
      <c r="K445" s="21" t="n">
        <v>2.5</v>
      </c>
      <c r="L445" s="20"/>
      <c r="M445" s="20"/>
      <c r="N445" s="20"/>
      <c r="O445" s="20" t="n">
        <v>4</v>
      </c>
      <c r="P445" s="22" t="s">
        <v>105</v>
      </c>
    </row>
    <row r="446" customFormat="false" ht="15" hidden="false" customHeight="false" outlineLevel="0" collapsed="false">
      <c r="A446" s="19" t="n">
        <v>445</v>
      </c>
      <c r="B446" s="20" t="n">
        <v>50</v>
      </c>
      <c r="C446" s="20" t="n">
        <v>1</v>
      </c>
      <c r="D446" s="20" t="n">
        <v>4</v>
      </c>
      <c r="E446" s="20" t="n">
        <v>140</v>
      </c>
      <c r="F446" s="20" t="n">
        <v>341</v>
      </c>
      <c r="G446" s="20" t="n">
        <v>0</v>
      </c>
      <c r="H446" s="20" t="n">
        <v>1</v>
      </c>
      <c r="I446" s="20" t="n">
        <v>125</v>
      </c>
      <c r="J446" s="20" t="n">
        <v>1</v>
      </c>
      <c r="K446" s="21" t="n">
        <v>2.5</v>
      </c>
      <c r="L446" s="20" t="n">
        <v>2</v>
      </c>
      <c r="M446" s="20"/>
      <c r="N446" s="20"/>
      <c r="O446" s="20" t="n">
        <v>4</v>
      </c>
      <c r="P446" s="22" t="s">
        <v>105</v>
      </c>
    </row>
    <row r="447" customFormat="false" ht="15" hidden="false" customHeight="false" outlineLevel="0" collapsed="false">
      <c r="A447" s="19" t="n">
        <v>446</v>
      </c>
      <c r="B447" s="20" t="n">
        <v>47</v>
      </c>
      <c r="C447" s="20" t="n">
        <v>1</v>
      </c>
      <c r="D447" s="20" t="n">
        <v>4</v>
      </c>
      <c r="E447" s="20" t="n">
        <v>160</v>
      </c>
      <c r="F447" s="20" t="n">
        <v>291</v>
      </c>
      <c r="G447" s="20" t="n">
        <v>0</v>
      </c>
      <c r="H447" s="20" t="n">
        <v>1</v>
      </c>
      <c r="I447" s="20" t="n">
        <v>158</v>
      </c>
      <c r="J447" s="20" t="n">
        <v>1</v>
      </c>
      <c r="K447" s="21" t="n">
        <v>3</v>
      </c>
      <c r="L447" s="20" t="n">
        <v>2</v>
      </c>
      <c r="M447" s="20"/>
      <c r="N447" s="20"/>
      <c r="O447" s="20" t="n">
        <v>4</v>
      </c>
      <c r="P447" s="22" t="s">
        <v>105</v>
      </c>
    </row>
    <row r="448" customFormat="false" ht="15" hidden="false" customHeight="false" outlineLevel="0" collapsed="false">
      <c r="A448" s="19" t="n">
        <v>447</v>
      </c>
      <c r="B448" s="20" t="n">
        <v>53</v>
      </c>
      <c r="C448" s="20" t="n">
        <v>1</v>
      </c>
      <c r="D448" s="20" t="n">
        <v>4</v>
      </c>
      <c r="E448" s="20" t="n">
        <v>140</v>
      </c>
      <c r="F448" s="20" t="n">
        <v>243</v>
      </c>
      <c r="G448" s="20" t="n">
        <v>0</v>
      </c>
      <c r="H448" s="20" t="n">
        <v>0</v>
      </c>
      <c r="I448" s="20" t="n">
        <v>155</v>
      </c>
      <c r="J448" s="20" t="n">
        <v>0</v>
      </c>
      <c r="K448" s="21" t="n">
        <v>0</v>
      </c>
      <c r="L448" s="20"/>
      <c r="M448" s="20"/>
      <c r="N448" s="20"/>
      <c r="O448" s="20" t="n">
        <v>0</v>
      </c>
      <c r="P448" s="22" t="s">
        <v>105</v>
      </c>
    </row>
    <row r="449" customFormat="false" ht="15" hidden="false" customHeight="false" outlineLevel="0" collapsed="false">
      <c r="A449" s="19" t="n">
        <v>448</v>
      </c>
      <c r="B449" s="20" t="n">
        <v>56</v>
      </c>
      <c r="C449" s="20" t="n">
        <v>0</v>
      </c>
      <c r="D449" s="20" t="n">
        <v>2</v>
      </c>
      <c r="E449" s="20" t="n">
        <v>120</v>
      </c>
      <c r="F449" s="20" t="n">
        <v>279</v>
      </c>
      <c r="G449" s="20" t="n">
        <v>0</v>
      </c>
      <c r="H449" s="20" t="n">
        <v>0</v>
      </c>
      <c r="I449" s="20" t="n">
        <v>150</v>
      </c>
      <c r="J449" s="20" t="n">
        <v>0</v>
      </c>
      <c r="K449" s="21" t="n">
        <v>1</v>
      </c>
      <c r="L449" s="20" t="n">
        <v>2</v>
      </c>
      <c r="M449" s="20"/>
      <c r="N449" s="20"/>
      <c r="O449" s="20" t="n">
        <v>3</v>
      </c>
      <c r="P449" s="22" t="s">
        <v>105</v>
      </c>
    </row>
    <row r="450" customFormat="false" ht="15" hidden="false" customHeight="false" outlineLevel="0" collapsed="false">
      <c r="A450" s="19" t="n">
        <v>449</v>
      </c>
      <c r="B450" s="20" t="n">
        <v>39</v>
      </c>
      <c r="C450" s="20" t="n">
        <v>1</v>
      </c>
      <c r="D450" s="20" t="n">
        <v>4</v>
      </c>
      <c r="E450" s="20" t="n">
        <v>110</v>
      </c>
      <c r="F450" s="20" t="n">
        <v>273</v>
      </c>
      <c r="G450" s="20" t="n">
        <v>0</v>
      </c>
      <c r="H450" s="20" t="n">
        <v>0</v>
      </c>
      <c r="I450" s="20" t="n">
        <v>132</v>
      </c>
      <c r="J450" s="20" t="n">
        <v>0</v>
      </c>
      <c r="K450" s="21" t="n">
        <v>0</v>
      </c>
      <c r="L450" s="20"/>
      <c r="M450" s="20"/>
      <c r="N450" s="20"/>
      <c r="O450" s="20" t="n">
        <v>0</v>
      </c>
      <c r="P450" s="22" t="s">
        <v>105</v>
      </c>
    </row>
    <row r="451" customFormat="false" ht="15" hidden="false" customHeight="false" outlineLevel="0" collapsed="false">
      <c r="A451" s="19" t="n">
        <v>450</v>
      </c>
      <c r="B451" s="20" t="n">
        <v>42</v>
      </c>
      <c r="C451" s="20" t="n">
        <v>1</v>
      </c>
      <c r="D451" s="20" t="n">
        <v>2</v>
      </c>
      <c r="E451" s="20" t="n">
        <v>120</v>
      </c>
      <c r="F451" s="20" t="n">
        <v>198</v>
      </c>
      <c r="G451" s="20" t="n">
        <v>0</v>
      </c>
      <c r="H451" s="20" t="n">
        <v>0</v>
      </c>
      <c r="I451" s="20" t="n">
        <v>155</v>
      </c>
      <c r="J451" s="20" t="n">
        <v>0</v>
      </c>
      <c r="K451" s="21" t="n">
        <v>0</v>
      </c>
      <c r="L451" s="20"/>
      <c r="M451" s="20"/>
      <c r="N451" s="20"/>
      <c r="O451" s="20" t="n">
        <v>0</v>
      </c>
      <c r="P451" s="22" t="s">
        <v>105</v>
      </c>
    </row>
    <row r="452" customFormat="false" ht="15" hidden="false" customHeight="false" outlineLevel="0" collapsed="false">
      <c r="A452" s="19" t="n">
        <v>451</v>
      </c>
      <c r="B452" s="20" t="n">
        <v>43</v>
      </c>
      <c r="C452" s="20" t="n">
        <v>0</v>
      </c>
      <c r="D452" s="20" t="n">
        <v>2</v>
      </c>
      <c r="E452" s="20" t="n">
        <v>120</v>
      </c>
      <c r="F452" s="20" t="n">
        <v>249</v>
      </c>
      <c r="G452" s="20" t="n">
        <v>0</v>
      </c>
      <c r="H452" s="20" t="n">
        <v>1</v>
      </c>
      <c r="I452" s="20" t="n">
        <v>176</v>
      </c>
      <c r="J452" s="20" t="n">
        <v>0</v>
      </c>
      <c r="K452" s="21" t="n">
        <v>0</v>
      </c>
      <c r="L452" s="20"/>
      <c r="M452" s="20"/>
      <c r="N452" s="20"/>
      <c r="O452" s="20" t="n">
        <v>0</v>
      </c>
      <c r="P452" s="22" t="s">
        <v>105</v>
      </c>
    </row>
    <row r="453" customFormat="false" ht="15" hidden="false" customHeight="false" outlineLevel="0" collapsed="false">
      <c r="A453" s="19" t="n">
        <v>452</v>
      </c>
      <c r="B453" s="20" t="n">
        <v>50</v>
      </c>
      <c r="C453" s="20" t="n">
        <v>1</v>
      </c>
      <c r="D453" s="20" t="n">
        <v>2</v>
      </c>
      <c r="E453" s="20" t="n">
        <v>120</v>
      </c>
      <c r="F453" s="20" t="n">
        <v>168</v>
      </c>
      <c r="G453" s="20" t="n">
        <v>0</v>
      </c>
      <c r="H453" s="20" t="n">
        <v>0</v>
      </c>
      <c r="I453" s="20" t="n">
        <v>160</v>
      </c>
      <c r="J453" s="20" t="n">
        <v>0</v>
      </c>
      <c r="K453" s="21" t="n">
        <v>0</v>
      </c>
      <c r="L453" s="20"/>
      <c r="M453" s="20" t="n">
        <v>0</v>
      </c>
      <c r="N453" s="20"/>
      <c r="O453" s="20" t="n">
        <v>0</v>
      </c>
      <c r="P453" s="22" t="s">
        <v>105</v>
      </c>
    </row>
    <row r="454" customFormat="false" ht="15" hidden="false" customHeight="false" outlineLevel="0" collapsed="false">
      <c r="A454" s="19" t="n">
        <v>453</v>
      </c>
      <c r="B454" s="20" t="n">
        <v>54</v>
      </c>
      <c r="C454" s="20" t="n">
        <v>1</v>
      </c>
      <c r="D454" s="20" t="n">
        <v>4</v>
      </c>
      <c r="E454" s="20" t="n">
        <v>130</v>
      </c>
      <c r="F454" s="20" t="n">
        <v>603</v>
      </c>
      <c r="G454" s="20" t="n">
        <v>1</v>
      </c>
      <c r="H454" s="20" t="n">
        <v>0</v>
      </c>
      <c r="I454" s="20" t="n">
        <v>125</v>
      </c>
      <c r="J454" s="20" t="n">
        <v>1</v>
      </c>
      <c r="K454" s="21" t="n">
        <v>1</v>
      </c>
      <c r="L454" s="20" t="n">
        <v>2</v>
      </c>
      <c r="M454" s="20"/>
      <c r="N454" s="20"/>
      <c r="O454" s="20" t="n">
        <v>2</v>
      </c>
      <c r="P454" s="22" t="s">
        <v>105</v>
      </c>
    </row>
    <row r="455" customFormat="false" ht="15" hidden="false" customHeight="false" outlineLevel="0" collapsed="false">
      <c r="A455" s="19" t="n">
        <v>454</v>
      </c>
      <c r="B455" s="20" t="n">
        <v>39</v>
      </c>
      <c r="C455" s="20" t="n">
        <v>1</v>
      </c>
      <c r="D455" s="20" t="n">
        <v>2</v>
      </c>
      <c r="E455" s="20" t="n">
        <v>130</v>
      </c>
      <c r="F455" s="20"/>
      <c r="G455" s="20" t="n">
        <v>0</v>
      </c>
      <c r="H455" s="20" t="n">
        <v>0</v>
      </c>
      <c r="I455" s="20" t="n">
        <v>120</v>
      </c>
      <c r="J455" s="20" t="n">
        <v>0</v>
      </c>
      <c r="K455" s="21" t="n">
        <v>0</v>
      </c>
      <c r="L455" s="20"/>
      <c r="M455" s="20"/>
      <c r="N455" s="20"/>
      <c r="O455" s="20" t="n">
        <v>0</v>
      </c>
      <c r="P455" s="22" t="s">
        <v>105</v>
      </c>
    </row>
    <row r="456" customFormat="false" ht="15" hidden="false" customHeight="false" outlineLevel="0" collapsed="false">
      <c r="A456" s="19" t="n">
        <v>455</v>
      </c>
      <c r="B456" s="20" t="n">
        <v>48</v>
      </c>
      <c r="C456" s="20" t="n">
        <v>1</v>
      </c>
      <c r="D456" s="20" t="n">
        <v>2</v>
      </c>
      <c r="E456" s="20" t="n">
        <v>100</v>
      </c>
      <c r="F456" s="20"/>
      <c r="G456" s="20" t="n">
        <v>0</v>
      </c>
      <c r="H456" s="20" t="n">
        <v>0</v>
      </c>
      <c r="I456" s="20" t="n">
        <v>100</v>
      </c>
      <c r="J456" s="20" t="n">
        <v>0</v>
      </c>
      <c r="K456" s="21" t="n">
        <v>0</v>
      </c>
      <c r="L456" s="20"/>
      <c r="M456" s="20"/>
      <c r="N456" s="20"/>
      <c r="O456" s="20" t="n">
        <v>0</v>
      </c>
      <c r="P456" s="22" t="s">
        <v>105</v>
      </c>
    </row>
    <row r="457" customFormat="false" ht="15" hidden="false" customHeight="false" outlineLevel="0" collapsed="false">
      <c r="A457" s="19" t="n">
        <v>456</v>
      </c>
      <c r="B457" s="20" t="n">
        <v>40</v>
      </c>
      <c r="C457" s="20" t="n">
        <v>1</v>
      </c>
      <c r="D457" s="20" t="n">
        <v>2</v>
      </c>
      <c r="E457" s="20" t="n">
        <v>130</v>
      </c>
      <c r="F457" s="20" t="n">
        <v>275</v>
      </c>
      <c r="G457" s="20" t="n">
        <v>0</v>
      </c>
      <c r="H457" s="20" t="n">
        <v>0</v>
      </c>
      <c r="I457" s="20" t="n">
        <v>150</v>
      </c>
      <c r="J457" s="20" t="n">
        <v>0</v>
      </c>
      <c r="K457" s="21" t="n">
        <v>0</v>
      </c>
      <c r="L457" s="20"/>
      <c r="M457" s="20"/>
      <c r="N457" s="20"/>
      <c r="O457" s="20" t="n">
        <v>0</v>
      </c>
      <c r="P457" s="22" t="s">
        <v>105</v>
      </c>
    </row>
    <row r="458" customFormat="false" ht="15" hidden="false" customHeight="false" outlineLevel="0" collapsed="false">
      <c r="A458" s="19" t="n">
        <v>457</v>
      </c>
      <c r="B458" s="20" t="n">
        <v>55</v>
      </c>
      <c r="C458" s="20" t="n">
        <v>1</v>
      </c>
      <c r="D458" s="20" t="n">
        <v>4</v>
      </c>
      <c r="E458" s="20" t="n">
        <v>120</v>
      </c>
      <c r="F458" s="20" t="n">
        <v>270</v>
      </c>
      <c r="G458" s="20" t="n">
        <v>0</v>
      </c>
      <c r="H458" s="20" t="n">
        <v>0</v>
      </c>
      <c r="I458" s="20" t="n">
        <v>140</v>
      </c>
      <c r="J458" s="20" t="n">
        <v>0</v>
      </c>
      <c r="K458" s="21" t="n">
        <v>0</v>
      </c>
      <c r="L458" s="20"/>
      <c r="M458" s="20"/>
      <c r="N458" s="20"/>
      <c r="O458" s="20" t="n">
        <v>0</v>
      </c>
      <c r="P458" s="22" t="s">
        <v>105</v>
      </c>
    </row>
    <row r="459" customFormat="false" ht="15" hidden="false" customHeight="false" outlineLevel="0" collapsed="false">
      <c r="A459" s="19" t="n">
        <v>458</v>
      </c>
      <c r="B459" s="20" t="n">
        <v>41</v>
      </c>
      <c r="C459" s="20" t="n">
        <v>1</v>
      </c>
      <c r="D459" s="20" t="n">
        <v>2</v>
      </c>
      <c r="E459" s="20" t="n">
        <v>120</v>
      </c>
      <c r="F459" s="20" t="n">
        <v>291</v>
      </c>
      <c r="G459" s="20" t="n">
        <v>0</v>
      </c>
      <c r="H459" s="20" t="n">
        <v>1</v>
      </c>
      <c r="I459" s="20" t="n">
        <v>160</v>
      </c>
      <c r="J459" s="20" t="n">
        <v>0</v>
      </c>
      <c r="K459" s="21" t="n">
        <v>0</v>
      </c>
      <c r="L459" s="20"/>
      <c r="M459" s="20"/>
      <c r="N459" s="20"/>
      <c r="O459" s="20" t="n">
        <v>0</v>
      </c>
      <c r="P459" s="22" t="s">
        <v>105</v>
      </c>
    </row>
    <row r="460" customFormat="false" ht="15" hidden="false" customHeight="false" outlineLevel="0" collapsed="false">
      <c r="A460" s="19" t="n">
        <v>459</v>
      </c>
      <c r="B460" s="20" t="n">
        <v>56</v>
      </c>
      <c r="C460" s="20" t="n">
        <v>1</v>
      </c>
      <c r="D460" s="20" t="n">
        <v>4</v>
      </c>
      <c r="E460" s="20" t="n">
        <v>155</v>
      </c>
      <c r="F460" s="20" t="n">
        <v>342</v>
      </c>
      <c r="G460" s="20" t="n">
        <v>1</v>
      </c>
      <c r="H460" s="20" t="n">
        <v>0</v>
      </c>
      <c r="I460" s="20" t="n">
        <v>150</v>
      </c>
      <c r="J460" s="20" t="n">
        <v>1</v>
      </c>
      <c r="K460" s="21" t="n">
        <v>3</v>
      </c>
      <c r="L460" s="20" t="n">
        <v>2</v>
      </c>
      <c r="M460" s="20"/>
      <c r="N460" s="20"/>
      <c r="O460" s="20" t="n">
        <v>4</v>
      </c>
      <c r="P460" s="22" t="s">
        <v>105</v>
      </c>
    </row>
    <row r="461" customFormat="false" ht="15" hidden="false" customHeight="false" outlineLevel="0" collapsed="false">
      <c r="A461" s="19" t="n">
        <v>460</v>
      </c>
      <c r="B461" s="20" t="n">
        <v>38</v>
      </c>
      <c r="C461" s="20" t="n">
        <v>1</v>
      </c>
      <c r="D461" s="20" t="n">
        <v>4</v>
      </c>
      <c r="E461" s="20" t="n">
        <v>110</v>
      </c>
      <c r="F461" s="20"/>
      <c r="G461" s="20" t="n">
        <v>0</v>
      </c>
      <c r="H461" s="20" t="n">
        <v>0</v>
      </c>
      <c r="I461" s="20" t="n">
        <v>150</v>
      </c>
      <c r="J461" s="20" t="n">
        <v>1</v>
      </c>
      <c r="K461" s="21" t="n">
        <v>1</v>
      </c>
      <c r="L461" s="20" t="n">
        <v>2</v>
      </c>
      <c r="M461" s="20"/>
      <c r="N461" s="20"/>
      <c r="O461" s="20" t="n">
        <v>2</v>
      </c>
      <c r="P461" s="22" t="s">
        <v>105</v>
      </c>
    </row>
    <row r="462" customFormat="false" ht="15" hidden="false" customHeight="false" outlineLevel="0" collapsed="false">
      <c r="A462" s="19" t="n">
        <v>461</v>
      </c>
      <c r="B462" s="20" t="n">
        <v>49</v>
      </c>
      <c r="C462" s="20" t="n">
        <v>1</v>
      </c>
      <c r="D462" s="20" t="n">
        <v>4</v>
      </c>
      <c r="E462" s="20" t="n">
        <v>140</v>
      </c>
      <c r="F462" s="20"/>
      <c r="G462" s="20" t="n">
        <v>0</v>
      </c>
      <c r="H462" s="20" t="n">
        <v>0</v>
      </c>
      <c r="I462" s="20" t="n">
        <v>130</v>
      </c>
      <c r="J462" s="20" t="n">
        <v>0</v>
      </c>
      <c r="K462" s="21" t="n">
        <v>0</v>
      </c>
      <c r="L462" s="20"/>
      <c r="M462" s="20"/>
      <c r="N462" s="20"/>
      <c r="O462" s="20" t="n">
        <v>0</v>
      </c>
      <c r="P462" s="22" t="s">
        <v>105</v>
      </c>
    </row>
    <row r="463" customFormat="false" ht="15" hidden="false" customHeight="false" outlineLevel="0" collapsed="false">
      <c r="A463" s="19" t="n">
        <v>462</v>
      </c>
      <c r="B463" s="20" t="n">
        <v>44</v>
      </c>
      <c r="C463" s="20" t="n">
        <v>1</v>
      </c>
      <c r="D463" s="20" t="n">
        <v>4</v>
      </c>
      <c r="E463" s="20" t="n">
        <v>130</v>
      </c>
      <c r="F463" s="20" t="n">
        <v>290</v>
      </c>
      <c r="G463" s="20" t="n">
        <v>0</v>
      </c>
      <c r="H463" s="20" t="n">
        <v>0</v>
      </c>
      <c r="I463" s="20" t="n">
        <v>100</v>
      </c>
      <c r="J463" s="20" t="n">
        <v>1</v>
      </c>
      <c r="K463" s="21" t="n">
        <v>2</v>
      </c>
      <c r="L463" s="20" t="n">
        <v>2</v>
      </c>
      <c r="M463" s="20"/>
      <c r="N463" s="20"/>
      <c r="O463" s="20" t="n">
        <v>3</v>
      </c>
      <c r="P463" s="22" t="s">
        <v>105</v>
      </c>
    </row>
    <row r="464" customFormat="false" ht="15" hidden="false" customHeight="false" outlineLevel="0" collapsed="false">
      <c r="A464" s="19" t="n">
        <v>463</v>
      </c>
      <c r="B464" s="20" t="n">
        <v>54</v>
      </c>
      <c r="C464" s="20" t="n">
        <v>1</v>
      </c>
      <c r="D464" s="20" t="n">
        <v>2</v>
      </c>
      <c r="E464" s="20" t="n">
        <v>160</v>
      </c>
      <c r="F464" s="20" t="n">
        <v>195</v>
      </c>
      <c r="G464" s="20" t="n">
        <v>0</v>
      </c>
      <c r="H464" s="20" t="n">
        <v>1</v>
      </c>
      <c r="I464" s="20" t="n">
        <v>130</v>
      </c>
      <c r="J464" s="20" t="n">
        <v>0</v>
      </c>
      <c r="K464" s="21" t="n">
        <v>1</v>
      </c>
      <c r="L464" s="20" t="n">
        <v>1</v>
      </c>
      <c r="M464" s="20"/>
      <c r="N464" s="20"/>
      <c r="O464" s="20" t="n">
        <v>0</v>
      </c>
      <c r="P464" s="22" t="s">
        <v>105</v>
      </c>
    </row>
    <row r="465" customFormat="false" ht="15" hidden="false" customHeight="false" outlineLevel="0" collapsed="false">
      <c r="A465" s="19" t="n">
        <v>464</v>
      </c>
      <c r="B465" s="20" t="n">
        <v>59</v>
      </c>
      <c r="C465" s="20" t="n">
        <v>1</v>
      </c>
      <c r="D465" s="20" t="n">
        <v>4</v>
      </c>
      <c r="E465" s="20" t="n">
        <v>140</v>
      </c>
      <c r="F465" s="20" t="n">
        <v>264</v>
      </c>
      <c r="G465" s="20" t="n">
        <v>1</v>
      </c>
      <c r="H465" s="20" t="n">
        <v>2</v>
      </c>
      <c r="I465" s="20" t="n">
        <v>119</v>
      </c>
      <c r="J465" s="20" t="n">
        <v>1</v>
      </c>
      <c r="K465" s="21" t="n">
        <v>0</v>
      </c>
      <c r="L465" s="20"/>
      <c r="M465" s="20"/>
      <c r="N465" s="20"/>
      <c r="O465" s="20" t="n">
        <v>3</v>
      </c>
      <c r="P465" s="22" t="s">
        <v>105</v>
      </c>
    </row>
    <row r="466" customFormat="false" ht="15" hidden="false" customHeight="false" outlineLevel="0" collapsed="false">
      <c r="A466" s="19" t="n">
        <v>465</v>
      </c>
      <c r="B466" s="20" t="n">
        <v>49</v>
      </c>
      <c r="C466" s="20" t="n">
        <v>1</v>
      </c>
      <c r="D466" s="20" t="n">
        <v>4</v>
      </c>
      <c r="E466" s="20" t="n">
        <v>128</v>
      </c>
      <c r="F466" s="20" t="n">
        <v>212</v>
      </c>
      <c r="G466" s="20" t="n">
        <v>0</v>
      </c>
      <c r="H466" s="20" t="n">
        <v>0</v>
      </c>
      <c r="I466" s="20" t="n">
        <v>96</v>
      </c>
      <c r="J466" s="20" t="n">
        <v>1</v>
      </c>
      <c r="K466" s="21" t="n">
        <v>0</v>
      </c>
      <c r="L466" s="20"/>
      <c r="M466" s="20"/>
      <c r="N466" s="20"/>
      <c r="O466" s="20" t="n">
        <v>4</v>
      </c>
      <c r="P466" s="22" t="s">
        <v>105</v>
      </c>
    </row>
    <row r="467" customFormat="false" ht="15" hidden="false" customHeight="false" outlineLevel="0" collapsed="false">
      <c r="A467" s="19" t="n">
        <v>466</v>
      </c>
      <c r="B467" s="20" t="n">
        <v>47</v>
      </c>
      <c r="C467" s="20" t="n">
        <v>1</v>
      </c>
      <c r="D467" s="20" t="n">
        <v>2</v>
      </c>
      <c r="E467" s="20" t="n">
        <v>160</v>
      </c>
      <c r="F467" s="20" t="n">
        <v>263</v>
      </c>
      <c r="G467" s="20" t="n">
        <v>0</v>
      </c>
      <c r="H467" s="20" t="n">
        <v>0</v>
      </c>
      <c r="I467" s="20" t="n">
        <v>174</v>
      </c>
      <c r="J467" s="20" t="n">
        <v>0</v>
      </c>
      <c r="K467" s="21" t="n">
        <v>0</v>
      </c>
      <c r="L467" s="20"/>
      <c r="M467" s="20"/>
      <c r="N467" s="20"/>
      <c r="O467" s="20" t="n">
        <v>0</v>
      </c>
      <c r="P467" s="22" t="s">
        <v>105</v>
      </c>
    </row>
    <row r="468" customFormat="false" ht="15" hidden="false" customHeight="false" outlineLevel="0" collapsed="false">
      <c r="A468" s="24" t="n">
        <v>467</v>
      </c>
      <c r="B468" s="20" t="n">
        <v>49</v>
      </c>
      <c r="C468" s="20" t="n">
        <v>0</v>
      </c>
      <c r="D468" s="20" t="n">
        <v>2</v>
      </c>
      <c r="E468" s="20" t="n">
        <v>110</v>
      </c>
      <c r="F468" s="20"/>
      <c r="G468" s="20" t="n">
        <v>0</v>
      </c>
      <c r="H468" s="20" t="n">
        <v>0</v>
      </c>
      <c r="I468" s="20" t="n">
        <v>160</v>
      </c>
      <c r="J468" s="20" t="n">
        <v>0</v>
      </c>
      <c r="K468" s="21" t="n">
        <v>0</v>
      </c>
      <c r="L468" s="20"/>
      <c r="M468" s="20"/>
      <c r="N468" s="20"/>
      <c r="O468" s="20" t="n">
        <v>0</v>
      </c>
      <c r="P468" s="22" t="s">
        <v>105</v>
      </c>
    </row>
    <row r="469" customFormat="false" ht="15" hidden="false" customHeight="false" outlineLevel="0" collapsed="false">
      <c r="A469" s="19" t="n">
        <v>468</v>
      </c>
      <c r="B469" s="20" t="n">
        <v>42</v>
      </c>
      <c r="C469" s="20" t="n">
        <v>1</v>
      </c>
      <c r="D469" s="20" t="n">
        <v>2</v>
      </c>
      <c r="E469" s="20" t="n">
        <v>120</v>
      </c>
      <c r="F469" s="20" t="n">
        <v>196</v>
      </c>
      <c r="G469" s="20" t="n">
        <v>0</v>
      </c>
      <c r="H469" s="20" t="n">
        <v>0</v>
      </c>
      <c r="I469" s="20" t="n">
        <v>150</v>
      </c>
      <c r="J469" s="20" t="n">
        <v>0</v>
      </c>
      <c r="K469" s="21" t="n">
        <v>0</v>
      </c>
      <c r="L469" s="20"/>
      <c r="M469" s="20"/>
      <c r="N469" s="20"/>
      <c r="O469" s="20" t="n">
        <v>0</v>
      </c>
      <c r="P469" s="22" t="s">
        <v>105</v>
      </c>
    </row>
    <row r="470" customFormat="false" ht="15" hidden="false" customHeight="false" outlineLevel="0" collapsed="false">
      <c r="A470" s="19" t="n">
        <v>469</v>
      </c>
      <c r="B470" s="20" t="n">
        <v>52</v>
      </c>
      <c r="C470" s="20" t="n">
        <v>0</v>
      </c>
      <c r="D470" s="20" t="n">
        <v>2</v>
      </c>
      <c r="E470" s="20" t="n">
        <v>140</v>
      </c>
      <c r="F470" s="20"/>
      <c r="G470" s="20" t="n">
        <v>0</v>
      </c>
      <c r="H470" s="20" t="n">
        <v>0</v>
      </c>
      <c r="I470" s="20" t="n">
        <v>140</v>
      </c>
      <c r="J470" s="20" t="n">
        <v>0</v>
      </c>
      <c r="K470" s="21" t="n">
        <v>0</v>
      </c>
      <c r="L470" s="20"/>
      <c r="M470" s="20"/>
      <c r="N470" s="20"/>
      <c r="O470" s="20" t="n">
        <v>0</v>
      </c>
      <c r="P470" s="22" t="s">
        <v>105</v>
      </c>
    </row>
    <row r="471" customFormat="false" ht="15" hidden="false" customHeight="false" outlineLevel="0" collapsed="false">
      <c r="A471" s="19" t="n">
        <v>470</v>
      </c>
      <c r="B471" s="20" t="n">
        <v>46</v>
      </c>
      <c r="C471" s="20" t="n">
        <v>1</v>
      </c>
      <c r="D471" s="20" t="n">
        <v>1</v>
      </c>
      <c r="E471" s="20" t="n">
        <v>140</v>
      </c>
      <c r="F471" s="20" t="n">
        <v>272</v>
      </c>
      <c r="G471" s="20" t="n">
        <v>1</v>
      </c>
      <c r="H471" s="20" t="n">
        <v>0</v>
      </c>
      <c r="I471" s="20" t="n">
        <v>175</v>
      </c>
      <c r="J471" s="20" t="n">
        <v>0</v>
      </c>
      <c r="K471" s="21" t="n">
        <v>2</v>
      </c>
      <c r="L471" s="20" t="n">
        <v>2</v>
      </c>
      <c r="M471" s="20"/>
      <c r="N471" s="20"/>
      <c r="O471" s="20" t="n">
        <v>3</v>
      </c>
      <c r="P471" s="22" t="s">
        <v>105</v>
      </c>
    </row>
    <row r="472" customFormat="false" ht="15" hidden="false" customHeight="false" outlineLevel="0" collapsed="false">
      <c r="A472" s="19" t="n">
        <v>471</v>
      </c>
      <c r="B472" s="20" t="n">
        <v>50</v>
      </c>
      <c r="C472" s="20" t="n">
        <v>1</v>
      </c>
      <c r="D472" s="20" t="n">
        <v>4</v>
      </c>
      <c r="E472" s="20" t="n">
        <v>140</v>
      </c>
      <c r="F472" s="20" t="n">
        <v>231</v>
      </c>
      <c r="G472" s="20" t="n">
        <v>0</v>
      </c>
      <c r="H472" s="20" t="n">
        <v>1</v>
      </c>
      <c r="I472" s="20" t="n">
        <v>140</v>
      </c>
      <c r="J472" s="20" t="n">
        <v>1</v>
      </c>
      <c r="K472" s="21" t="n">
        <v>5</v>
      </c>
      <c r="L472" s="20" t="n">
        <v>2</v>
      </c>
      <c r="M472" s="20"/>
      <c r="N472" s="20"/>
      <c r="O472" s="20" t="n">
        <v>4</v>
      </c>
      <c r="P472" s="22" t="s">
        <v>105</v>
      </c>
    </row>
    <row r="473" customFormat="false" ht="15" hidden="false" customHeight="false" outlineLevel="0" collapsed="false">
      <c r="A473" s="19" t="n">
        <v>472</v>
      </c>
      <c r="B473" s="20" t="n">
        <v>48</v>
      </c>
      <c r="C473" s="20" t="n">
        <v>1</v>
      </c>
      <c r="D473" s="20" t="n">
        <v>2</v>
      </c>
      <c r="E473" s="20" t="n">
        <v>140</v>
      </c>
      <c r="F473" s="20" t="n">
        <v>238</v>
      </c>
      <c r="G473" s="20" t="n">
        <v>0</v>
      </c>
      <c r="H473" s="20" t="n">
        <v>0</v>
      </c>
      <c r="I473" s="20" t="n">
        <v>118</v>
      </c>
      <c r="J473" s="20" t="n">
        <v>0</v>
      </c>
      <c r="K473" s="21" t="n">
        <v>0</v>
      </c>
      <c r="L473" s="20"/>
      <c r="M473" s="20"/>
      <c r="N473" s="20"/>
      <c r="O473" s="20" t="n">
        <v>0</v>
      </c>
      <c r="P473" s="22" t="s">
        <v>105</v>
      </c>
    </row>
    <row r="474" customFormat="false" ht="15" hidden="false" customHeight="false" outlineLevel="0" collapsed="false">
      <c r="A474" s="19" t="n">
        <v>473</v>
      </c>
      <c r="B474" s="20" t="n">
        <v>58</v>
      </c>
      <c r="C474" s="20" t="n">
        <v>1</v>
      </c>
      <c r="D474" s="20" t="n">
        <v>4</v>
      </c>
      <c r="E474" s="20" t="n">
        <v>135</v>
      </c>
      <c r="F474" s="20" t="n">
        <v>222</v>
      </c>
      <c r="G474" s="20" t="n">
        <v>0</v>
      </c>
      <c r="H474" s="20" t="n">
        <v>0</v>
      </c>
      <c r="I474" s="20" t="n">
        <v>100</v>
      </c>
      <c r="J474" s="20" t="n">
        <v>0</v>
      </c>
      <c r="K474" s="21" t="n">
        <v>0</v>
      </c>
      <c r="L474" s="20"/>
      <c r="M474" s="20"/>
      <c r="N474" s="20"/>
      <c r="O474" s="20" t="n">
        <v>0</v>
      </c>
      <c r="P474" s="22" t="s">
        <v>105</v>
      </c>
    </row>
    <row r="475" customFormat="false" ht="15" hidden="false" customHeight="false" outlineLevel="0" collapsed="false">
      <c r="A475" s="19" t="n">
        <v>474</v>
      </c>
      <c r="B475" s="20" t="n">
        <v>58</v>
      </c>
      <c r="C475" s="20" t="n">
        <v>1</v>
      </c>
      <c r="D475" s="20" t="n">
        <v>3</v>
      </c>
      <c r="E475" s="20" t="n">
        <v>140</v>
      </c>
      <c r="F475" s="20" t="n">
        <v>179</v>
      </c>
      <c r="G475" s="20" t="n">
        <v>0</v>
      </c>
      <c r="H475" s="20" t="n">
        <v>0</v>
      </c>
      <c r="I475" s="20" t="n">
        <v>160</v>
      </c>
      <c r="J475" s="20" t="n">
        <v>0</v>
      </c>
      <c r="K475" s="21" t="n">
        <v>0</v>
      </c>
      <c r="L475" s="20"/>
      <c r="M475" s="20"/>
      <c r="N475" s="20"/>
      <c r="O475" s="20" t="n">
        <v>0</v>
      </c>
      <c r="P475" s="22" t="s">
        <v>105</v>
      </c>
    </row>
    <row r="476" customFormat="false" ht="15" hidden="false" customHeight="false" outlineLevel="0" collapsed="false">
      <c r="A476" s="19" t="n">
        <v>475</v>
      </c>
      <c r="B476" s="20" t="n">
        <v>29</v>
      </c>
      <c r="C476" s="20" t="n">
        <v>1</v>
      </c>
      <c r="D476" s="20" t="n">
        <v>2</v>
      </c>
      <c r="E476" s="20" t="n">
        <v>120</v>
      </c>
      <c r="F476" s="20" t="n">
        <v>243</v>
      </c>
      <c r="G476" s="20" t="n">
        <v>0</v>
      </c>
      <c r="H476" s="20" t="n">
        <v>0</v>
      </c>
      <c r="I476" s="20" t="n">
        <v>160</v>
      </c>
      <c r="J476" s="20" t="n">
        <v>0</v>
      </c>
      <c r="K476" s="21" t="n">
        <v>0</v>
      </c>
      <c r="L476" s="20"/>
      <c r="M476" s="20"/>
      <c r="N476" s="20"/>
      <c r="O476" s="20" t="n">
        <v>0</v>
      </c>
      <c r="P476" s="22" t="s">
        <v>105</v>
      </c>
    </row>
    <row r="477" customFormat="false" ht="15" hidden="false" customHeight="false" outlineLevel="0" collapsed="false">
      <c r="A477" s="19" t="n">
        <v>476</v>
      </c>
      <c r="B477" s="20" t="n">
        <v>40</v>
      </c>
      <c r="C477" s="20" t="n">
        <v>1</v>
      </c>
      <c r="D477" s="20" t="n">
        <v>3</v>
      </c>
      <c r="E477" s="20" t="n">
        <v>140</v>
      </c>
      <c r="F477" s="20"/>
      <c r="G477" s="20" t="n">
        <v>0</v>
      </c>
      <c r="H477" s="20" t="n">
        <v>0</v>
      </c>
      <c r="I477" s="20" t="n">
        <v>188</v>
      </c>
      <c r="J477" s="20" t="n">
        <v>0</v>
      </c>
      <c r="K477" s="21" t="n">
        <v>0</v>
      </c>
      <c r="L477" s="20"/>
      <c r="M477" s="20"/>
      <c r="N477" s="20"/>
      <c r="O477" s="20" t="n">
        <v>0</v>
      </c>
      <c r="P477" s="22" t="s">
        <v>105</v>
      </c>
    </row>
    <row r="478" customFormat="false" ht="15" hidden="false" customHeight="false" outlineLevel="0" collapsed="false">
      <c r="A478" s="19" t="n">
        <v>477</v>
      </c>
      <c r="B478" s="20" t="n">
        <v>53</v>
      </c>
      <c r="C478" s="20" t="n">
        <v>1</v>
      </c>
      <c r="D478" s="20" t="n">
        <v>2</v>
      </c>
      <c r="E478" s="20" t="n">
        <v>140</v>
      </c>
      <c r="F478" s="20" t="n">
        <v>320</v>
      </c>
      <c r="G478" s="20" t="n">
        <v>0</v>
      </c>
      <c r="H478" s="20" t="n">
        <v>0</v>
      </c>
      <c r="I478" s="20" t="n">
        <v>162</v>
      </c>
      <c r="J478" s="20" t="n">
        <v>0</v>
      </c>
      <c r="K478" s="21" t="n">
        <v>0</v>
      </c>
      <c r="L478" s="20"/>
      <c r="M478" s="20"/>
      <c r="N478" s="20"/>
      <c r="O478" s="20" t="n">
        <v>0</v>
      </c>
      <c r="P478" s="22" t="s">
        <v>105</v>
      </c>
    </row>
    <row r="479" customFormat="false" ht="15" hidden="false" customHeight="false" outlineLevel="0" collapsed="false">
      <c r="A479" s="19" t="n">
        <v>478</v>
      </c>
      <c r="B479" s="20" t="n">
        <v>49</v>
      </c>
      <c r="C479" s="20" t="n">
        <v>1</v>
      </c>
      <c r="D479" s="20" t="n">
        <v>3</v>
      </c>
      <c r="E479" s="20" t="n">
        <v>140</v>
      </c>
      <c r="F479" s="20" t="n">
        <v>187</v>
      </c>
      <c r="G479" s="20" t="n">
        <v>0</v>
      </c>
      <c r="H479" s="20" t="n">
        <v>0</v>
      </c>
      <c r="I479" s="20" t="n">
        <v>172</v>
      </c>
      <c r="J479" s="20" t="n">
        <v>0</v>
      </c>
      <c r="K479" s="21" t="n">
        <v>0</v>
      </c>
      <c r="L479" s="20"/>
      <c r="M479" s="20"/>
      <c r="N479" s="20"/>
      <c r="O479" s="20" t="n">
        <v>0</v>
      </c>
      <c r="P479" s="22" t="s">
        <v>105</v>
      </c>
    </row>
    <row r="480" customFormat="false" ht="15" hidden="false" customHeight="false" outlineLevel="0" collapsed="false">
      <c r="A480" s="19" t="n">
        <v>479</v>
      </c>
      <c r="B480" s="20" t="n">
        <v>52</v>
      </c>
      <c r="C480" s="20" t="n">
        <v>1</v>
      </c>
      <c r="D480" s="20" t="n">
        <v>4</v>
      </c>
      <c r="E480" s="20" t="n">
        <v>140</v>
      </c>
      <c r="F480" s="20" t="n">
        <v>266</v>
      </c>
      <c r="G480" s="20" t="n">
        <v>0</v>
      </c>
      <c r="H480" s="20" t="n">
        <v>0</v>
      </c>
      <c r="I480" s="20" t="n">
        <v>134</v>
      </c>
      <c r="J480" s="20" t="n">
        <v>1</v>
      </c>
      <c r="K480" s="21" t="n">
        <v>2</v>
      </c>
      <c r="L480" s="20" t="n">
        <v>2</v>
      </c>
      <c r="M480" s="20"/>
      <c r="N480" s="20"/>
      <c r="O480" s="20" t="n">
        <v>4</v>
      </c>
      <c r="P480" s="22" t="s">
        <v>105</v>
      </c>
    </row>
    <row r="481" customFormat="false" ht="15" hidden="false" customHeight="false" outlineLevel="0" collapsed="false">
      <c r="A481" s="19" t="n">
        <v>480</v>
      </c>
      <c r="B481" s="20" t="n">
        <v>43</v>
      </c>
      <c r="C481" s="20" t="n">
        <v>1</v>
      </c>
      <c r="D481" s="20" t="n">
        <v>4</v>
      </c>
      <c r="E481" s="20" t="n">
        <v>140</v>
      </c>
      <c r="F481" s="20" t="n">
        <v>288</v>
      </c>
      <c r="G481" s="20" t="n">
        <v>0</v>
      </c>
      <c r="H481" s="20" t="n">
        <v>0</v>
      </c>
      <c r="I481" s="20" t="n">
        <v>135</v>
      </c>
      <c r="J481" s="20" t="n">
        <v>1</v>
      </c>
      <c r="K481" s="21" t="n">
        <v>2</v>
      </c>
      <c r="L481" s="20" t="n">
        <v>2</v>
      </c>
      <c r="M481" s="20"/>
      <c r="N481" s="20"/>
      <c r="O481" s="20" t="n">
        <v>4</v>
      </c>
      <c r="P481" s="22" t="s">
        <v>105</v>
      </c>
    </row>
    <row r="482" customFormat="false" ht="15" hidden="false" customHeight="false" outlineLevel="0" collapsed="false">
      <c r="A482" s="19" t="n">
        <v>481</v>
      </c>
      <c r="B482" s="20" t="n">
        <v>54</v>
      </c>
      <c r="C482" s="20" t="n">
        <v>1</v>
      </c>
      <c r="D482" s="20" t="n">
        <v>4</v>
      </c>
      <c r="E482" s="20" t="n">
        <v>140</v>
      </c>
      <c r="F482" s="20" t="n">
        <v>216</v>
      </c>
      <c r="G482" s="20" t="n">
        <v>0</v>
      </c>
      <c r="H482" s="20" t="n">
        <v>0</v>
      </c>
      <c r="I482" s="20" t="n">
        <v>105</v>
      </c>
      <c r="J482" s="20" t="n">
        <v>0</v>
      </c>
      <c r="K482" s="21" t="n">
        <v>1.5</v>
      </c>
      <c r="L482" s="20" t="n">
        <v>2</v>
      </c>
      <c r="M482" s="20"/>
      <c r="N482" s="20"/>
      <c r="O482" s="20" t="n">
        <v>3</v>
      </c>
      <c r="P482" s="22" t="s">
        <v>105</v>
      </c>
    </row>
    <row r="483" customFormat="false" ht="15" hidden="false" customHeight="false" outlineLevel="0" collapsed="false">
      <c r="A483" s="19" t="n">
        <v>482</v>
      </c>
      <c r="B483" s="20" t="n">
        <v>59</v>
      </c>
      <c r="C483" s="20" t="n">
        <v>1</v>
      </c>
      <c r="D483" s="20" t="n">
        <v>2</v>
      </c>
      <c r="E483" s="20" t="n">
        <v>140</v>
      </c>
      <c r="F483" s="20" t="n">
        <v>287</v>
      </c>
      <c r="G483" s="20" t="n">
        <v>0</v>
      </c>
      <c r="H483" s="20" t="n">
        <v>0</v>
      </c>
      <c r="I483" s="20" t="n">
        <v>150</v>
      </c>
      <c r="J483" s="20" t="n">
        <v>0</v>
      </c>
      <c r="K483" s="21" t="n">
        <v>0</v>
      </c>
      <c r="L483" s="20"/>
      <c r="M483" s="20"/>
      <c r="N483" s="20"/>
      <c r="O483" s="20" t="n">
        <v>0</v>
      </c>
      <c r="P483" s="22" t="s">
        <v>105</v>
      </c>
    </row>
    <row r="484" customFormat="false" ht="15" hidden="false" customHeight="false" outlineLevel="0" collapsed="false">
      <c r="A484" s="19" t="n">
        <v>483</v>
      </c>
      <c r="B484" s="20" t="n">
        <v>37</v>
      </c>
      <c r="C484" s="20" t="n">
        <v>1</v>
      </c>
      <c r="D484" s="20" t="n">
        <v>3</v>
      </c>
      <c r="E484" s="20" t="n">
        <v>130</v>
      </c>
      <c r="F484" s="20" t="n">
        <v>194</v>
      </c>
      <c r="G484" s="20" t="n">
        <v>0</v>
      </c>
      <c r="H484" s="20" t="n">
        <v>0</v>
      </c>
      <c r="I484" s="20" t="n">
        <v>150</v>
      </c>
      <c r="J484" s="20" t="n">
        <v>0</v>
      </c>
      <c r="K484" s="21" t="n">
        <v>0</v>
      </c>
      <c r="L484" s="20"/>
      <c r="M484" s="20"/>
      <c r="N484" s="20"/>
      <c r="O484" s="20" t="n">
        <v>0</v>
      </c>
      <c r="P484" s="22" t="s">
        <v>105</v>
      </c>
    </row>
    <row r="485" customFormat="false" ht="15" hidden="false" customHeight="false" outlineLevel="0" collapsed="false">
      <c r="A485" s="19" t="n">
        <v>484</v>
      </c>
      <c r="B485" s="20" t="n">
        <v>46</v>
      </c>
      <c r="C485" s="20" t="n">
        <v>0</v>
      </c>
      <c r="D485" s="20" t="n">
        <v>4</v>
      </c>
      <c r="E485" s="20" t="n">
        <v>130</v>
      </c>
      <c r="F485" s="20" t="n">
        <v>238</v>
      </c>
      <c r="G485" s="20" t="n">
        <v>0</v>
      </c>
      <c r="H485" s="20" t="n">
        <v>0</v>
      </c>
      <c r="I485" s="20" t="n">
        <v>90</v>
      </c>
      <c r="J485" s="20" t="n">
        <v>0</v>
      </c>
      <c r="K485" s="21" t="n">
        <v>0</v>
      </c>
      <c r="L485" s="20"/>
      <c r="M485" s="20"/>
      <c r="N485" s="20"/>
      <c r="O485" s="20" t="n">
        <v>0</v>
      </c>
      <c r="P485" s="22" t="s">
        <v>105</v>
      </c>
    </row>
    <row r="486" customFormat="false" ht="15" hidden="false" customHeight="false" outlineLevel="0" collapsed="false">
      <c r="A486" s="19" t="n">
        <v>485</v>
      </c>
      <c r="B486" s="20" t="n">
        <v>52</v>
      </c>
      <c r="C486" s="20" t="n">
        <v>1</v>
      </c>
      <c r="D486" s="20" t="n">
        <v>4</v>
      </c>
      <c r="E486" s="20" t="n">
        <v>130</v>
      </c>
      <c r="F486" s="20" t="n">
        <v>225</v>
      </c>
      <c r="G486" s="20" t="n">
        <v>0</v>
      </c>
      <c r="H486" s="20" t="n">
        <v>0</v>
      </c>
      <c r="I486" s="20" t="n">
        <v>120</v>
      </c>
      <c r="J486" s="20" t="n">
        <v>1</v>
      </c>
      <c r="K486" s="21" t="n">
        <v>2</v>
      </c>
      <c r="L486" s="20" t="n">
        <v>2</v>
      </c>
      <c r="M486" s="20"/>
      <c r="N486" s="20"/>
      <c r="O486" s="20" t="n">
        <v>1</v>
      </c>
      <c r="P486" s="22" t="s">
        <v>105</v>
      </c>
    </row>
    <row r="487" customFormat="false" ht="15" hidden="false" customHeight="false" outlineLevel="0" collapsed="false">
      <c r="A487" s="19" t="n">
        <v>486</v>
      </c>
      <c r="B487" s="20" t="n">
        <v>51</v>
      </c>
      <c r="C487" s="20" t="n">
        <v>1</v>
      </c>
      <c r="D487" s="20" t="n">
        <v>2</v>
      </c>
      <c r="E487" s="20" t="n">
        <v>130</v>
      </c>
      <c r="F487" s="20" t="n">
        <v>224</v>
      </c>
      <c r="G487" s="20" t="n">
        <v>0</v>
      </c>
      <c r="H487" s="20" t="n">
        <v>0</v>
      </c>
      <c r="I487" s="20" t="n">
        <v>150</v>
      </c>
      <c r="J487" s="20" t="n">
        <v>0</v>
      </c>
      <c r="K487" s="21" t="n">
        <v>0</v>
      </c>
      <c r="L487" s="20"/>
      <c r="M487" s="20"/>
      <c r="N487" s="20"/>
      <c r="O487" s="20" t="n">
        <v>0</v>
      </c>
      <c r="P487" s="22" t="s">
        <v>105</v>
      </c>
    </row>
    <row r="488" customFormat="false" ht="15" hidden="false" customHeight="false" outlineLevel="0" collapsed="false">
      <c r="A488" s="19" t="n">
        <v>487</v>
      </c>
      <c r="B488" s="20" t="n">
        <v>52</v>
      </c>
      <c r="C488" s="20" t="n">
        <v>1</v>
      </c>
      <c r="D488" s="20" t="n">
        <v>4</v>
      </c>
      <c r="E488" s="20" t="n">
        <v>140</v>
      </c>
      <c r="F488" s="20" t="n">
        <v>404</v>
      </c>
      <c r="G488" s="20" t="n">
        <v>0</v>
      </c>
      <c r="H488" s="20" t="n">
        <v>0</v>
      </c>
      <c r="I488" s="20" t="n">
        <v>124</v>
      </c>
      <c r="J488" s="20" t="n">
        <v>1</v>
      </c>
      <c r="K488" s="21" t="n">
        <v>2</v>
      </c>
      <c r="L488" s="20" t="n">
        <v>2</v>
      </c>
      <c r="M488" s="20"/>
      <c r="N488" s="20"/>
      <c r="O488" s="20" t="n">
        <v>3</v>
      </c>
      <c r="P488" s="22" t="s">
        <v>105</v>
      </c>
    </row>
    <row r="489" customFormat="false" ht="15" hidden="false" customHeight="false" outlineLevel="0" collapsed="false">
      <c r="A489" s="19" t="n">
        <v>488</v>
      </c>
      <c r="B489" s="20" t="n">
        <v>46</v>
      </c>
      <c r="C489" s="20" t="n">
        <v>1</v>
      </c>
      <c r="D489" s="20" t="n">
        <v>4</v>
      </c>
      <c r="E489" s="20" t="n">
        <v>110</v>
      </c>
      <c r="F489" s="20" t="n">
        <v>238</v>
      </c>
      <c r="G489" s="20" t="n">
        <v>0</v>
      </c>
      <c r="H489" s="20" t="n">
        <v>1</v>
      </c>
      <c r="I489" s="20" t="n">
        <v>140</v>
      </c>
      <c r="J489" s="20" t="n">
        <v>1</v>
      </c>
      <c r="K489" s="21" t="n">
        <v>1</v>
      </c>
      <c r="L489" s="20" t="n">
        <v>2</v>
      </c>
      <c r="M489" s="20"/>
      <c r="N489" s="20" t="n">
        <v>3</v>
      </c>
      <c r="O489" s="20" t="n">
        <v>0</v>
      </c>
      <c r="P489" s="22" t="s">
        <v>105</v>
      </c>
    </row>
    <row r="490" customFormat="false" ht="15" hidden="false" customHeight="false" outlineLevel="0" collapsed="false">
      <c r="A490" s="19" t="n">
        <v>489</v>
      </c>
      <c r="B490" s="20" t="n">
        <v>54</v>
      </c>
      <c r="C490" s="20" t="n">
        <v>0</v>
      </c>
      <c r="D490" s="20" t="n">
        <v>2</v>
      </c>
      <c r="E490" s="20" t="n">
        <v>160</v>
      </c>
      <c r="F490" s="20" t="n">
        <v>312</v>
      </c>
      <c r="G490" s="20" t="n">
        <v>0</v>
      </c>
      <c r="H490" s="20" t="n">
        <v>0</v>
      </c>
      <c r="I490" s="20" t="n">
        <v>130</v>
      </c>
      <c r="J490" s="20" t="n">
        <v>0</v>
      </c>
      <c r="K490" s="21" t="n">
        <v>0</v>
      </c>
      <c r="L490" s="20"/>
      <c r="M490" s="20"/>
      <c r="N490" s="20"/>
      <c r="O490" s="20" t="n">
        <v>0</v>
      </c>
      <c r="P490" s="22" t="s">
        <v>105</v>
      </c>
    </row>
    <row r="491" customFormat="false" ht="15" hidden="false" customHeight="false" outlineLevel="0" collapsed="false">
      <c r="A491" s="19" t="n">
        <v>490</v>
      </c>
      <c r="B491" s="20" t="n">
        <v>58</v>
      </c>
      <c r="C491" s="20" t="n">
        <v>1</v>
      </c>
      <c r="D491" s="20" t="n">
        <v>3</v>
      </c>
      <c r="E491" s="20" t="n">
        <v>160</v>
      </c>
      <c r="F491" s="20" t="n">
        <v>211</v>
      </c>
      <c r="G491" s="20" t="n">
        <v>1</v>
      </c>
      <c r="H491" s="20" t="n">
        <v>1</v>
      </c>
      <c r="I491" s="20" t="n">
        <v>92</v>
      </c>
      <c r="J491" s="20" t="n">
        <v>0</v>
      </c>
      <c r="K491" s="21" t="n">
        <v>0</v>
      </c>
      <c r="L491" s="20"/>
      <c r="M491" s="20"/>
      <c r="N491" s="20"/>
      <c r="O491" s="20" t="n">
        <v>2</v>
      </c>
      <c r="P491" s="22" t="s">
        <v>105</v>
      </c>
    </row>
    <row r="492" customFormat="false" ht="15" hidden="false" customHeight="false" outlineLevel="0" collapsed="false">
      <c r="A492" s="19" t="n">
        <v>491</v>
      </c>
      <c r="B492" s="20" t="n">
        <v>58</v>
      </c>
      <c r="C492" s="20" t="n">
        <v>1</v>
      </c>
      <c r="D492" s="20" t="n">
        <v>2</v>
      </c>
      <c r="E492" s="20" t="n">
        <v>130</v>
      </c>
      <c r="F492" s="20" t="n">
        <v>251</v>
      </c>
      <c r="G492" s="20" t="n">
        <v>0</v>
      </c>
      <c r="H492" s="20" t="n">
        <v>0</v>
      </c>
      <c r="I492" s="20" t="n">
        <v>110</v>
      </c>
      <c r="J492" s="20" t="n">
        <v>0</v>
      </c>
      <c r="K492" s="21" t="n">
        <v>0</v>
      </c>
      <c r="L492" s="20"/>
      <c r="M492" s="20"/>
      <c r="N492" s="20"/>
      <c r="O492" s="20" t="n">
        <v>0</v>
      </c>
      <c r="P492" s="22" t="s">
        <v>105</v>
      </c>
    </row>
    <row r="493" customFormat="false" ht="15" hidden="false" customHeight="false" outlineLevel="0" collapsed="false">
      <c r="A493" s="19" t="n">
        <v>492</v>
      </c>
      <c r="B493" s="20" t="n">
        <v>41</v>
      </c>
      <c r="C493" s="20" t="n">
        <v>1</v>
      </c>
      <c r="D493" s="20" t="n">
        <v>4</v>
      </c>
      <c r="E493" s="20" t="n">
        <v>120</v>
      </c>
      <c r="F493" s="20" t="n">
        <v>237</v>
      </c>
      <c r="G493" s="20"/>
      <c r="H493" s="20" t="n">
        <v>0</v>
      </c>
      <c r="I493" s="20" t="n">
        <v>138</v>
      </c>
      <c r="J493" s="20" t="n">
        <v>1</v>
      </c>
      <c r="K493" s="21" t="n">
        <v>1</v>
      </c>
      <c r="L493" s="20" t="n">
        <v>2</v>
      </c>
      <c r="M493" s="20"/>
      <c r="N493" s="20"/>
      <c r="O493" s="20" t="n">
        <v>1</v>
      </c>
      <c r="P493" s="22" t="s">
        <v>105</v>
      </c>
    </row>
    <row r="494" customFormat="false" ht="15" hidden="false" customHeight="false" outlineLevel="0" collapsed="false">
      <c r="A494" s="19" t="n">
        <v>493</v>
      </c>
      <c r="B494" s="20" t="n">
        <v>50</v>
      </c>
      <c r="C494" s="20" t="n">
        <v>0</v>
      </c>
      <c r="D494" s="20" t="n">
        <v>4</v>
      </c>
      <c r="E494" s="20" t="n">
        <v>120</v>
      </c>
      <c r="F494" s="20" t="n">
        <v>328</v>
      </c>
      <c r="G494" s="20" t="n">
        <v>0</v>
      </c>
      <c r="H494" s="20" t="n">
        <v>0</v>
      </c>
      <c r="I494" s="20" t="n">
        <v>110</v>
      </c>
      <c r="J494" s="20" t="n">
        <v>1</v>
      </c>
      <c r="K494" s="21" t="n">
        <v>1</v>
      </c>
      <c r="L494" s="20" t="n">
        <v>2</v>
      </c>
      <c r="M494" s="20"/>
      <c r="N494" s="20"/>
      <c r="O494" s="20" t="n">
        <v>0</v>
      </c>
      <c r="P494" s="22" t="s">
        <v>105</v>
      </c>
    </row>
    <row r="495" customFormat="false" ht="15" hidden="false" customHeight="false" outlineLevel="0" collapsed="false">
      <c r="A495" s="19" t="n">
        <v>494</v>
      </c>
      <c r="B495" s="20" t="n">
        <v>53</v>
      </c>
      <c r="C495" s="20" t="n">
        <v>1</v>
      </c>
      <c r="D495" s="20" t="n">
        <v>4</v>
      </c>
      <c r="E495" s="20" t="n">
        <v>180</v>
      </c>
      <c r="F495" s="20" t="n">
        <v>285</v>
      </c>
      <c r="G495" s="20" t="n">
        <v>0</v>
      </c>
      <c r="H495" s="20" t="n">
        <v>1</v>
      </c>
      <c r="I495" s="20" t="n">
        <v>120</v>
      </c>
      <c r="J495" s="20" t="n">
        <v>1</v>
      </c>
      <c r="K495" s="21" t="n">
        <v>1.5</v>
      </c>
      <c r="L495" s="20" t="n">
        <v>2</v>
      </c>
      <c r="M495" s="20"/>
      <c r="N495" s="20"/>
      <c r="O495" s="20" t="n">
        <v>3</v>
      </c>
      <c r="P495" s="22" t="s">
        <v>105</v>
      </c>
    </row>
    <row r="496" customFormat="false" ht="15" hidden="false" customHeight="false" outlineLevel="0" collapsed="false">
      <c r="A496" s="19" t="n">
        <v>495</v>
      </c>
      <c r="B496" s="20" t="n">
        <v>46</v>
      </c>
      <c r="C496" s="20" t="n">
        <v>1</v>
      </c>
      <c r="D496" s="20" t="n">
        <v>4</v>
      </c>
      <c r="E496" s="20" t="n">
        <v>180</v>
      </c>
      <c r="F496" s="20" t="n">
        <v>280</v>
      </c>
      <c r="G496" s="20" t="n">
        <v>0</v>
      </c>
      <c r="H496" s="20" t="n">
        <v>1</v>
      </c>
      <c r="I496" s="20" t="n">
        <v>120</v>
      </c>
      <c r="J496" s="20" t="n">
        <v>0</v>
      </c>
      <c r="K496" s="21" t="n">
        <v>0</v>
      </c>
      <c r="L496" s="20"/>
      <c r="M496" s="20"/>
      <c r="N496" s="20"/>
      <c r="O496" s="20" t="n">
        <v>0</v>
      </c>
      <c r="P496" s="22" t="s">
        <v>105</v>
      </c>
    </row>
    <row r="497" customFormat="false" ht="15" hidden="false" customHeight="false" outlineLevel="0" collapsed="false">
      <c r="A497" s="19" t="n">
        <v>496</v>
      </c>
      <c r="B497" s="20" t="n">
        <v>50</v>
      </c>
      <c r="C497" s="20" t="n">
        <v>1</v>
      </c>
      <c r="D497" s="20" t="n">
        <v>2</v>
      </c>
      <c r="E497" s="20" t="n">
        <v>170</v>
      </c>
      <c r="F497" s="20" t="n">
        <v>209</v>
      </c>
      <c r="G497" s="20" t="n">
        <v>0</v>
      </c>
      <c r="H497" s="20" t="n">
        <v>1</v>
      </c>
      <c r="I497" s="20" t="n">
        <v>116</v>
      </c>
      <c r="J497" s="20" t="n">
        <v>0</v>
      </c>
      <c r="K497" s="21" t="n">
        <v>0</v>
      </c>
      <c r="L497" s="20"/>
      <c r="M497" s="20"/>
      <c r="N497" s="20"/>
      <c r="O497" s="20" t="n">
        <v>0</v>
      </c>
      <c r="P497" s="22" t="s">
        <v>105</v>
      </c>
    </row>
    <row r="498" customFormat="false" ht="15" hidden="false" customHeight="false" outlineLevel="0" collapsed="false">
      <c r="A498" s="19" t="n">
        <v>497</v>
      </c>
      <c r="B498" s="20" t="n">
        <v>48</v>
      </c>
      <c r="C498" s="20" t="n">
        <v>1</v>
      </c>
      <c r="D498" s="20" t="n">
        <v>2</v>
      </c>
      <c r="E498" s="20" t="n">
        <v>130</v>
      </c>
      <c r="F498" s="20" t="n">
        <v>245</v>
      </c>
      <c r="G498" s="20" t="n">
        <v>0</v>
      </c>
      <c r="H498" s="20" t="n">
        <v>0</v>
      </c>
      <c r="I498" s="20" t="n">
        <v>160</v>
      </c>
      <c r="J498" s="20" t="n">
        <v>0</v>
      </c>
      <c r="K498" s="21" t="n">
        <v>0</v>
      </c>
      <c r="L498" s="20"/>
      <c r="M498" s="20"/>
      <c r="N498" s="20"/>
      <c r="O498" s="20" t="n">
        <v>0</v>
      </c>
      <c r="P498" s="22" t="s">
        <v>105</v>
      </c>
    </row>
    <row r="499" customFormat="false" ht="15" hidden="false" customHeight="false" outlineLevel="0" collapsed="false">
      <c r="A499" s="19" t="n">
        <v>498</v>
      </c>
      <c r="B499" s="20" t="n">
        <v>45</v>
      </c>
      <c r="C499" s="20" t="n">
        <v>1</v>
      </c>
      <c r="D499" s="20" t="n">
        <v>3</v>
      </c>
      <c r="E499" s="20" t="n">
        <v>135</v>
      </c>
      <c r="F499" s="20"/>
      <c r="G499" s="20" t="n">
        <v>0</v>
      </c>
      <c r="H499" s="20" t="n">
        <v>0</v>
      </c>
      <c r="I499" s="20" t="n">
        <v>110</v>
      </c>
      <c r="J499" s="20" t="n">
        <v>0</v>
      </c>
      <c r="K499" s="21" t="n">
        <v>0</v>
      </c>
      <c r="L499" s="20"/>
      <c r="M499" s="20"/>
      <c r="N499" s="20"/>
      <c r="O499" s="20" t="n">
        <v>0</v>
      </c>
      <c r="P499" s="22" t="s">
        <v>105</v>
      </c>
    </row>
    <row r="500" customFormat="false" ht="15" hidden="false" customHeight="false" outlineLevel="0" collapsed="false">
      <c r="A500" s="19" t="n">
        <v>499</v>
      </c>
      <c r="B500" s="20" t="n">
        <v>41</v>
      </c>
      <c r="C500" s="20" t="n">
        <v>0</v>
      </c>
      <c r="D500" s="20" t="n">
        <v>2</v>
      </c>
      <c r="E500" s="20" t="n">
        <v>125</v>
      </c>
      <c r="F500" s="20" t="n">
        <v>184</v>
      </c>
      <c r="G500" s="20" t="n">
        <v>0</v>
      </c>
      <c r="H500" s="20" t="n">
        <v>0</v>
      </c>
      <c r="I500" s="20" t="n">
        <v>180</v>
      </c>
      <c r="J500" s="20" t="n">
        <v>0</v>
      </c>
      <c r="K500" s="21" t="n">
        <v>0</v>
      </c>
      <c r="L500" s="20"/>
      <c r="M500" s="20"/>
      <c r="N500" s="20"/>
      <c r="O500" s="20" t="n">
        <v>0</v>
      </c>
      <c r="P500" s="22" t="s">
        <v>105</v>
      </c>
    </row>
    <row r="501" customFormat="false" ht="15" hidden="false" customHeight="false" outlineLevel="0" collapsed="false">
      <c r="A501" s="19" t="n">
        <v>500</v>
      </c>
      <c r="B501" s="20" t="n">
        <v>62</v>
      </c>
      <c r="C501" s="20" t="n">
        <v>0</v>
      </c>
      <c r="D501" s="20" t="n">
        <v>1</v>
      </c>
      <c r="E501" s="20" t="n">
        <v>160</v>
      </c>
      <c r="F501" s="20" t="n">
        <v>193</v>
      </c>
      <c r="G501" s="20" t="n">
        <v>0</v>
      </c>
      <c r="H501" s="20" t="n">
        <v>0</v>
      </c>
      <c r="I501" s="20" t="n">
        <v>116</v>
      </c>
      <c r="J501" s="20" t="n">
        <v>0</v>
      </c>
      <c r="K501" s="21" t="n">
        <v>0</v>
      </c>
      <c r="L501" s="20"/>
      <c r="M501" s="20"/>
      <c r="N501" s="20"/>
      <c r="O501" s="20" t="n">
        <v>0</v>
      </c>
      <c r="P501" s="22" t="s">
        <v>105</v>
      </c>
    </row>
    <row r="502" customFormat="false" ht="15" hidden="false" customHeight="false" outlineLevel="0" collapsed="false">
      <c r="A502" s="19" t="n">
        <v>501</v>
      </c>
      <c r="B502" s="20" t="n">
        <v>49</v>
      </c>
      <c r="C502" s="20" t="n">
        <v>1</v>
      </c>
      <c r="D502" s="20" t="n">
        <v>4</v>
      </c>
      <c r="E502" s="20" t="n">
        <v>120</v>
      </c>
      <c r="F502" s="20" t="n">
        <v>297</v>
      </c>
      <c r="G502" s="20"/>
      <c r="H502" s="20" t="n">
        <v>0</v>
      </c>
      <c r="I502" s="20" t="n">
        <v>132</v>
      </c>
      <c r="J502" s="20" t="n">
        <v>0</v>
      </c>
      <c r="K502" s="21" t="n">
        <v>1</v>
      </c>
      <c r="L502" s="20" t="n">
        <v>2</v>
      </c>
      <c r="M502" s="20"/>
      <c r="N502" s="20"/>
      <c r="O502" s="20" t="n">
        <v>0</v>
      </c>
      <c r="P502" s="22" t="s">
        <v>105</v>
      </c>
    </row>
    <row r="503" customFormat="false" ht="15" hidden="false" customHeight="false" outlineLevel="0" collapsed="false">
      <c r="A503" s="19" t="n">
        <v>502</v>
      </c>
      <c r="B503" s="20" t="n">
        <v>42</v>
      </c>
      <c r="C503" s="20" t="n">
        <v>1</v>
      </c>
      <c r="D503" s="20" t="n">
        <v>2</v>
      </c>
      <c r="E503" s="20" t="n">
        <v>150</v>
      </c>
      <c r="F503" s="20" t="n">
        <v>268</v>
      </c>
      <c r="G503" s="20" t="n">
        <v>0</v>
      </c>
      <c r="H503" s="20" t="n">
        <v>0</v>
      </c>
      <c r="I503" s="20" t="n">
        <v>136</v>
      </c>
      <c r="J503" s="20" t="n">
        <v>0</v>
      </c>
      <c r="K503" s="21" t="n">
        <v>0</v>
      </c>
      <c r="L503" s="20"/>
      <c r="M503" s="20"/>
      <c r="N503" s="20"/>
      <c r="O503" s="20" t="n">
        <v>0</v>
      </c>
      <c r="P503" s="22" t="s">
        <v>105</v>
      </c>
    </row>
    <row r="504" customFormat="false" ht="15" hidden="false" customHeight="false" outlineLevel="0" collapsed="false">
      <c r="A504" s="19" t="n">
        <v>503</v>
      </c>
      <c r="B504" s="20" t="n">
        <v>53</v>
      </c>
      <c r="C504" s="20" t="n">
        <v>1</v>
      </c>
      <c r="D504" s="20" t="n">
        <v>4</v>
      </c>
      <c r="E504" s="20" t="n">
        <v>120</v>
      </c>
      <c r="F504" s="20" t="n">
        <v>246</v>
      </c>
      <c r="G504" s="20" t="n">
        <v>0</v>
      </c>
      <c r="H504" s="20" t="n">
        <v>0</v>
      </c>
      <c r="I504" s="20" t="n">
        <v>116</v>
      </c>
      <c r="J504" s="20" t="n">
        <v>1</v>
      </c>
      <c r="K504" s="21" t="n">
        <v>0</v>
      </c>
      <c r="L504" s="20"/>
      <c r="M504" s="20"/>
      <c r="N504" s="20"/>
      <c r="O504" s="20" t="n">
        <v>2</v>
      </c>
      <c r="P504" s="22" t="s">
        <v>105</v>
      </c>
    </row>
    <row r="505" customFormat="false" ht="15" hidden="false" customHeight="false" outlineLevel="0" collapsed="false">
      <c r="A505" s="19" t="n">
        <v>504</v>
      </c>
      <c r="B505" s="20" t="n">
        <v>57</v>
      </c>
      <c r="C505" s="20" t="n">
        <v>0</v>
      </c>
      <c r="D505" s="20" t="n">
        <v>1</v>
      </c>
      <c r="E505" s="20" t="n">
        <v>130</v>
      </c>
      <c r="F505" s="20" t="n">
        <v>308</v>
      </c>
      <c r="G505" s="20" t="n">
        <v>0</v>
      </c>
      <c r="H505" s="20" t="n">
        <v>0</v>
      </c>
      <c r="I505" s="20" t="n">
        <v>98</v>
      </c>
      <c r="J505" s="20" t="n">
        <v>0</v>
      </c>
      <c r="K505" s="21" t="n">
        <v>1</v>
      </c>
      <c r="L505" s="20" t="n">
        <v>2</v>
      </c>
      <c r="M505" s="20"/>
      <c r="N505" s="20"/>
      <c r="O505" s="20" t="n">
        <v>0</v>
      </c>
      <c r="P505" s="22" t="s">
        <v>105</v>
      </c>
    </row>
    <row r="506" customFormat="false" ht="15" hidden="false" customHeight="false" outlineLevel="0" collapsed="false">
      <c r="A506" s="19" t="n">
        <v>505</v>
      </c>
      <c r="B506" s="20" t="n">
        <v>47</v>
      </c>
      <c r="C506" s="20" t="n">
        <v>1</v>
      </c>
      <c r="D506" s="20" t="n">
        <v>1</v>
      </c>
      <c r="E506" s="20" t="n">
        <v>110</v>
      </c>
      <c r="F506" s="20" t="n">
        <v>249</v>
      </c>
      <c r="G506" s="20" t="n">
        <v>0</v>
      </c>
      <c r="H506" s="20" t="n">
        <v>0</v>
      </c>
      <c r="I506" s="20" t="n">
        <v>150</v>
      </c>
      <c r="J506" s="20" t="n">
        <v>0</v>
      </c>
      <c r="K506" s="21" t="n">
        <v>0</v>
      </c>
      <c r="L506" s="20"/>
      <c r="M506" s="20"/>
      <c r="N506" s="20"/>
      <c r="O506" s="20" t="n">
        <v>0</v>
      </c>
      <c r="P506" s="22" t="s">
        <v>105</v>
      </c>
    </row>
    <row r="507" customFormat="false" ht="15" hidden="false" customHeight="false" outlineLevel="0" collapsed="false">
      <c r="A507" s="19" t="n">
        <v>506</v>
      </c>
      <c r="B507" s="20" t="n">
        <v>46</v>
      </c>
      <c r="C507" s="20" t="n">
        <v>1</v>
      </c>
      <c r="D507" s="20" t="n">
        <v>3</v>
      </c>
      <c r="E507" s="20" t="n">
        <v>120</v>
      </c>
      <c r="F507" s="20" t="n">
        <v>230</v>
      </c>
      <c r="G507" s="20" t="n">
        <v>0</v>
      </c>
      <c r="H507" s="20" t="n">
        <v>0</v>
      </c>
      <c r="I507" s="20" t="n">
        <v>150</v>
      </c>
      <c r="J507" s="20" t="n">
        <v>0</v>
      </c>
      <c r="K507" s="21" t="n">
        <v>0</v>
      </c>
      <c r="L507" s="20"/>
      <c r="M507" s="20"/>
      <c r="N507" s="20"/>
      <c r="O507" s="20" t="n">
        <v>0</v>
      </c>
      <c r="P507" s="22" t="s">
        <v>105</v>
      </c>
    </row>
    <row r="508" customFormat="false" ht="15" hidden="false" customHeight="false" outlineLevel="0" collapsed="false">
      <c r="A508" s="19" t="n">
        <v>507</v>
      </c>
      <c r="B508" s="20" t="n">
        <v>42</v>
      </c>
      <c r="C508" s="20" t="n">
        <v>1</v>
      </c>
      <c r="D508" s="20" t="n">
        <v>3</v>
      </c>
      <c r="E508" s="20" t="n">
        <v>160</v>
      </c>
      <c r="F508" s="20" t="n">
        <v>147</v>
      </c>
      <c r="G508" s="20" t="n">
        <v>0</v>
      </c>
      <c r="H508" s="20" t="n">
        <v>0</v>
      </c>
      <c r="I508" s="20" t="n">
        <v>146</v>
      </c>
      <c r="J508" s="20" t="n">
        <v>0</v>
      </c>
      <c r="K508" s="21" t="n">
        <v>0</v>
      </c>
      <c r="L508" s="20"/>
      <c r="M508" s="20"/>
      <c r="N508" s="20"/>
      <c r="O508" s="20" t="n">
        <v>0</v>
      </c>
      <c r="P508" s="22" t="s">
        <v>105</v>
      </c>
    </row>
    <row r="509" customFormat="false" ht="15" hidden="false" customHeight="false" outlineLevel="0" collapsed="false">
      <c r="A509" s="19" t="n">
        <v>508</v>
      </c>
      <c r="B509" s="20" t="n">
        <v>31</v>
      </c>
      <c r="C509" s="20" t="n">
        <v>0</v>
      </c>
      <c r="D509" s="20" t="n">
        <v>2</v>
      </c>
      <c r="E509" s="20" t="n">
        <v>100</v>
      </c>
      <c r="F509" s="20" t="n">
        <v>219</v>
      </c>
      <c r="G509" s="20" t="n">
        <v>0</v>
      </c>
      <c r="H509" s="20" t="n">
        <v>1</v>
      </c>
      <c r="I509" s="20" t="n">
        <v>150</v>
      </c>
      <c r="J509" s="20" t="n">
        <v>0</v>
      </c>
      <c r="K509" s="21" t="n">
        <v>0</v>
      </c>
      <c r="L509" s="20"/>
      <c r="M509" s="20"/>
      <c r="N509" s="20"/>
      <c r="O509" s="20" t="n">
        <v>0</v>
      </c>
      <c r="P509" s="22" t="s">
        <v>105</v>
      </c>
    </row>
    <row r="510" customFormat="false" ht="15" hidden="false" customHeight="false" outlineLevel="0" collapsed="false">
      <c r="A510" s="19" t="n">
        <v>509</v>
      </c>
      <c r="B510" s="20" t="n">
        <v>56</v>
      </c>
      <c r="C510" s="20" t="n">
        <v>1</v>
      </c>
      <c r="D510" s="20" t="n">
        <v>2</v>
      </c>
      <c r="E510" s="20" t="n">
        <v>130</v>
      </c>
      <c r="F510" s="20" t="n">
        <v>184</v>
      </c>
      <c r="G510" s="20" t="n">
        <v>0</v>
      </c>
      <c r="H510" s="20" t="n">
        <v>0</v>
      </c>
      <c r="I510" s="20" t="n">
        <v>100</v>
      </c>
      <c r="J510" s="20" t="n">
        <v>0</v>
      </c>
      <c r="K510" s="21" t="n">
        <v>0</v>
      </c>
      <c r="L510" s="20"/>
      <c r="M510" s="20"/>
      <c r="N510" s="20"/>
      <c r="O510" s="20" t="n">
        <v>0</v>
      </c>
      <c r="P510" s="22" t="s">
        <v>105</v>
      </c>
    </row>
    <row r="511" customFormat="false" ht="15" hidden="false" customHeight="false" outlineLevel="0" collapsed="false">
      <c r="A511" s="19" t="n">
        <v>510</v>
      </c>
      <c r="B511" s="20" t="n">
        <v>50</v>
      </c>
      <c r="C511" s="20" t="n">
        <v>1</v>
      </c>
      <c r="D511" s="20" t="n">
        <v>4</v>
      </c>
      <c r="E511" s="20" t="n">
        <v>150</v>
      </c>
      <c r="F511" s="20" t="n">
        <v>215</v>
      </c>
      <c r="G511" s="20" t="n">
        <v>0</v>
      </c>
      <c r="H511" s="20" t="n">
        <v>0</v>
      </c>
      <c r="I511" s="20" t="n">
        <v>140</v>
      </c>
      <c r="J511" s="20" t="n">
        <v>1</v>
      </c>
      <c r="K511" s="21" t="n">
        <v>0</v>
      </c>
      <c r="L511" s="20"/>
      <c r="M511" s="20"/>
      <c r="N511" s="20"/>
      <c r="O511" s="20" t="n">
        <v>0</v>
      </c>
      <c r="P511" s="22" t="s">
        <v>105</v>
      </c>
    </row>
    <row r="512" customFormat="false" ht="15" hidden="false" customHeight="false" outlineLevel="0" collapsed="false">
      <c r="A512" s="19" t="n">
        <v>511</v>
      </c>
      <c r="B512" s="20" t="n">
        <v>35</v>
      </c>
      <c r="C512" s="20" t="n">
        <v>1</v>
      </c>
      <c r="D512" s="20" t="n">
        <v>2</v>
      </c>
      <c r="E512" s="20" t="n">
        <v>120</v>
      </c>
      <c r="F512" s="20" t="n">
        <v>308</v>
      </c>
      <c r="G512" s="20" t="n">
        <v>0</v>
      </c>
      <c r="H512" s="20" t="n">
        <v>2</v>
      </c>
      <c r="I512" s="20" t="n">
        <v>180</v>
      </c>
      <c r="J512" s="20" t="n">
        <v>0</v>
      </c>
      <c r="K512" s="21" t="n">
        <v>0</v>
      </c>
      <c r="L512" s="20"/>
      <c r="M512" s="20"/>
      <c r="N512" s="20"/>
      <c r="O512" s="20" t="n">
        <v>0</v>
      </c>
      <c r="P512" s="22" t="s">
        <v>105</v>
      </c>
    </row>
    <row r="513" customFormat="false" ht="15" hidden="false" customHeight="false" outlineLevel="0" collapsed="false">
      <c r="A513" s="19" t="n">
        <v>512</v>
      </c>
      <c r="B513" s="20" t="n">
        <v>35</v>
      </c>
      <c r="C513" s="20" t="n">
        <v>1</v>
      </c>
      <c r="D513" s="20" t="n">
        <v>2</v>
      </c>
      <c r="E513" s="20" t="n">
        <v>110</v>
      </c>
      <c r="F513" s="20" t="n">
        <v>257</v>
      </c>
      <c r="G513" s="20" t="n">
        <v>0</v>
      </c>
      <c r="H513" s="20" t="n">
        <v>0</v>
      </c>
      <c r="I513" s="20" t="n">
        <v>140</v>
      </c>
      <c r="J513" s="20" t="n">
        <v>0</v>
      </c>
      <c r="K513" s="21" t="n">
        <v>0</v>
      </c>
      <c r="L513" s="20"/>
      <c r="M513" s="20"/>
      <c r="N513" s="20"/>
      <c r="O513" s="20" t="n">
        <v>1</v>
      </c>
      <c r="P513" s="22" t="s">
        <v>105</v>
      </c>
    </row>
    <row r="514" customFormat="false" ht="15" hidden="false" customHeight="false" outlineLevel="0" collapsed="false">
      <c r="A514" s="19" t="n">
        <v>513</v>
      </c>
      <c r="B514" s="20" t="n">
        <v>28</v>
      </c>
      <c r="C514" s="20" t="n">
        <v>1</v>
      </c>
      <c r="D514" s="20" t="n">
        <v>2</v>
      </c>
      <c r="E514" s="20" t="n">
        <v>130</v>
      </c>
      <c r="F514" s="20" t="n">
        <v>132</v>
      </c>
      <c r="G514" s="20" t="n">
        <v>0</v>
      </c>
      <c r="H514" s="20" t="n">
        <v>2</v>
      </c>
      <c r="I514" s="20" t="n">
        <v>185</v>
      </c>
      <c r="J514" s="20" t="n">
        <v>0</v>
      </c>
      <c r="K514" s="21" t="n">
        <v>0</v>
      </c>
      <c r="L514" s="20"/>
      <c r="M514" s="20"/>
      <c r="N514" s="20"/>
      <c r="O514" s="20" t="n">
        <v>0</v>
      </c>
      <c r="P514" s="22" t="s">
        <v>105</v>
      </c>
    </row>
    <row r="515" customFormat="false" ht="15" hidden="false" customHeight="false" outlineLevel="0" collapsed="false">
      <c r="A515" s="19" t="n">
        <v>514</v>
      </c>
      <c r="B515" s="20" t="n">
        <v>54</v>
      </c>
      <c r="C515" s="20" t="n">
        <v>1</v>
      </c>
      <c r="D515" s="20" t="n">
        <v>4</v>
      </c>
      <c r="E515" s="20" t="n">
        <v>125</v>
      </c>
      <c r="F515" s="20" t="n">
        <v>216</v>
      </c>
      <c r="G515" s="20" t="n">
        <v>0</v>
      </c>
      <c r="H515" s="20" t="n">
        <v>0</v>
      </c>
      <c r="I515" s="20" t="n">
        <v>140</v>
      </c>
      <c r="J515" s="20" t="n">
        <v>0</v>
      </c>
      <c r="K515" s="21" t="n">
        <v>0</v>
      </c>
      <c r="L515" s="20"/>
      <c r="M515" s="20"/>
      <c r="N515" s="20"/>
      <c r="O515" s="20" t="n">
        <v>1</v>
      </c>
      <c r="P515" s="22" t="s">
        <v>105</v>
      </c>
    </row>
    <row r="516" customFormat="false" ht="15" hidden="false" customHeight="false" outlineLevel="0" collapsed="false">
      <c r="A516" s="19" t="n">
        <v>515</v>
      </c>
      <c r="B516" s="20" t="n">
        <v>48</v>
      </c>
      <c r="C516" s="20" t="n">
        <v>1</v>
      </c>
      <c r="D516" s="20" t="n">
        <v>4</v>
      </c>
      <c r="E516" s="20" t="n">
        <v>106</v>
      </c>
      <c r="F516" s="20" t="n">
        <v>263</v>
      </c>
      <c r="G516" s="20" t="n">
        <v>1</v>
      </c>
      <c r="H516" s="20" t="n">
        <v>0</v>
      </c>
      <c r="I516" s="20" t="n">
        <v>110</v>
      </c>
      <c r="J516" s="20" t="n">
        <v>0</v>
      </c>
      <c r="K516" s="21" t="n">
        <v>0</v>
      </c>
      <c r="L516" s="20"/>
      <c r="M516" s="20"/>
      <c r="N516" s="20"/>
      <c r="O516" s="20" t="n">
        <v>1</v>
      </c>
      <c r="P516" s="22" t="s">
        <v>105</v>
      </c>
    </row>
    <row r="517" customFormat="false" ht="15" hidden="false" customHeight="false" outlineLevel="0" collapsed="false">
      <c r="A517" s="19" t="n">
        <v>516</v>
      </c>
      <c r="B517" s="20" t="n">
        <v>50</v>
      </c>
      <c r="C517" s="20" t="n">
        <v>0</v>
      </c>
      <c r="D517" s="20" t="n">
        <v>3</v>
      </c>
      <c r="E517" s="20" t="n">
        <v>140</v>
      </c>
      <c r="F517" s="20" t="n">
        <v>288</v>
      </c>
      <c r="G517" s="20" t="n">
        <v>0</v>
      </c>
      <c r="H517" s="20" t="n">
        <v>0</v>
      </c>
      <c r="I517" s="20" t="n">
        <v>140</v>
      </c>
      <c r="J517" s="20" t="n">
        <v>1</v>
      </c>
      <c r="K517" s="21" t="n">
        <v>0</v>
      </c>
      <c r="L517" s="20"/>
      <c r="M517" s="20"/>
      <c r="N517" s="20" t="n">
        <v>7</v>
      </c>
      <c r="O517" s="20" t="n">
        <v>1</v>
      </c>
      <c r="P517" s="22" t="s">
        <v>105</v>
      </c>
    </row>
    <row r="518" customFormat="false" ht="15" hidden="false" customHeight="false" outlineLevel="0" collapsed="false">
      <c r="A518" s="19" t="n">
        <v>517</v>
      </c>
      <c r="B518" s="20" t="n">
        <v>56</v>
      </c>
      <c r="C518" s="20" t="n">
        <v>1</v>
      </c>
      <c r="D518" s="20" t="n">
        <v>3</v>
      </c>
      <c r="E518" s="20" t="n">
        <v>130</v>
      </c>
      <c r="F518" s="20" t="n">
        <v>276</v>
      </c>
      <c r="G518" s="20" t="n">
        <v>0</v>
      </c>
      <c r="H518" s="20" t="n">
        <v>0</v>
      </c>
      <c r="I518" s="20" t="n">
        <v>128</v>
      </c>
      <c r="J518" s="20" t="n">
        <v>1</v>
      </c>
      <c r="K518" s="21" t="n">
        <v>1</v>
      </c>
      <c r="L518" s="20" t="n">
        <v>1</v>
      </c>
      <c r="M518" s="20"/>
      <c r="N518" s="20" t="n">
        <v>6</v>
      </c>
      <c r="O518" s="20" t="n">
        <v>0</v>
      </c>
      <c r="P518" s="22" t="s">
        <v>105</v>
      </c>
    </row>
    <row r="519" customFormat="false" ht="15" hidden="false" customHeight="false" outlineLevel="0" collapsed="false">
      <c r="A519" s="19" t="n">
        <v>518</v>
      </c>
      <c r="B519" s="20" t="n">
        <v>56</v>
      </c>
      <c r="C519" s="20" t="n">
        <v>0</v>
      </c>
      <c r="D519" s="20" t="n">
        <v>3</v>
      </c>
      <c r="E519" s="20" t="n">
        <v>130</v>
      </c>
      <c r="F519" s="20" t="n">
        <v>219</v>
      </c>
      <c r="G519" s="20"/>
      <c r="H519" s="20" t="n">
        <v>1</v>
      </c>
      <c r="I519" s="20" t="n">
        <v>164</v>
      </c>
      <c r="J519" s="20" t="n">
        <v>0</v>
      </c>
      <c r="K519" s="21" t="n">
        <v>0</v>
      </c>
      <c r="L519" s="20"/>
      <c r="M519" s="20"/>
      <c r="N519" s="20" t="n">
        <v>7</v>
      </c>
      <c r="O519" s="20" t="n">
        <v>0</v>
      </c>
      <c r="P519" s="22" t="s">
        <v>105</v>
      </c>
    </row>
    <row r="520" customFormat="false" ht="15" hidden="false" customHeight="false" outlineLevel="0" collapsed="false">
      <c r="A520" s="19" t="n">
        <v>519</v>
      </c>
      <c r="B520" s="20" t="n">
        <v>47</v>
      </c>
      <c r="C520" s="20" t="n">
        <v>1</v>
      </c>
      <c r="D520" s="20" t="n">
        <v>4</v>
      </c>
      <c r="E520" s="20" t="n">
        <v>150</v>
      </c>
      <c r="F520" s="20" t="n">
        <v>226</v>
      </c>
      <c r="G520" s="20" t="n">
        <v>0</v>
      </c>
      <c r="H520" s="20" t="n">
        <v>0</v>
      </c>
      <c r="I520" s="20" t="n">
        <v>98</v>
      </c>
      <c r="J520" s="20" t="n">
        <v>1</v>
      </c>
      <c r="K520" s="21" t="n">
        <v>1.5</v>
      </c>
      <c r="L520" s="20" t="n">
        <v>2</v>
      </c>
      <c r="M520" s="20" t="n">
        <v>0</v>
      </c>
      <c r="N520" s="20" t="n">
        <v>7</v>
      </c>
      <c r="O520" s="20" t="n">
        <v>1</v>
      </c>
      <c r="P520" s="22" t="s">
        <v>105</v>
      </c>
    </row>
    <row r="521" customFormat="false" ht="15" hidden="false" customHeight="false" outlineLevel="0" collapsed="false">
      <c r="A521" s="19" t="n">
        <v>520</v>
      </c>
      <c r="B521" s="20" t="n">
        <v>30</v>
      </c>
      <c r="C521" s="20" t="n">
        <v>0</v>
      </c>
      <c r="D521" s="20" t="n">
        <v>1</v>
      </c>
      <c r="E521" s="20" t="n">
        <v>170</v>
      </c>
      <c r="F521" s="20" t="n">
        <v>237</v>
      </c>
      <c r="G521" s="20" t="n">
        <v>0</v>
      </c>
      <c r="H521" s="20" t="n">
        <v>1</v>
      </c>
      <c r="I521" s="20" t="n">
        <v>170</v>
      </c>
      <c r="J521" s="20" t="n">
        <v>0</v>
      </c>
      <c r="K521" s="21" t="n">
        <v>0</v>
      </c>
      <c r="L521" s="20"/>
      <c r="M521" s="20"/>
      <c r="N521" s="20" t="n">
        <v>6</v>
      </c>
      <c r="O521" s="20" t="n">
        <v>0</v>
      </c>
      <c r="P521" s="22" t="s">
        <v>105</v>
      </c>
    </row>
    <row r="522" customFormat="false" ht="15" hidden="false" customHeight="false" outlineLevel="0" collapsed="false">
      <c r="A522" s="19" t="n">
        <v>521</v>
      </c>
      <c r="B522" s="20" t="n">
        <v>39</v>
      </c>
      <c r="C522" s="20" t="n">
        <v>1</v>
      </c>
      <c r="D522" s="20" t="n">
        <v>4</v>
      </c>
      <c r="E522" s="20" t="n">
        <v>110</v>
      </c>
      <c r="F522" s="20" t="n">
        <v>280</v>
      </c>
      <c r="G522" s="20" t="n">
        <v>0</v>
      </c>
      <c r="H522" s="20" t="n">
        <v>0</v>
      </c>
      <c r="I522" s="20" t="n">
        <v>150</v>
      </c>
      <c r="J522" s="20" t="n">
        <v>0</v>
      </c>
      <c r="K522" s="21" t="n">
        <v>0</v>
      </c>
      <c r="L522" s="20"/>
      <c r="M522" s="20"/>
      <c r="N522" s="20" t="n">
        <v>6</v>
      </c>
      <c r="O522" s="20" t="n">
        <v>2</v>
      </c>
      <c r="P522" s="22" t="s">
        <v>105</v>
      </c>
    </row>
    <row r="523" customFormat="false" ht="15" hidden="false" customHeight="false" outlineLevel="0" collapsed="false">
      <c r="A523" s="19" t="n">
        <v>522</v>
      </c>
      <c r="B523" s="20" t="n">
        <v>54</v>
      </c>
      <c r="C523" s="20" t="n">
        <v>1</v>
      </c>
      <c r="D523" s="20" t="n">
        <v>3</v>
      </c>
      <c r="E523" s="20" t="n">
        <v>120</v>
      </c>
      <c r="F523" s="20" t="n">
        <v>217</v>
      </c>
      <c r="G523" s="20" t="n">
        <v>0</v>
      </c>
      <c r="H523" s="20" t="n">
        <v>0</v>
      </c>
      <c r="I523" s="20" t="n">
        <v>137</v>
      </c>
      <c r="J523" s="20" t="n">
        <v>0</v>
      </c>
      <c r="K523" s="21" t="n">
        <v>0</v>
      </c>
      <c r="L523" s="20"/>
      <c r="M523" s="20"/>
      <c r="N523" s="20"/>
      <c r="O523" s="20" t="n">
        <v>0</v>
      </c>
      <c r="P523" s="22" t="s">
        <v>105</v>
      </c>
    </row>
    <row r="524" customFormat="false" ht="15" hidden="false" customHeight="false" outlineLevel="0" collapsed="false">
      <c r="A524" s="19" t="n">
        <v>523</v>
      </c>
      <c r="B524" s="20" t="n">
        <v>55</v>
      </c>
      <c r="C524" s="20" t="n">
        <v>1</v>
      </c>
      <c r="D524" s="20" t="n">
        <v>2</v>
      </c>
      <c r="E524" s="20" t="n">
        <v>140</v>
      </c>
      <c r="F524" s="20" t="n">
        <v>196</v>
      </c>
      <c r="G524" s="20" t="n">
        <v>0</v>
      </c>
      <c r="H524" s="20" t="n">
        <v>0</v>
      </c>
      <c r="I524" s="20" t="n">
        <v>150</v>
      </c>
      <c r="J524" s="20" t="n">
        <v>0</v>
      </c>
      <c r="K524" s="21" t="n">
        <v>0</v>
      </c>
      <c r="L524" s="20"/>
      <c r="M524" s="20"/>
      <c r="N524" s="20" t="n">
        <v>7</v>
      </c>
      <c r="O524" s="20" t="n">
        <v>0</v>
      </c>
      <c r="P524" s="22" t="s">
        <v>105</v>
      </c>
    </row>
    <row r="525" customFormat="false" ht="15" hidden="false" customHeight="false" outlineLevel="0" collapsed="false">
      <c r="A525" s="19" t="n">
        <v>524</v>
      </c>
      <c r="B525" s="20" t="n">
        <v>29</v>
      </c>
      <c r="C525" s="20" t="n">
        <v>1</v>
      </c>
      <c r="D525" s="20" t="n">
        <v>2</v>
      </c>
      <c r="E525" s="20" t="n">
        <v>140</v>
      </c>
      <c r="F525" s="20"/>
      <c r="G525" s="20" t="n">
        <v>0</v>
      </c>
      <c r="H525" s="20" t="n">
        <v>0</v>
      </c>
      <c r="I525" s="20" t="n">
        <v>170</v>
      </c>
      <c r="J525" s="20" t="n">
        <v>0</v>
      </c>
      <c r="K525" s="21" t="n">
        <v>0</v>
      </c>
      <c r="L525" s="20"/>
      <c r="M525" s="20"/>
      <c r="N525" s="20"/>
      <c r="O525" s="20" t="n">
        <v>0</v>
      </c>
      <c r="P525" s="22" t="s">
        <v>105</v>
      </c>
    </row>
    <row r="526" customFormat="false" ht="15" hidden="false" customHeight="false" outlineLevel="0" collapsed="false">
      <c r="A526" s="19" t="n">
        <v>525</v>
      </c>
      <c r="B526" s="20" t="n">
        <v>46</v>
      </c>
      <c r="C526" s="20" t="n">
        <v>1</v>
      </c>
      <c r="D526" s="20" t="n">
        <v>4</v>
      </c>
      <c r="E526" s="20" t="n">
        <v>130</v>
      </c>
      <c r="F526" s="20" t="n">
        <v>222</v>
      </c>
      <c r="G526" s="20" t="n">
        <v>0</v>
      </c>
      <c r="H526" s="20" t="n">
        <v>0</v>
      </c>
      <c r="I526" s="20" t="n">
        <v>112</v>
      </c>
      <c r="J526" s="20" t="n">
        <v>0</v>
      </c>
      <c r="K526" s="21" t="n">
        <v>0</v>
      </c>
      <c r="L526" s="20"/>
      <c r="M526" s="20"/>
      <c r="N526" s="20"/>
      <c r="O526" s="20" t="n">
        <v>2</v>
      </c>
      <c r="P526" s="22" t="s">
        <v>105</v>
      </c>
    </row>
    <row r="527" customFormat="false" ht="15" hidden="false" customHeight="false" outlineLevel="0" collapsed="false">
      <c r="A527" s="19" t="n">
        <v>526</v>
      </c>
      <c r="B527" s="20" t="n">
        <v>51</v>
      </c>
      <c r="C527" s="20" t="n">
        <v>0</v>
      </c>
      <c r="D527" s="20" t="n">
        <v>4</v>
      </c>
      <c r="E527" s="20" t="n">
        <v>160</v>
      </c>
      <c r="F527" s="20" t="n">
        <v>303</v>
      </c>
      <c r="G527" s="20" t="n">
        <v>0</v>
      </c>
      <c r="H527" s="20" t="n">
        <v>0</v>
      </c>
      <c r="I527" s="20" t="n">
        <v>150</v>
      </c>
      <c r="J527" s="20" t="n">
        <v>1</v>
      </c>
      <c r="K527" s="21" t="n">
        <v>1</v>
      </c>
      <c r="L527" s="20" t="n">
        <v>2</v>
      </c>
      <c r="M527" s="20"/>
      <c r="N527" s="20"/>
      <c r="O527" s="20" t="n">
        <v>1</v>
      </c>
      <c r="P527" s="22" t="s">
        <v>105</v>
      </c>
    </row>
    <row r="528" customFormat="false" ht="15" hidden="false" customHeight="false" outlineLevel="0" collapsed="false">
      <c r="A528" s="19" t="n">
        <v>527</v>
      </c>
      <c r="B528" s="20" t="n">
        <v>48</v>
      </c>
      <c r="C528" s="20" t="n">
        <v>0</v>
      </c>
      <c r="D528" s="20" t="n">
        <v>3</v>
      </c>
      <c r="E528" s="20" t="n">
        <v>120</v>
      </c>
      <c r="F528" s="20" t="n">
        <v>195</v>
      </c>
      <c r="G528" s="20" t="n">
        <v>0</v>
      </c>
      <c r="H528" s="20" t="n">
        <v>0</v>
      </c>
      <c r="I528" s="20" t="n">
        <v>125</v>
      </c>
      <c r="J528" s="20" t="n">
        <v>0</v>
      </c>
      <c r="K528" s="21" t="n">
        <v>0</v>
      </c>
      <c r="L528" s="20"/>
      <c r="M528" s="20"/>
      <c r="N528" s="20"/>
      <c r="O528" s="20" t="n">
        <v>0</v>
      </c>
      <c r="P528" s="22" t="s">
        <v>105</v>
      </c>
    </row>
    <row r="529" customFormat="false" ht="15" hidden="false" customHeight="false" outlineLevel="0" collapsed="false">
      <c r="A529" s="19" t="n">
        <v>528</v>
      </c>
      <c r="B529" s="20" t="n">
        <v>33</v>
      </c>
      <c r="C529" s="20" t="n">
        <v>1</v>
      </c>
      <c r="D529" s="20" t="n">
        <v>3</v>
      </c>
      <c r="E529" s="20" t="n">
        <v>120</v>
      </c>
      <c r="F529" s="20" t="n">
        <v>298</v>
      </c>
      <c r="G529" s="20" t="n">
        <v>0</v>
      </c>
      <c r="H529" s="20" t="n">
        <v>0</v>
      </c>
      <c r="I529" s="20" t="n">
        <v>185</v>
      </c>
      <c r="J529" s="20" t="n">
        <v>0</v>
      </c>
      <c r="K529" s="21" t="n">
        <v>0</v>
      </c>
      <c r="L529" s="20"/>
      <c r="M529" s="20"/>
      <c r="N529" s="20"/>
      <c r="O529" s="20" t="n">
        <v>0</v>
      </c>
      <c r="P529" s="22" t="s">
        <v>105</v>
      </c>
    </row>
    <row r="530" customFormat="false" ht="15" hidden="false" customHeight="false" outlineLevel="0" collapsed="false">
      <c r="A530" s="19" t="n">
        <v>529</v>
      </c>
      <c r="B530" s="20" t="n">
        <v>55</v>
      </c>
      <c r="C530" s="20" t="n">
        <v>1</v>
      </c>
      <c r="D530" s="20" t="n">
        <v>2</v>
      </c>
      <c r="E530" s="20" t="n">
        <v>120</v>
      </c>
      <c r="F530" s="20" t="n">
        <v>256</v>
      </c>
      <c r="G530" s="20" t="n">
        <v>1</v>
      </c>
      <c r="H530" s="20" t="n">
        <v>0</v>
      </c>
      <c r="I530" s="20" t="n">
        <v>137</v>
      </c>
      <c r="J530" s="20" t="n">
        <v>0</v>
      </c>
      <c r="K530" s="21" t="n">
        <v>0</v>
      </c>
      <c r="L530" s="20"/>
      <c r="M530" s="20"/>
      <c r="N530" s="20" t="n">
        <v>7</v>
      </c>
      <c r="O530" s="20" t="n">
        <v>0</v>
      </c>
      <c r="P530" s="22" t="s">
        <v>105</v>
      </c>
    </row>
    <row r="531" customFormat="false" ht="15" hidden="false" customHeight="false" outlineLevel="0" collapsed="false">
      <c r="A531" s="19" t="n">
        <v>530</v>
      </c>
      <c r="B531" s="20" t="n">
        <v>50</v>
      </c>
      <c r="C531" s="20" t="n">
        <v>1</v>
      </c>
      <c r="D531" s="20" t="n">
        <v>4</v>
      </c>
      <c r="E531" s="20" t="n">
        <v>145</v>
      </c>
      <c r="F531" s="20" t="n">
        <v>264</v>
      </c>
      <c r="G531" s="20" t="n">
        <v>0</v>
      </c>
      <c r="H531" s="20" t="n">
        <v>0</v>
      </c>
      <c r="I531" s="20" t="n">
        <v>150</v>
      </c>
      <c r="J531" s="20" t="n">
        <v>0</v>
      </c>
      <c r="K531" s="21" t="n">
        <v>0</v>
      </c>
      <c r="L531" s="20"/>
      <c r="M531" s="20"/>
      <c r="N531" s="20"/>
      <c r="O531" s="20" t="n">
        <v>1</v>
      </c>
      <c r="P531" s="22" t="s">
        <v>105</v>
      </c>
    </row>
    <row r="532" customFormat="false" ht="15" hidden="false" customHeight="false" outlineLevel="0" collapsed="false">
      <c r="A532" s="19" t="n">
        <v>531</v>
      </c>
      <c r="B532" s="20" t="n">
        <v>53</v>
      </c>
      <c r="C532" s="20" t="n">
        <v>1</v>
      </c>
      <c r="D532" s="20" t="n">
        <v>3</v>
      </c>
      <c r="E532" s="20" t="n">
        <v>120</v>
      </c>
      <c r="F532" s="20" t="n">
        <v>195</v>
      </c>
      <c r="G532" s="20" t="n">
        <v>0</v>
      </c>
      <c r="H532" s="20" t="n">
        <v>0</v>
      </c>
      <c r="I532" s="20" t="n">
        <v>140</v>
      </c>
      <c r="J532" s="20" t="n">
        <v>0</v>
      </c>
      <c r="K532" s="21" t="n">
        <v>0</v>
      </c>
      <c r="L532" s="20"/>
      <c r="M532" s="20"/>
      <c r="N532" s="20"/>
      <c r="O532" s="20" t="n">
        <v>0</v>
      </c>
      <c r="P532" s="22" t="s">
        <v>105</v>
      </c>
    </row>
    <row r="533" customFormat="false" ht="15" hidden="false" customHeight="false" outlineLevel="0" collapsed="false">
      <c r="A533" s="19" t="n">
        <v>532</v>
      </c>
      <c r="B533" s="20" t="n">
        <v>38</v>
      </c>
      <c r="C533" s="20" t="n">
        <v>1</v>
      </c>
      <c r="D533" s="20" t="n">
        <v>4</v>
      </c>
      <c r="E533" s="20" t="n">
        <v>92</v>
      </c>
      <c r="F533" s="20" t="n">
        <v>117</v>
      </c>
      <c r="G533" s="20" t="n">
        <v>0</v>
      </c>
      <c r="H533" s="20" t="n">
        <v>0</v>
      </c>
      <c r="I533" s="20" t="n">
        <v>134</v>
      </c>
      <c r="J533" s="20" t="n">
        <v>1</v>
      </c>
      <c r="K533" s="21" t="n">
        <v>2.5</v>
      </c>
      <c r="L533" s="20" t="n">
        <v>2</v>
      </c>
      <c r="M533" s="20"/>
      <c r="N533" s="20"/>
      <c r="O533" s="20" t="n">
        <v>1</v>
      </c>
      <c r="P533" s="22" t="s">
        <v>105</v>
      </c>
    </row>
    <row r="534" customFormat="false" ht="15" hidden="false" customHeight="false" outlineLevel="0" collapsed="false">
      <c r="A534" s="19" t="n">
        <v>533</v>
      </c>
      <c r="B534" s="20" t="n">
        <v>41</v>
      </c>
      <c r="C534" s="20" t="n">
        <v>1</v>
      </c>
      <c r="D534" s="20" t="n">
        <v>2</v>
      </c>
      <c r="E534" s="20" t="n">
        <v>120</v>
      </c>
      <c r="F534" s="20" t="n">
        <v>295</v>
      </c>
      <c r="G534" s="20" t="n">
        <v>0</v>
      </c>
      <c r="H534" s="20" t="n">
        <v>0</v>
      </c>
      <c r="I534" s="20" t="n">
        <v>170</v>
      </c>
      <c r="J534" s="20" t="n">
        <v>0</v>
      </c>
      <c r="K534" s="21" t="n">
        <v>0</v>
      </c>
      <c r="L534" s="20"/>
      <c r="M534" s="20"/>
      <c r="N534" s="20"/>
      <c r="O534" s="20" t="n">
        <v>0</v>
      </c>
      <c r="P534" s="22" t="s">
        <v>105</v>
      </c>
    </row>
    <row r="535" customFormat="false" ht="15" hidden="false" customHeight="false" outlineLevel="0" collapsed="false">
      <c r="A535" s="19" t="n">
        <v>534</v>
      </c>
      <c r="B535" s="20" t="n">
        <v>37</v>
      </c>
      <c r="C535" s="20" t="n">
        <v>0</v>
      </c>
      <c r="D535" s="20" t="n">
        <v>4</v>
      </c>
      <c r="E535" s="20" t="n">
        <v>130</v>
      </c>
      <c r="F535" s="20" t="n">
        <v>173</v>
      </c>
      <c r="G535" s="20" t="n">
        <v>0</v>
      </c>
      <c r="H535" s="20" t="n">
        <v>1</v>
      </c>
      <c r="I535" s="20" t="n">
        <v>184</v>
      </c>
      <c r="J535" s="20" t="n">
        <v>0</v>
      </c>
      <c r="K535" s="21" t="n">
        <v>0</v>
      </c>
      <c r="L535" s="20"/>
      <c r="M535" s="20"/>
      <c r="N535" s="20"/>
      <c r="O535" s="20" t="n">
        <v>0</v>
      </c>
      <c r="P535" s="22" t="s">
        <v>105</v>
      </c>
    </row>
    <row r="536" customFormat="false" ht="15" hidden="false" customHeight="false" outlineLevel="0" collapsed="false">
      <c r="A536" s="19" t="n">
        <v>535</v>
      </c>
      <c r="B536" s="20" t="n">
        <v>37</v>
      </c>
      <c r="C536" s="20" t="n">
        <v>1</v>
      </c>
      <c r="D536" s="20" t="n">
        <v>4</v>
      </c>
      <c r="E536" s="20" t="n">
        <v>130</v>
      </c>
      <c r="F536" s="20" t="n">
        <v>315</v>
      </c>
      <c r="G536" s="20" t="n">
        <v>0</v>
      </c>
      <c r="H536" s="20" t="n">
        <v>0</v>
      </c>
      <c r="I536" s="20" t="n">
        <v>158</v>
      </c>
      <c r="J536" s="20" t="n">
        <v>0</v>
      </c>
      <c r="K536" s="21" t="n">
        <v>0</v>
      </c>
      <c r="L536" s="20"/>
      <c r="M536" s="20"/>
      <c r="N536" s="20"/>
      <c r="O536" s="20" t="n">
        <v>0</v>
      </c>
      <c r="P536" s="22" t="s">
        <v>105</v>
      </c>
    </row>
    <row r="537" customFormat="false" ht="15" hidden="false" customHeight="false" outlineLevel="0" collapsed="false">
      <c r="A537" s="19" t="n">
        <v>536</v>
      </c>
      <c r="B537" s="20" t="n">
        <v>40</v>
      </c>
      <c r="C537" s="20" t="n">
        <v>1</v>
      </c>
      <c r="D537" s="20" t="n">
        <v>3</v>
      </c>
      <c r="E537" s="20" t="n">
        <v>130</v>
      </c>
      <c r="F537" s="20" t="n">
        <v>281</v>
      </c>
      <c r="G537" s="20" t="n">
        <v>0</v>
      </c>
      <c r="H537" s="20" t="n">
        <v>0</v>
      </c>
      <c r="I537" s="20" t="n">
        <v>167</v>
      </c>
      <c r="J537" s="20" t="n">
        <v>0</v>
      </c>
      <c r="K537" s="21" t="n">
        <v>0</v>
      </c>
      <c r="L537" s="20"/>
      <c r="M537" s="20"/>
      <c r="N537" s="20"/>
      <c r="O537" s="20" t="n">
        <v>0</v>
      </c>
      <c r="P537" s="22" t="s">
        <v>105</v>
      </c>
    </row>
    <row r="538" customFormat="false" ht="15" hidden="false" customHeight="false" outlineLevel="0" collapsed="false">
      <c r="A538" s="19" t="n">
        <v>537</v>
      </c>
      <c r="B538" s="20" t="n">
        <v>38</v>
      </c>
      <c r="C538" s="20" t="n">
        <v>0</v>
      </c>
      <c r="D538" s="20" t="n">
        <v>2</v>
      </c>
      <c r="E538" s="20" t="n">
        <v>120</v>
      </c>
      <c r="F538" s="20" t="n">
        <v>275</v>
      </c>
      <c r="G538" s="20"/>
      <c r="H538" s="20" t="n">
        <v>0</v>
      </c>
      <c r="I538" s="20" t="n">
        <v>129</v>
      </c>
      <c r="J538" s="20" t="n">
        <v>0</v>
      </c>
      <c r="K538" s="21" t="n">
        <v>0</v>
      </c>
      <c r="L538" s="20"/>
      <c r="M538" s="20"/>
      <c r="N538" s="20"/>
      <c r="O538" s="20" t="n">
        <v>0</v>
      </c>
      <c r="P538" s="22" t="s">
        <v>105</v>
      </c>
    </row>
    <row r="539" customFormat="false" ht="15" hidden="false" customHeight="false" outlineLevel="0" collapsed="false">
      <c r="A539" s="19" t="n">
        <v>538</v>
      </c>
      <c r="B539" s="20" t="n">
        <v>41</v>
      </c>
      <c r="C539" s="20" t="n">
        <v>1</v>
      </c>
      <c r="D539" s="20" t="n">
        <v>4</v>
      </c>
      <c r="E539" s="20" t="n">
        <v>112</v>
      </c>
      <c r="F539" s="20" t="n">
        <v>250</v>
      </c>
      <c r="G539" s="20" t="n">
        <v>0</v>
      </c>
      <c r="H539" s="20" t="n">
        <v>0</v>
      </c>
      <c r="I539" s="20" t="n">
        <v>142</v>
      </c>
      <c r="J539" s="20" t="n">
        <v>0</v>
      </c>
      <c r="K539" s="21" t="n">
        <v>0</v>
      </c>
      <c r="L539" s="20"/>
      <c r="M539" s="20"/>
      <c r="N539" s="20"/>
      <c r="O539" s="20" t="n">
        <v>0</v>
      </c>
      <c r="P539" s="22" t="s">
        <v>105</v>
      </c>
    </row>
    <row r="540" customFormat="false" ht="15" hidden="false" customHeight="false" outlineLevel="0" collapsed="false">
      <c r="A540" s="19" t="n">
        <v>539</v>
      </c>
      <c r="B540" s="20" t="n">
        <v>54</v>
      </c>
      <c r="C540" s="20" t="n">
        <v>0</v>
      </c>
      <c r="D540" s="20" t="n">
        <v>2</v>
      </c>
      <c r="E540" s="20" t="n">
        <v>140</v>
      </c>
      <c r="F540" s="20" t="n">
        <v>309</v>
      </c>
      <c r="G540" s="20"/>
      <c r="H540" s="20" t="n">
        <v>1</v>
      </c>
      <c r="I540" s="20" t="n">
        <v>140</v>
      </c>
      <c r="J540" s="20" t="n">
        <v>0</v>
      </c>
      <c r="K540" s="21" t="n">
        <v>0</v>
      </c>
      <c r="L540" s="20"/>
      <c r="M540" s="20"/>
      <c r="N540" s="20"/>
      <c r="O540" s="20" t="n">
        <v>0</v>
      </c>
      <c r="P540" s="22" t="s">
        <v>105</v>
      </c>
    </row>
    <row r="541" customFormat="false" ht="15" hidden="false" customHeight="false" outlineLevel="0" collapsed="false">
      <c r="A541" s="19" t="n">
        <v>540</v>
      </c>
      <c r="B541" s="20" t="n">
        <v>39</v>
      </c>
      <c r="C541" s="20" t="n">
        <v>1</v>
      </c>
      <c r="D541" s="20" t="n">
        <v>2</v>
      </c>
      <c r="E541" s="20" t="n">
        <v>120</v>
      </c>
      <c r="F541" s="20" t="n">
        <v>200</v>
      </c>
      <c r="G541" s="20" t="n">
        <v>0</v>
      </c>
      <c r="H541" s="20" t="n">
        <v>0</v>
      </c>
      <c r="I541" s="20" t="n">
        <v>160</v>
      </c>
      <c r="J541" s="20" t="n">
        <v>1</v>
      </c>
      <c r="K541" s="21" t="n">
        <v>1</v>
      </c>
      <c r="L541" s="20" t="n">
        <v>2</v>
      </c>
      <c r="M541" s="20"/>
      <c r="N541" s="20"/>
      <c r="O541" s="20" t="n">
        <v>0</v>
      </c>
      <c r="P541" s="22" t="s">
        <v>105</v>
      </c>
    </row>
    <row r="542" customFormat="false" ht="15" hidden="false" customHeight="false" outlineLevel="0" collapsed="false">
      <c r="A542" s="19" t="n">
        <v>541</v>
      </c>
      <c r="B542" s="20" t="n">
        <v>41</v>
      </c>
      <c r="C542" s="20" t="n">
        <v>1</v>
      </c>
      <c r="D542" s="20" t="n">
        <v>4</v>
      </c>
      <c r="E542" s="20" t="n">
        <v>120</v>
      </c>
      <c r="F542" s="20" t="n">
        <v>336</v>
      </c>
      <c r="G542" s="20" t="n">
        <v>0</v>
      </c>
      <c r="H542" s="20" t="n">
        <v>0</v>
      </c>
      <c r="I542" s="20" t="n">
        <v>118</v>
      </c>
      <c r="J542" s="20" t="n">
        <v>1</v>
      </c>
      <c r="K542" s="21" t="n">
        <v>3</v>
      </c>
      <c r="L542" s="20" t="n">
        <v>2</v>
      </c>
      <c r="M542" s="20"/>
      <c r="N542" s="20"/>
      <c r="O542" s="20" t="n">
        <v>4</v>
      </c>
      <c r="P542" s="22" t="s">
        <v>105</v>
      </c>
    </row>
    <row r="543" customFormat="false" ht="15" hidden="false" customHeight="false" outlineLevel="0" collapsed="false">
      <c r="A543" s="19" t="n">
        <v>542</v>
      </c>
      <c r="B543" s="20" t="n">
        <v>55</v>
      </c>
      <c r="C543" s="20" t="n">
        <v>1</v>
      </c>
      <c r="D543" s="20" t="n">
        <v>1</v>
      </c>
      <c r="E543" s="20" t="n">
        <v>140</v>
      </c>
      <c r="F543" s="20" t="n">
        <v>295</v>
      </c>
      <c r="G543" s="20" t="n">
        <v>0</v>
      </c>
      <c r="H543" s="20"/>
      <c r="I543" s="20" t="n">
        <v>136</v>
      </c>
      <c r="J543" s="20" t="n">
        <v>0</v>
      </c>
      <c r="K543" s="21" t="n">
        <v>0</v>
      </c>
      <c r="L543" s="20"/>
      <c r="M543" s="20"/>
      <c r="N543" s="20"/>
      <c r="O543" s="20" t="n">
        <v>3</v>
      </c>
      <c r="P543" s="22" t="s">
        <v>105</v>
      </c>
    </row>
    <row r="544" customFormat="false" ht="15" hidden="false" customHeight="false" outlineLevel="0" collapsed="false">
      <c r="A544" s="19" t="n">
        <v>543</v>
      </c>
      <c r="B544" s="20" t="n">
        <v>48</v>
      </c>
      <c r="C544" s="20" t="n">
        <v>1</v>
      </c>
      <c r="D544" s="20" t="n">
        <v>4</v>
      </c>
      <c r="E544" s="20" t="n">
        <v>160</v>
      </c>
      <c r="F544" s="20" t="n">
        <v>355</v>
      </c>
      <c r="G544" s="20" t="n">
        <v>0</v>
      </c>
      <c r="H544" s="20" t="n">
        <v>0</v>
      </c>
      <c r="I544" s="20" t="n">
        <v>99</v>
      </c>
      <c r="J544" s="20" t="n">
        <v>1</v>
      </c>
      <c r="K544" s="21" t="n">
        <v>2</v>
      </c>
      <c r="L544" s="20" t="n">
        <v>2</v>
      </c>
      <c r="M544" s="20"/>
      <c r="N544" s="20"/>
      <c r="O544" s="20" t="n">
        <v>2</v>
      </c>
      <c r="P544" s="22" t="s">
        <v>105</v>
      </c>
    </row>
    <row r="545" customFormat="false" ht="15" hidden="false" customHeight="false" outlineLevel="0" collapsed="false">
      <c r="A545" s="19" t="n">
        <v>544</v>
      </c>
      <c r="B545" s="20" t="n">
        <v>48</v>
      </c>
      <c r="C545" s="20" t="n">
        <v>1</v>
      </c>
      <c r="D545" s="20" t="n">
        <v>4</v>
      </c>
      <c r="E545" s="20" t="n">
        <v>160</v>
      </c>
      <c r="F545" s="20" t="n">
        <v>193</v>
      </c>
      <c r="G545" s="20" t="n">
        <v>0</v>
      </c>
      <c r="H545" s="20" t="n">
        <v>0</v>
      </c>
      <c r="I545" s="20" t="n">
        <v>102</v>
      </c>
      <c r="J545" s="20" t="n">
        <v>1</v>
      </c>
      <c r="K545" s="21" t="n">
        <v>3</v>
      </c>
      <c r="L545" s="20" t="n">
        <v>2</v>
      </c>
      <c r="M545" s="20"/>
      <c r="N545" s="20"/>
      <c r="O545" s="20" t="n">
        <v>2</v>
      </c>
      <c r="P545" s="22" t="s">
        <v>105</v>
      </c>
    </row>
    <row r="546" customFormat="false" ht="15" hidden="false" customHeight="false" outlineLevel="0" collapsed="false">
      <c r="A546" s="19" t="n">
        <v>545</v>
      </c>
      <c r="B546" s="20" t="n">
        <v>55</v>
      </c>
      <c r="C546" s="20" t="n">
        <v>1</v>
      </c>
      <c r="D546" s="20" t="n">
        <v>2</v>
      </c>
      <c r="E546" s="20" t="n">
        <v>145</v>
      </c>
      <c r="F546" s="20" t="n">
        <v>326</v>
      </c>
      <c r="G546" s="20" t="n">
        <v>0</v>
      </c>
      <c r="H546" s="20" t="n">
        <v>0</v>
      </c>
      <c r="I546" s="20" t="n">
        <v>155</v>
      </c>
      <c r="J546" s="20" t="n">
        <v>0</v>
      </c>
      <c r="K546" s="21" t="n">
        <v>0</v>
      </c>
      <c r="L546" s="20"/>
      <c r="M546" s="20"/>
      <c r="N546" s="20"/>
      <c r="O546" s="20" t="n">
        <v>0</v>
      </c>
      <c r="P546" s="22" t="s">
        <v>105</v>
      </c>
    </row>
    <row r="547" customFormat="false" ht="15" hidden="false" customHeight="false" outlineLevel="0" collapsed="false">
      <c r="A547" s="19" t="n">
        <v>546</v>
      </c>
      <c r="B547" s="20" t="n">
        <v>54</v>
      </c>
      <c r="C547" s="20" t="n">
        <v>1</v>
      </c>
      <c r="D547" s="20" t="n">
        <v>4</v>
      </c>
      <c r="E547" s="20" t="n">
        <v>200</v>
      </c>
      <c r="F547" s="20" t="n">
        <v>198</v>
      </c>
      <c r="G547" s="20" t="n">
        <v>0</v>
      </c>
      <c r="H547" s="20" t="n">
        <v>0</v>
      </c>
      <c r="I547" s="20" t="n">
        <v>142</v>
      </c>
      <c r="J547" s="20" t="n">
        <v>1</v>
      </c>
      <c r="K547" s="21" t="n">
        <v>2</v>
      </c>
      <c r="L547" s="20" t="n">
        <v>2</v>
      </c>
      <c r="M547" s="20"/>
      <c r="N547" s="20"/>
      <c r="O547" s="20" t="n">
        <v>2</v>
      </c>
      <c r="P547" s="22" t="s">
        <v>105</v>
      </c>
    </row>
    <row r="548" customFormat="false" ht="15" hidden="false" customHeight="false" outlineLevel="0" collapsed="false">
      <c r="A548" s="19" t="n">
        <v>547</v>
      </c>
      <c r="B548" s="20" t="n">
        <v>55</v>
      </c>
      <c r="C548" s="20" t="n">
        <v>1</v>
      </c>
      <c r="D548" s="20" t="n">
        <v>2</v>
      </c>
      <c r="E548" s="20" t="n">
        <v>160</v>
      </c>
      <c r="F548" s="20" t="n">
        <v>292</v>
      </c>
      <c r="G548" s="20" t="n">
        <v>1</v>
      </c>
      <c r="H548" s="20" t="n">
        <v>0</v>
      </c>
      <c r="I548" s="20" t="n">
        <v>143</v>
      </c>
      <c r="J548" s="20" t="n">
        <v>1</v>
      </c>
      <c r="K548" s="21" t="n">
        <v>2</v>
      </c>
      <c r="L548" s="20" t="n">
        <v>2</v>
      </c>
      <c r="M548" s="20"/>
      <c r="N548" s="20"/>
      <c r="O548" s="20" t="n">
        <v>3</v>
      </c>
      <c r="P548" s="22" t="s">
        <v>105</v>
      </c>
    </row>
    <row r="549" customFormat="false" ht="15" hidden="false" customHeight="false" outlineLevel="0" collapsed="false">
      <c r="A549" s="19" t="n">
        <v>548</v>
      </c>
      <c r="B549" s="20" t="n">
        <v>43</v>
      </c>
      <c r="C549" s="20" t="n">
        <v>0</v>
      </c>
      <c r="D549" s="20" t="n">
        <v>2</v>
      </c>
      <c r="E549" s="20" t="n">
        <v>120</v>
      </c>
      <c r="F549" s="20" t="n">
        <v>266</v>
      </c>
      <c r="G549" s="20" t="n">
        <v>0</v>
      </c>
      <c r="H549" s="20" t="n">
        <v>0</v>
      </c>
      <c r="I549" s="20" t="n">
        <v>118</v>
      </c>
      <c r="J549" s="20" t="n">
        <v>0</v>
      </c>
      <c r="K549" s="21" t="n">
        <v>0</v>
      </c>
      <c r="L549" s="20"/>
      <c r="M549" s="20"/>
      <c r="N549" s="20"/>
      <c r="O549" s="20" t="n">
        <v>0</v>
      </c>
      <c r="P549" s="22" t="s">
        <v>105</v>
      </c>
    </row>
    <row r="550" customFormat="false" ht="15" hidden="false" customHeight="false" outlineLevel="0" collapsed="false">
      <c r="A550" s="19" t="n">
        <v>549</v>
      </c>
      <c r="B550" s="20" t="n">
        <v>48</v>
      </c>
      <c r="C550" s="20" t="n">
        <v>1</v>
      </c>
      <c r="D550" s="20" t="n">
        <v>4</v>
      </c>
      <c r="E550" s="20" t="n">
        <v>160</v>
      </c>
      <c r="F550" s="20" t="n">
        <v>268</v>
      </c>
      <c r="G550" s="20" t="n">
        <v>0</v>
      </c>
      <c r="H550" s="20" t="n">
        <v>0</v>
      </c>
      <c r="I550" s="20" t="n">
        <v>103</v>
      </c>
      <c r="J550" s="20" t="n">
        <v>1</v>
      </c>
      <c r="K550" s="21" t="n">
        <v>1</v>
      </c>
      <c r="L550" s="20" t="n">
        <v>2</v>
      </c>
      <c r="M550" s="20"/>
      <c r="N550" s="20"/>
      <c r="O550" s="20" t="n">
        <v>1</v>
      </c>
      <c r="P550" s="22" t="s">
        <v>105</v>
      </c>
    </row>
    <row r="551" customFormat="false" ht="15" hidden="false" customHeight="false" outlineLevel="0" collapsed="false">
      <c r="A551" s="19" t="n">
        <v>550</v>
      </c>
      <c r="B551" s="20" t="n">
        <v>54</v>
      </c>
      <c r="C551" s="20" t="n">
        <v>1</v>
      </c>
      <c r="D551" s="20" t="n">
        <v>1</v>
      </c>
      <c r="E551" s="20" t="n">
        <v>120</v>
      </c>
      <c r="F551" s="20" t="n">
        <v>171</v>
      </c>
      <c r="G551" s="20" t="n">
        <v>0</v>
      </c>
      <c r="H551" s="20" t="n">
        <v>0</v>
      </c>
      <c r="I551" s="20" t="n">
        <v>137</v>
      </c>
      <c r="J551" s="20" t="n">
        <v>0</v>
      </c>
      <c r="K551" s="21" t="n">
        <v>2</v>
      </c>
      <c r="L551" s="20" t="n">
        <v>1</v>
      </c>
      <c r="M551" s="20"/>
      <c r="N551" s="20"/>
      <c r="O551" s="20" t="n">
        <v>0</v>
      </c>
      <c r="P551" s="22" t="s">
        <v>105</v>
      </c>
    </row>
    <row r="552" customFormat="false" ht="15" hidden="false" customHeight="false" outlineLevel="0" collapsed="false">
      <c r="A552" s="19" t="n">
        <v>551</v>
      </c>
      <c r="B552" s="20" t="n">
        <v>54</v>
      </c>
      <c r="C552" s="20" t="n">
        <v>1</v>
      </c>
      <c r="D552" s="20" t="n">
        <v>3</v>
      </c>
      <c r="E552" s="20" t="n">
        <v>120</v>
      </c>
      <c r="F552" s="20" t="n">
        <v>237</v>
      </c>
      <c r="G552" s="20" t="n">
        <v>0</v>
      </c>
      <c r="H552" s="20" t="n">
        <v>0</v>
      </c>
      <c r="I552" s="20" t="n">
        <v>150</v>
      </c>
      <c r="J552" s="20" t="n">
        <v>1</v>
      </c>
      <c r="K552" s="21" t="n">
        <v>1.5</v>
      </c>
      <c r="L552" s="20"/>
      <c r="M552" s="20"/>
      <c r="N552" s="20" t="n">
        <v>7</v>
      </c>
      <c r="O552" s="20" t="n">
        <v>2</v>
      </c>
      <c r="P552" s="22" t="s">
        <v>105</v>
      </c>
    </row>
    <row r="553" customFormat="false" ht="15" hidden="false" customHeight="false" outlineLevel="0" collapsed="false">
      <c r="A553" s="19" t="n">
        <v>552</v>
      </c>
      <c r="B553" s="20" t="n">
        <v>48</v>
      </c>
      <c r="C553" s="20" t="n">
        <v>1</v>
      </c>
      <c r="D553" s="20" t="n">
        <v>4</v>
      </c>
      <c r="E553" s="20" t="n">
        <v>122</v>
      </c>
      <c r="F553" s="20" t="n">
        <v>275</v>
      </c>
      <c r="G553" s="20" t="n">
        <v>1</v>
      </c>
      <c r="H553" s="20" t="n">
        <v>1</v>
      </c>
      <c r="I553" s="20" t="n">
        <v>150</v>
      </c>
      <c r="J553" s="20" t="n">
        <v>1</v>
      </c>
      <c r="K553" s="21" t="n">
        <v>2</v>
      </c>
      <c r="L553" s="20" t="n">
        <v>3</v>
      </c>
      <c r="M553" s="20"/>
      <c r="N553" s="20"/>
      <c r="O553" s="20" t="n">
        <v>2</v>
      </c>
      <c r="P553" s="22" t="s">
        <v>105</v>
      </c>
    </row>
    <row r="554" customFormat="false" ht="15" hidden="false" customHeight="false" outlineLevel="0" collapsed="false">
      <c r="A554" s="19" t="n">
        <v>553</v>
      </c>
      <c r="B554" s="20" t="n">
        <v>45</v>
      </c>
      <c r="C554" s="20" t="n">
        <v>1</v>
      </c>
      <c r="D554" s="20" t="n">
        <v>4</v>
      </c>
      <c r="E554" s="20" t="n">
        <v>130</v>
      </c>
      <c r="F554" s="20" t="n">
        <v>219</v>
      </c>
      <c r="G554" s="20" t="n">
        <v>0</v>
      </c>
      <c r="H554" s="20" t="n">
        <v>1</v>
      </c>
      <c r="I554" s="20" t="n">
        <v>130</v>
      </c>
      <c r="J554" s="20" t="n">
        <v>1</v>
      </c>
      <c r="K554" s="21" t="n">
        <v>1</v>
      </c>
      <c r="L554" s="20" t="n">
        <v>2</v>
      </c>
      <c r="M554" s="20"/>
      <c r="N554" s="20"/>
      <c r="O554" s="20" t="n">
        <v>2</v>
      </c>
      <c r="P554" s="22" t="s">
        <v>105</v>
      </c>
    </row>
    <row r="555" customFormat="false" ht="15" hidden="false" customHeight="false" outlineLevel="0" collapsed="false">
      <c r="A555" s="19" t="n">
        <v>554</v>
      </c>
      <c r="B555" s="20" t="n">
        <v>49</v>
      </c>
      <c r="C555" s="20" t="n">
        <v>1</v>
      </c>
      <c r="D555" s="20" t="n">
        <v>4</v>
      </c>
      <c r="E555" s="20" t="n">
        <v>130</v>
      </c>
      <c r="F555" s="20" t="n">
        <v>341</v>
      </c>
      <c r="G555" s="20" t="n">
        <v>0</v>
      </c>
      <c r="H555" s="20" t="n">
        <v>0</v>
      </c>
      <c r="I555" s="20" t="n">
        <v>120</v>
      </c>
      <c r="J555" s="20" t="n">
        <v>1</v>
      </c>
      <c r="K555" s="21" t="n">
        <v>1</v>
      </c>
      <c r="L555" s="20" t="n">
        <v>2</v>
      </c>
      <c r="M555" s="20"/>
      <c r="N555" s="20"/>
      <c r="O555" s="20" t="n">
        <v>3</v>
      </c>
      <c r="P555" s="22" t="s">
        <v>105</v>
      </c>
    </row>
    <row r="556" customFormat="false" ht="15" hidden="false" customHeight="false" outlineLevel="0" collapsed="false">
      <c r="A556" s="19" t="n">
        <v>555</v>
      </c>
      <c r="B556" s="20" t="n">
        <v>44</v>
      </c>
      <c r="C556" s="20" t="n">
        <v>1</v>
      </c>
      <c r="D556" s="20" t="n">
        <v>4</v>
      </c>
      <c r="E556" s="20" t="n">
        <v>135</v>
      </c>
      <c r="F556" s="20" t="n">
        <v>491</v>
      </c>
      <c r="G556" s="20" t="n">
        <v>0</v>
      </c>
      <c r="H556" s="20" t="n">
        <v>0</v>
      </c>
      <c r="I556" s="20" t="n">
        <v>135</v>
      </c>
      <c r="J556" s="20" t="n">
        <v>0</v>
      </c>
      <c r="K556" s="21" t="n">
        <v>0</v>
      </c>
      <c r="L556" s="20"/>
      <c r="M556" s="20"/>
      <c r="N556" s="20"/>
      <c r="O556" s="20" t="n">
        <v>4</v>
      </c>
      <c r="P556" s="22" t="s">
        <v>105</v>
      </c>
    </row>
    <row r="557" customFormat="false" ht="15" hidden="false" customHeight="false" outlineLevel="0" collapsed="false">
      <c r="A557" s="19" t="n">
        <v>556</v>
      </c>
      <c r="B557" s="20" t="n">
        <v>48</v>
      </c>
      <c r="C557" s="20" t="n">
        <v>1</v>
      </c>
      <c r="D557" s="20" t="n">
        <v>4</v>
      </c>
      <c r="E557" s="20" t="n">
        <v>120</v>
      </c>
      <c r="F557" s="20" t="n">
        <v>260</v>
      </c>
      <c r="G557" s="20" t="n">
        <v>0</v>
      </c>
      <c r="H557" s="20" t="n">
        <v>0</v>
      </c>
      <c r="I557" s="20" t="n">
        <v>115</v>
      </c>
      <c r="J557" s="20" t="n">
        <v>0</v>
      </c>
      <c r="K557" s="21" t="n">
        <v>2</v>
      </c>
      <c r="L557" s="20" t="n">
        <v>2</v>
      </c>
      <c r="M557" s="20"/>
      <c r="N557" s="20"/>
      <c r="O557" s="20" t="n">
        <v>1</v>
      </c>
      <c r="P557" s="22" t="s">
        <v>105</v>
      </c>
    </row>
    <row r="558" customFormat="false" ht="15" hidden="false" customHeight="false" outlineLevel="0" collapsed="false">
      <c r="A558" s="19" t="n">
        <v>557</v>
      </c>
      <c r="B558" s="20" t="n">
        <v>61</v>
      </c>
      <c r="C558" s="20" t="n">
        <v>1</v>
      </c>
      <c r="D558" s="20" t="n">
        <v>4</v>
      </c>
      <c r="E558" s="20" t="n">
        <v>125</v>
      </c>
      <c r="F558" s="20" t="n">
        <v>292</v>
      </c>
      <c r="G558" s="20" t="n">
        <v>0</v>
      </c>
      <c r="H558" s="20" t="n">
        <v>1</v>
      </c>
      <c r="I558" s="20" t="n">
        <v>115</v>
      </c>
      <c r="J558" s="20" t="n">
        <v>1</v>
      </c>
      <c r="K558" s="21" t="n">
        <v>0</v>
      </c>
      <c r="L558" s="20"/>
      <c r="M558" s="20"/>
      <c r="N558" s="20"/>
      <c r="O558" s="20" t="n">
        <v>0</v>
      </c>
      <c r="P558" s="22" t="s">
        <v>105</v>
      </c>
    </row>
    <row r="559" customFormat="false" ht="15" hidden="false" customHeight="false" outlineLevel="0" collapsed="false">
      <c r="A559" s="19" t="n">
        <v>558</v>
      </c>
      <c r="B559" s="20" t="n">
        <v>62</v>
      </c>
      <c r="C559" s="20" t="n">
        <v>1</v>
      </c>
      <c r="D559" s="20" t="n">
        <v>2</v>
      </c>
      <c r="E559" s="20" t="n">
        <v>140</v>
      </c>
      <c r="F559" s="20" t="n">
        <v>271</v>
      </c>
      <c r="G559" s="20" t="n">
        <v>0</v>
      </c>
      <c r="H559" s="20" t="n">
        <v>0</v>
      </c>
      <c r="I559" s="20" t="n">
        <v>152</v>
      </c>
      <c r="J559" s="20" t="n">
        <v>0</v>
      </c>
      <c r="K559" s="21" t="n">
        <v>1</v>
      </c>
      <c r="L559" s="20" t="n">
        <v>1</v>
      </c>
      <c r="M559" s="20"/>
      <c r="N559" s="20"/>
      <c r="O559" s="20" t="n">
        <v>0</v>
      </c>
      <c r="P559" s="22" t="s">
        <v>105</v>
      </c>
    </row>
    <row r="560" customFormat="false" ht="15" hidden="false" customHeight="false" outlineLevel="0" collapsed="false">
      <c r="A560" s="19" t="n">
        <v>559</v>
      </c>
      <c r="B560" s="20" t="n">
        <v>55</v>
      </c>
      <c r="C560" s="20" t="n">
        <v>1</v>
      </c>
      <c r="D560" s="20" t="n">
        <v>4</v>
      </c>
      <c r="E560" s="20" t="n">
        <v>145</v>
      </c>
      <c r="F560" s="20" t="n">
        <v>248</v>
      </c>
      <c r="G560" s="20" t="n">
        <v>0</v>
      </c>
      <c r="H560" s="20" t="n">
        <v>0</v>
      </c>
      <c r="I560" s="20" t="n">
        <v>96</v>
      </c>
      <c r="J560" s="20" t="n">
        <v>1</v>
      </c>
      <c r="K560" s="21" t="n">
        <v>2</v>
      </c>
      <c r="L560" s="20" t="n">
        <v>2</v>
      </c>
      <c r="M560" s="20"/>
      <c r="N560" s="20"/>
      <c r="O560" s="20" t="n">
        <v>3</v>
      </c>
      <c r="P560" s="22" t="s">
        <v>105</v>
      </c>
    </row>
    <row r="561" customFormat="false" ht="15" hidden="false" customHeight="false" outlineLevel="0" collapsed="false">
      <c r="A561" s="19" t="n">
        <v>560</v>
      </c>
      <c r="B561" s="20" t="n">
        <v>53</v>
      </c>
      <c r="C561" s="20" t="n">
        <v>0</v>
      </c>
      <c r="D561" s="20" t="n">
        <v>3</v>
      </c>
      <c r="E561" s="20" t="n">
        <v>120</v>
      </c>
      <c r="F561" s="20" t="n">
        <v>274</v>
      </c>
      <c r="G561" s="20" t="n">
        <v>0</v>
      </c>
      <c r="H561" s="20" t="n">
        <v>0</v>
      </c>
      <c r="I561" s="20" t="n">
        <v>130</v>
      </c>
      <c r="J561" s="20" t="n">
        <v>0</v>
      </c>
      <c r="K561" s="21" t="n">
        <v>0</v>
      </c>
      <c r="L561" s="20"/>
      <c r="M561" s="20"/>
      <c r="N561" s="20"/>
      <c r="O561" s="20" t="n">
        <v>0</v>
      </c>
      <c r="P561" s="22" t="s">
        <v>105</v>
      </c>
    </row>
    <row r="562" customFormat="false" ht="15" hidden="false" customHeight="false" outlineLevel="0" collapsed="false">
      <c r="A562" s="19" t="n">
        <v>561</v>
      </c>
      <c r="B562" s="20" t="n">
        <v>55</v>
      </c>
      <c r="C562" s="20" t="n">
        <v>0</v>
      </c>
      <c r="D562" s="20" t="n">
        <v>2</v>
      </c>
      <c r="E562" s="20" t="n">
        <v>130</v>
      </c>
      <c r="F562" s="20" t="n">
        <v>394</v>
      </c>
      <c r="G562" s="20" t="n">
        <v>0</v>
      </c>
      <c r="H562" s="20" t="n">
        <v>2</v>
      </c>
      <c r="I562" s="20" t="n">
        <v>150</v>
      </c>
      <c r="J562" s="20" t="n">
        <v>0</v>
      </c>
      <c r="K562" s="21" t="n">
        <v>0</v>
      </c>
      <c r="L562" s="20"/>
      <c r="M562" s="20"/>
      <c r="N562" s="20"/>
      <c r="O562" s="20" t="n">
        <v>0</v>
      </c>
      <c r="P562" s="22" t="s">
        <v>105</v>
      </c>
    </row>
    <row r="563" customFormat="false" ht="15" hidden="false" customHeight="false" outlineLevel="0" collapsed="false">
      <c r="A563" s="19" t="n">
        <v>562</v>
      </c>
      <c r="B563" s="20" t="n">
        <v>36</v>
      </c>
      <c r="C563" s="20" t="n">
        <v>1</v>
      </c>
      <c r="D563" s="20" t="n">
        <v>3</v>
      </c>
      <c r="E563" s="20" t="n">
        <v>150</v>
      </c>
      <c r="F563" s="20" t="n">
        <v>160</v>
      </c>
      <c r="G563" s="20" t="n">
        <v>0</v>
      </c>
      <c r="H563" s="20" t="n">
        <v>0</v>
      </c>
      <c r="I563" s="20" t="n">
        <v>172</v>
      </c>
      <c r="J563" s="20" t="n">
        <v>0</v>
      </c>
      <c r="K563" s="21" t="n">
        <v>0</v>
      </c>
      <c r="L563" s="20"/>
      <c r="M563" s="20"/>
      <c r="N563" s="20"/>
      <c r="O563" s="20" t="n">
        <v>0</v>
      </c>
      <c r="P563" s="22" t="s">
        <v>105</v>
      </c>
    </row>
    <row r="564" customFormat="false" ht="15" hidden="false" customHeight="false" outlineLevel="0" collapsed="false">
      <c r="A564" s="19" t="n">
        <v>563</v>
      </c>
      <c r="B564" s="20" t="n">
        <v>51</v>
      </c>
      <c r="C564" s="20" t="n">
        <v>0</v>
      </c>
      <c r="D564" s="20" t="n">
        <v>3</v>
      </c>
      <c r="E564" s="20" t="n">
        <v>150</v>
      </c>
      <c r="F564" s="20" t="n">
        <v>200</v>
      </c>
      <c r="G564" s="20" t="n">
        <v>0</v>
      </c>
      <c r="H564" s="20" t="n">
        <v>0</v>
      </c>
      <c r="I564" s="20" t="n">
        <v>120</v>
      </c>
      <c r="J564" s="20" t="n">
        <v>0</v>
      </c>
      <c r="K564" s="21" t="n">
        <v>0.5</v>
      </c>
      <c r="L564" s="20" t="n">
        <v>1</v>
      </c>
      <c r="M564" s="20"/>
      <c r="N564" s="20"/>
      <c r="O564" s="20" t="n">
        <v>0</v>
      </c>
      <c r="P564" s="22" t="s">
        <v>105</v>
      </c>
    </row>
    <row r="565" customFormat="false" ht="15" hidden="false" customHeight="false" outlineLevel="0" collapsed="false">
      <c r="A565" s="19" t="n">
        <v>564</v>
      </c>
      <c r="B565" s="20" t="n">
        <v>55</v>
      </c>
      <c r="C565" s="20" t="n">
        <v>0</v>
      </c>
      <c r="D565" s="20" t="n">
        <v>2</v>
      </c>
      <c r="E565" s="20" t="n">
        <v>122</v>
      </c>
      <c r="F565" s="20" t="n">
        <v>320</v>
      </c>
      <c r="G565" s="20" t="n">
        <v>0</v>
      </c>
      <c r="H565" s="20" t="n">
        <v>0</v>
      </c>
      <c r="I565" s="20" t="n">
        <v>155</v>
      </c>
      <c r="J565" s="20" t="n">
        <v>0</v>
      </c>
      <c r="K565" s="21" t="n">
        <v>0</v>
      </c>
      <c r="L565" s="20"/>
      <c r="M565" s="20"/>
      <c r="N565" s="20"/>
      <c r="O565" s="20" t="n">
        <v>0</v>
      </c>
      <c r="P565" s="22" t="s">
        <v>105</v>
      </c>
    </row>
    <row r="566" customFormat="false" ht="15" hidden="false" customHeight="false" outlineLevel="0" collapsed="false">
      <c r="A566" s="19" t="n">
        <v>565</v>
      </c>
      <c r="B566" s="20" t="n">
        <v>46</v>
      </c>
      <c r="C566" s="20" t="n">
        <v>1</v>
      </c>
      <c r="D566" s="20" t="n">
        <v>2</v>
      </c>
      <c r="E566" s="20" t="n">
        <v>140</v>
      </c>
      <c r="F566" s="20" t="n">
        <v>275</v>
      </c>
      <c r="G566" s="20" t="n">
        <v>0</v>
      </c>
      <c r="H566" s="20" t="n">
        <v>0</v>
      </c>
      <c r="I566" s="20" t="n">
        <v>165</v>
      </c>
      <c r="J566" s="20" t="n">
        <v>1</v>
      </c>
      <c r="K566" s="21" t="n">
        <v>0</v>
      </c>
      <c r="L566" s="20"/>
      <c r="M566" s="20"/>
      <c r="N566" s="20"/>
      <c r="O566" s="20" t="n">
        <v>0</v>
      </c>
      <c r="P566" s="22" t="s">
        <v>105</v>
      </c>
    </row>
    <row r="567" customFormat="false" ht="15" hidden="false" customHeight="false" outlineLevel="0" collapsed="false">
      <c r="A567" s="19" t="n">
        <v>566</v>
      </c>
      <c r="B567" s="20" t="n">
        <v>54</v>
      </c>
      <c r="C567" s="20" t="n">
        <v>0</v>
      </c>
      <c r="D567" s="20" t="n">
        <v>2</v>
      </c>
      <c r="E567" s="20" t="n">
        <v>120</v>
      </c>
      <c r="F567" s="20" t="n">
        <v>221</v>
      </c>
      <c r="G567" s="20" t="n">
        <v>0</v>
      </c>
      <c r="H567" s="20" t="n">
        <v>0</v>
      </c>
      <c r="I567" s="20" t="n">
        <v>138</v>
      </c>
      <c r="J567" s="20" t="n">
        <v>0</v>
      </c>
      <c r="K567" s="21" t="n">
        <v>1</v>
      </c>
      <c r="L567" s="20" t="n">
        <v>1</v>
      </c>
      <c r="M567" s="20"/>
      <c r="N567" s="20"/>
      <c r="O567" s="20" t="n">
        <v>0</v>
      </c>
      <c r="P567" s="22" t="s">
        <v>105</v>
      </c>
    </row>
    <row r="568" customFormat="false" ht="15" hidden="false" customHeight="false" outlineLevel="0" collapsed="false">
      <c r="A568" s="19" t="n">
        <v>567</v>
      </c>
      <c r="B568" s="20" t="n">
        <v>46</v>
      </c>
      <c r="C568" s="20" t="n">
        <v>1</v>
      </c>
      <c r="D568" s="20" t="n">
        <v>4</v>
      </c>
      <c r="E568" s="20" t="n">
        <v>120</v>
      </c>
      <c r="F568" s="20" t="n">
        <v>231</v>
      </c>
      <c r="G568" s="20" t="n">
        <v>0</v>
      </c>
      <c r="H568" s="20" t="n">
        <v>0</v>
      </c>
      <c r="I568" s="20" t="n">
        <v>115</v>
      </c>
      <c r="J568" s="20" t="n">
        <v>1</v>
      </c>
      <c r="K568" s="21" t="n">
        <v>0</v>
      </c>
      <c r="L568" s="20"/>
      <c r="M568" s="20"/>
      <c r="N568" s="20"/>
      <c r="O568" s="20" t="n">
        <v>2</v>
      </c>
      <c r="P568" s="22" t="s">
        <v>105</v>
      </c>
    </row>
    <row r="569" customFormat="false" ht="15" hidden="false" customHeight="false" outlineLevel="0" collapsed="false">
      <c r="A569" s="19" t="n">
        <v>568</v>
      </c>
      <c r="B569" s="20" t="n">
        <v>59</v>
      </c>
      <c r="C569" s="20" t="n">
        <v>1</v>
      </c>
      <c r="D569" s="20" t="n">
        <v>4</v>
      </c>
      <c r="E569" s="20" t="n">
        <v>130</v>
      </c>
      <c r="F569" s="20"/>
      <c r="G569" s="20" t="n">
        <v>0</v>
      </c>
      <c r="H569" s="20" t="n">
        <v>0</v>
      </c>
      <c r="I569" s="20" t="n">
        <v>125</v>
      </c>
      <c r="J569" s="20" t="n">
        <v>0</v>
      </c>
      <c r="K569" s="21" t="n">
        <v>0</v>
      </c>
      <c r="L569" s="20"/>
      <c r="M569" s="20"/>
      <c r="N569" s="20"/>
      <c r="O569" s="20" t="n">
        <v>3</v>
      </c>
      <c r="P569" s="22" t="s">
        <v>105</v>
      </c>
    </row>
    <row r="570" customFormat="false" ht="15" hidden="false" customHeight="false" outlineLevel="0" collapsed="false">
      <c r="A570" s="19" t="n">
        <v>569</v>
      </c>
      <c r="B570" s="20" t="n">
        <v>47</v>
      </c>
      <c r="C570" s="20" t="n">
        <v>1</v>
      </c>
      <c r="D570" s="20" t="n">
        <v>3</v>
      </c>
      <c r="E570" s="20" t="n">
        <v>140</v>
      </c>
      <c r="F570" s="20" t="n">
        <v>193</v>
      </c>
      <c r="G570" s="20" t="n">
        <v>0</v>
      </c>
      <c r="H570" s="20" t="n">
        <v>0</v>
      </c>
      <c r="I570" s="20" t="n">
        <v>145</v>
      </c>
      <c r="J570" s="20" t="n">
        <v>1</v>
      </c>
      <c r="K570" s="21" t="n">
        <v>1</v>
      </c>
      <c r="L570" s="20" t="n">
        <v>2</v>
      </c>
      <c r="M570" s="20"/>
      <c r="N570" s="20"/>
      <c r="O570" s="20" t="n">
        <v>1</v>
      </c>
      <c r="P570" s="22" t="s">
        <v>105</v>
      </c>
    </row>
    <row r="571" customFormat="false" ht="15" hidden="false" customHeight="false" outlineLevel="0" collapsed="false">
      <c r="A571" s="19" t="n">
        <v>570</v>
      </c>
      <c r="B571" s="20" t="n">
        <v>54</v>
      </c>
      <c r="C571" s="20" t="n">
        <v>1</v>
      </c>
      <c r="D571" s="20" t="n">
        <v>2</v>
      </c>
      <c r="E571" s="20" t="n">
        <v>160</v>
      </c>
      <c r="F571" s="20" t="n">
        <v>305</v>
      </c>
      <c r="G571" s="20" t="n">
        <v>0</v>
      </c>
      <c r="H571" s="20" t="n">
        <v>0</v>
      </c>
      <c r="I571" s="20" t="n">
        <v>175</v>
      </c>
      <c r="J571" s="20" t="n">
        <v>0</v>
      </c>
      <c r="K571" s="21" t="n">
        <v>0</v>
      </c>
      <c r="L571" s="20"/>
      <c r="M571" s="20"/>
      <c r="N571" s="20"/>
      <c r="O571" s="20" t="n">
        <v>0</v>
      </c>
      <c r="P571" s="22" t="s">
        <v>105</v>
      </c>
    </row>
    <row r="572" customFormat="false" ht="15" hidden="false" customHeight="false" outlineLevel="0" collapsed="false">
      <c r="A572" s="19" t="n">
        <v>571</v>
      </c>
      <c r="B572" s="20" t="n">
        <v>52</v>
      </c>
      <c r="C572" s="20" t="n">
        <v>1</v>
      </c>
      <c r="D572" s="20" t="n">
        <v>4</v>
      </c>
      <c r="E572" s="20" t="n">
        <v>130</v>
      </c>
      <c r="F572" s="20" t="n">
        <v>298</v>
      </c>
      <c r="G572" s="20" t="n">
        <v>0</v>
      </c>
      <c r="H572" s="20" t="n">
        <v>0</v>
      </c>
      <c r="I572" s="20" t="n">
        <v>110</v>
      </c>
      <c r="J572" s="20" t="n">
        <v>1</v>
      </c>
      <c r="K572" s="21" t="n">
        <v>1</v>
      </c>
      <c r="L572" s="20" t="n">
        <v>2</v>
      </c>
      <c r="M572" s="20"/>
      <c r="N572" s="20"/>
      <c r="O572" s="20" t="n">
        <v>3</v>
      </c>
      <c r="P572" s="22" t="s">
        <v>105</v>
      </c>
    </row>
    <row r="573" customFormat="false" ht="15" hidden="false" customHeight="false" outlineLevel="0" collapsed="false">
      <c r="A573" s="19" t="n">
        <v>572</v>
      </c>
      <c r="B573" s="20" t="n">
        <v>34</v>
      </c>
      <c r="C573" s="20" t="n">
        <v>1</v>
      </c>
      <c r="D573" s="20" t="n">
        <v>2</v>
      </c>
      <c r="E573" s="20" t="n">
        <v>98</v>
      </c>
      <c r="F573" s="20" t="n">
        <v>220</v>
      </c>
      <c r="G573" s="20" t="n">
        <v>0</v>
      </c>
      <c r="H573" s="20" t="n">
        <v>0</v>
      </c>
      <c r="I573" s="20" t="n">
        <v>150</v>
      </c>
      <c r="J573" s="20" t="n">
        <v>0</v>
      </c>
      <c r="K573" s="21" t="n">
        <v>0</v>
      </c>
      <c r="L573" s="20"/>
      <c r="M573" s="20"/>
      <c r="N573" s="20"/>
      <c r="O573" s="20" t="n">
        <v>0</v>
      </c>
      <c r="P573" s="22" t="s">
        <v>105</v>
      </c>
    </row>
    <row r="574" customFormat="false" ht="15" hidden="false" customHeight="false" outlineLevel="0" collapsed="false">
      <c r="A574" s="19" t="n">
        <v>573</v>
      </c>
      <c r="B574" s="20" t="n">
        <v>54</v>
      </c>
      <c r="C574" s="20" t="n">
        <v>1</v>
      </c>
      <c r="D574" s="20" t="n">
        <v>4</v>
      </c>
      <c r="E574" s="20" t="n">
        <v>130</v>
      </c>
      <c r="F574" s="20" t="n">
        <v>242</v>
      </c>
      <c r="G574" s="20" t="n">
        <v>0</v>
      </c>
      <c r="H574" s="20" t="n">
        <v>0</v>
      </c>
      <c r="I574" s="20" t="n">
        <v>91</v>
      </c>
      <c r="J574" s="20" t="n">
        <v>1</v>
      </c>
      <c r="K574" s="21" t="n">
        <v>1</v>
      </c>
      <c r="L574" s="20" t="n">
        <v>2</v>
      </c>
      <c r="M574" s="20"/>
      <c r="N574" s="20"/>
      <c r="O574" s="20" t="n">
        <v>2</v>
      </c>
      <c r="P574" s="22" t="s">
        <v>105</v>
      </c>
    </row>
    <row r="575" customFormat="false" ht="15" hidden="false" customHeight="false" outlineLevel="0" collapsed="false">
      <c r="A575" s="19" t="n">
        <v>574</v>
      </c>
      <c r="B575" s="20" t="n">
        <v>47</v>
      </c>
      <c r="C575" s="20" t="n">
        <v>0</v>
      </c>
      <c r="D575" s="20" t="n">
        <v>3</v>
      </c>
      <c r="E575" s="20" t="n">
        <v>130</v>
      </c>
      <c r="F575" s="20"/>
      <c r="G575" s="20" t="n">
        <v>0</v>
      </c>
      <c r="H575" s="20" t="n">
        <v>0</v>
      </c>
      <c r="I575" s="20" t="n">
        <v>145</v>
      </c>
      <c r="J575" s="20" t="n">
        <v>0</v>
      </c>
      <c r="K575" s="21" t="n">
        <v>2</v>
      </c>
      <c r="L575" s="20" t="n">
        <v>2</v>
      </c>
      <c r="M575" s="20"/>
      <c r="N575" s="20"/>
      <c r="O575" s="20" t="n">
        <v>0</v>
      </c>
      <c r="P575" s="22" t="s">
        <v>105</v>
      </c>
    </row>
    <row r="576" customFormat="false" ht="15" hidden="false" customHeight="false" outlineLevel="0" collapsed="false">
      <c r="A576" s="19" t="n">
        <v>575</v>
      </c>
      <c r="B576" s="20" t="n">
        <v>45</v>
      </c>
      <c r="C576" s="20" t="n">
        <v>1</v>
      </c>
      <c r="D576" s="20" t="n">
        <v>4</v>
      </c>
      <c r="E576" s="20" t="n">
        <v>120</v>
      </c>
      <c r="F576" s="20" t="n">
        <v>225</v>
      </c>
      <c r="G576" s="20" t="n">
        <v>0</v>
      </c>
      <c r="H576" s="20" t="n">
        <v>0</v>
      </c>
      <c r="I576" s="20" t="n">
        <v>140</v>
      </c>
      <c r="J576" s="20" t="n">
        <v>0</v>
      </c>
      <c r="K576" s="21" t="n">
        <v>0</v>
      </c>
      <c r="L576" s="20"/>
      <c r="M576" s="20"/>
      <c r="N576" s="20"/>
      <c r="O576" s="20" t="n">
        <v>0</v>
      </c>
      <c r="P576" s="22" t="s">
        <v>105</v>
      </c>
    </row>
    <row r="577" customFormat="false" ht="15" hidden="false" customHeight="false" outlineLevel="0" collapsed="false">
      <c r="A577" s="19" t="n">
        <v>576</v>
      </c>
      <c r="B577" s="20" t="n">
        <v>32</v>
      </c>
      <c r="C577" s="20" t="n">
        <v>0</v>
      </c>
      <c r="D577" s="20" t="n">
        <v>2</v>
      </c>
      <c r="E577" s="20" t="n">
        <v>105</v>
      </c>
      <c r="F577" s="20" t="n">
        <v>198</v>
      </c>
      <c r="G577" s="20" t="n">
        <v>0</v>
      </c>
      <c r="H577" s="20" t="n">
        <v>0</v>
      </c>
      <c r="I577" s="20" t="n">
        <v>165</v>
      </c>
      <c r="J577" s="20" t="n">
        <v>0</v>
      </c>
      <c r="K577" s="21" t="n">
        <v>0</v>
      </c>
      <c r="L577" s="20"/>
      <c r="M577" s="20"/>
      <c r="N577" s="20"/>
      <c r="O577" s="20" t="n">
        <v>0</v>
      </c>
      <c r="P577" s="22" t="s">
        <v>105</v>
      </c>
    </row>
    <row r="578" customFormat="false" ht="15" hidden="false" customHeight="false" outlineLevel="0" collapsed="false">
      <c r="A578" s="19" t="n">
        <v>577</v>
      </c>
      <c r="B578" s="20" t="n">
        <v>55</v>
      </c>
      <c r="C578" s="20" t="n">
        <v>1</v>
      </c>
      <c r="D578" s="20" t="n">
        <v>4</v>
      </c>
      <c r="E578" s="20" t="n">
        <v>140</v>
      </c>
      <c r="F578" s="20" t="n">
        <v>201</v>
      </c>
      <c r="G578" s="20" t="n">
        <v>0</v>
      </c>
      <c r="H578" s="20" t="n">
        <v>0</v>
      </c>
      <c r="I578" s="20" t="n">
        <v>130</v>
      </c>
      <c r="J578" s="20" t="n">
        <v>1</v>
      </c>
      <c r="K578" s="21" t="n">
        <v>3</v>
      </c>
      <c r="L578" s="20" t="n">
        <v>2</v>
      </c>
      <c r="M578" s="20"/>
      <c r="N578" s="20"/>
      <c r="O578" s="20" t="n">
        <v>1</v>
      </c>
      <c r="P578" s="22" t="s">
        <v>105</v>
      </c>
    </row>
    <row r="579" customFormat="false" ht="15" hidden="false" customHeight="false" outlineLevel="0" collapsed="false">
      <c r="A579" s="19" t="n">
        <v>578</v>
      </c>
      <c r="B579" s="20" t="n">
        <v>55</v>
      </c>
      <c r="C579" s="20" t="n">
        <v>1</v>
      </c>
      <c r="D579" s="20" t="n">
        <v>3</v>
      </c>
      <c r="E579" s="20" t="n">
        <v>120</v>
      </c>
      <c r="F579" s="20" t="n">
        <v>220</v>
      </c>
      <c r="G579" s="20" t="n">
        <v>0</v>
      </c>
      <c r="H579" s="20" t="n">
        <v>2</v>
      </c>
      <c r="I579" s="20" t="n">
        <v>134</v>
      </c>
      <c r="J579" s="20" t="n">
        <v>0</v>
      </c>
      <c r="K579" s="21" t="n">
        <v>0</v>
      </c>
      <c r="L579" s="20"/>
      <c r="M579" s="20"/>
      <c r="N579" s="20"/>
      <c r="O579" s="20" t="n">
        <v>0</v>
      </c>
      <c r="P579" s="22" t="s">
        <v>105</v>
      </c>
    </row>
    <row r="580" customFormat="false" ht="15" hidden="false" customHeight="false" outlineLevel="0" collapsed="false">
      <c r="A580" s="19" t="n">
        <v>579</v>
      </c>
      <c r="B580" s="20" t="n">
        <v>45</v>
      </c>
      <c r="C580" s="20" t="n">
        <v>0</v>
      </c>
      <c r="D580" s="20" t="n">
        <v>2</v>
      </c>
      <c r="E580" s="20" t="n">
        <v>180</v>
      </c>
      <c r="F580" s="20"/>
      <c r="G580" s="20" t="n">
        <v>0</v>
      </c>
      <c r="H580" s="20" t="n">
        <v>0</v>
      </c>
      <c r="I580" s="20" t="n">
        <v>180</v>
      </c>
      <c r="J580" s="20" t="n">
        <v>0</v>
      </c>
      <c r="K580" s="21" t="n">
        <v>0</v>
      </c>
      <c r="L580" s="20"/>
      <c r="M580" s="20"/>
      <c r="N580" s="20"/>
      <c r="O580" s="20" t="n">
        <v>0</v>
      </c>
      <c r="P580" s="22" t="s">
        <v>105</v>
      </c>
    </row>
    <row r="581" customFormat="false" ht="15" hidden="false" customHeight="false" outlineLevel="0" collapsed="false">
      <c r="A581" s="19" t="n">
        <v>580</v>
      </c>
      <c r="B581" s="20" t="n">
        <v>59</v>
      </c>
      <c r="C581" s="20" t="n">
        <v>1</v>
      </c>
      <c r="D581" s="20" t="n">
        <v>3</v>
      </c>
      <c r="E581" s="20" t="n">
        <v>180</v>
      </c>
      <c r="F581" s="20" t="n">
        <v>213</v>
      </c>
      <c r="G581" s="20" t="n">
        <v>0</v>
      </c>
      <c r="H581" s="20" t="n">
        <v>0</v>
      </c>
      <c r="I581" s="20" t="n">
        <v>100</v>
      </c>
      <c r="J581" s="20" t="n">
        <v>0</v>
      </c>
      <c r="K581" s="21" t="n">
        <v>0</v>
      </c>
      <c r="L581" s="20"/>
      <c r="M581" s="20"/>
      <c r="N581" s="20"/>
      <c r="O581" s="20" t="n">
        <v>0</v>
      </c>
      <c r="P581" s="22" t="s">
        <v>105</v>
      </c>
    </row>
    <row r="582" customFormat="false" ht="15" hidden="false" customHeight="false" outlineLevel="0" collapsed="false">
      <c r="A582" s="19" t="n">
        <v>581</v>
      </c>
      <c r="B582" s="20" t="n">
        <v>51</v>
      </c>
      <c r="C582" s="20" t="n">
        <v>1</v>
      </c>
      <c r="D582" s="20" t="n">
        <v>3</v>
      </c>
      <c r="E582" s="20" t="n">
        <v>135</v>
      </c>
      <c r="F582" s="20" t="n">
        <v>160</v>
      </c>
      <c r="G582" s="20" t="n">
        <v>0</v>
      </c>
      <c r="H582" s="20" t="n">
        <v>0</v>
      </c>
      <c r="I582" s="20" t="n">
        <v>150</v>
      </c>
      <c r="J582" s="20" t="n">
        <v>0</v>
      </c>
      <c r="K582" s="21" t="n">
        <v>2</v>
      </c>
      <c r="L582" s="20" t="n">
        <v>2</v>
      </c>
      <c r="M582" s="20"/>
      <c r="N582" s="20"/>
      <c r="O582" s="20" t="n">
        <v>3</v>
      </c>
      <c r="P582" s="22" t="s">
        <v>105</v>
      </c>
    </row>
    <row r="583" customFormat="false" ht="15" hidden="false" customHeight="false" outlineLevel="0" collapsed="false">
      <c r="A583" s="19" t="n">
        <v>582</v>
      </c>
      <c r="B583" s="20" t="n">
        <v>52</v>
      </c>
      <c r="C583" s="20" t="n">
        <v>1</v>
      </c>
      <c r="D583" s="20" t="n">
        <v>4</v>
      </c>
      <c r="E583" s="20" t="n">
        <v>170</v>
      </c>
      <c r="F583" s="20"/>
      <c r="G583" s="20" t="n">
        <v>0</v>
      </c>
      <c r="H583" s="20" t="n">
        <v>0</v>
      </c>
      <c r="I583" s="20" t="n">
        <v>126</v>
      </c>
      <c r="J583" s="20" t="n">
        <v>1</v>
      </c>
      <c r="K583" s="21" t="n">
        <v>1.5</v>
      </c>
      <c r="L583" s="20" t="n">
        <v>2</v>
      </c>
      <c r="M583" s="20"/>
      <c r="N583" s="20"/>
      <c r="O583" s="20" t="n">
        <v>2</v>
      </c>
      <c r="P583" s="22" t="s">
        <v>105</v>
      </c>
    </row>
    <row r="584" customFormat="false" ht="15" hidden="false" customHeight="false" outlineLevel="0" collapsed="false">
      <c r="A584" s="19" t="n">
        <v>583</v>
      </c>
      <c r="B584" s="20" t="n">
        <v>57</v>
      </c>
      <c r="C584" s="20" t="n">
        <v>0</v>
      </c>
      <c r="D584" s="20" t="n">
        <v>4</v>
      </c>
      <c r="E584" s="20" t="n">
        <v>180</v>
      </c>
      <c r="F584" s="20" t="n">
        <v>347</v>
      </c>
      <c r="G584" s="20" t="n">
        <v>0</v>
      </c>
      <c r="H584" s="20" t="n">
        <v>1</v>
      </c>
      <c r="I584" s="20" t="n">
        <v>126</v>
      </c>
      <c r="J584" s="20" t="n">
        <v>1</v>
      </c>
      <c r="K584" s="21" t="n">
        <v>0.8</v>
      </c>
      <c r="L584" s="20" t="n">
        <v>2</v>
      </c>
      <c r="M584" s="20"/>
      <c r="N584" s="20"/>
      <c r="O584" s="20" t="n">
        <v>0</v>
      </c>
      <c r="P584" s="22" t="s">
        <v>105</v>
      </c>
    </row>
    <row r="585" customFormat="false" ht="15" hidden="false" customHeight="false" outlineLevel="0" collapsed="false">
      <c r="A585" s="19" t="n">
        <v>584</v>
      </c>
      <c r="B585" s="20" t="n">
        <v>54</v>
      </c>
      <c r="C585" s="20" t="n">
        <v>0</v>
      </c>
      <c r="D585" s="20" t="n">
        <v>2</v>
      </c>
      <c r="E585" s="20" t="n">
        <v>130</v>
      </c>
      <c r="F585" s="20" t="n">
        <v>253</v>
      </c>
      <c r="G585" s="20" t="n">
        <v>0</v>
      </c>
      <c r="H585" s="20" t="n">
        <v>1</v>
      </c>
      <c r="I585" s="20" t="n">
        <v>155</v>
      </c>
      <c r="J585" s="20" t="n">
        <v>0</v>
      </c>
      <c r="K585" s="21" t="n">
        <v>0</v>
      </c>
      <c r="L585" s="20"/>
      <c r="M585" s="20"/>
      <c r="N585" s="20"/>
      <c r="O585" s="20" t="n">
        <v>0</v>
      </c>
      <c r="P585" s="22" t="s">
        <v>105</v>
      </c>
    </row>
    <row r="586" customFormat="false" ht="15" hidden="false" customHeight="false" outlineLevel="0" collapsed="false">
      <c r="A586" s="19" t="n">
        <v>585</v>
      </c>
      <c r="B586" s="20" t="n">
        <v>60</v>
      </c>
      <c r="C586" s="20" t="n">
        <v>1</v>
      </c>
      <c r="D586" s="20" t="n">
        <v>3</v>
      </c>
      <c r="E586" s="20" t="n">
        <v>120</v>
      </c>
      <c r="F586" s="20" t="n">
        <v>246</v>
      </c>
      <c r="G586" s="20" t="n">
        <v>0</v>
      </c>
      <c r="H586" s="20" t="n">
        <v>2</v>
      </c>
      <c r="I586" s="20" t="n">
        <v>135</v>
      </c>
      <c r="J586" s="20" t="n">
        <v>0</v>
      </c>
      <c r="K586" s="21" t="n">
        <v>0</v>
      </c>
      <c r="L586" s="20"/>
      <c r="M586" s="20"/>
      <c r="N586" s="20"/>
      <c r="O586" s="20" t="n">
        <v>0</v>
      </c>
      <c r="P586" s="22" t="s">
        <v>105</v>
      </c>
    </row>
    <row r="587" customFormat="false" ht="15" hidden="false" customHeight="false" outlineLevel="0" collapsed="false">
      <c r="A587" s="19" t="n">
        <v>586</v>
      </c>
      <c r="B587" s="20" t="n">
        <v>49</v>
      </c>
      <c r="C587" s="20" t="n">
        <v>1</v>
      </c>
      <c r="D587" s="20" t="n">
        <v>4</v>
      </c>
      <c r="E587" s="20" t="n">
        <v>150</v>
      </c>
      <c r="F587" s="20" t="n">
        <v>222</v>
      </c>
      <c r="G587" s="20" t="n">
        <v>0</v>
      </c>
      <c r="H587" s="20" t="n">
        <v>0</v>
      </c>
      <c r="I587" s="20" t="n">
        <v>122</v>
      </c>
      <c r="J587" s="20" t="n">
        <v>0</v>
      </c>
      <c r="K587" s="21" t="n">
        <v>2</v>
      </c>
      <c r="L587" s="20" t="n">
        <v>2</v>
      </c>
      <c r="M587" s="20"/>
      <c r="N587" s="20"/>
      <c r="O587" s="20" t="n">
        <v>4</v>
      </c>
      <c r="P587" s="22" t="s">
        <v>105</v>
      </c>
    </row>
    <row r="588" customFormat="false" ht="15" hidden="false" customHeight="false" outlineLevel="0" collapsed="false">
      <c r="A588" s="19" t="n">
        <v>587</v>
      </c>
      <c r="B588" s="20" t="n">
        <v>51</v>
      </c>
      <c r="C588" s="20" t="n">
        <v>0</v>
      </c>
      <c r="D588" s="20" t="n">
        <v>3</v>
      </c>
      <c r="E588" s="20" t="n">
        <v>130</v>
      </c>
      <c r="F588" s="20" t="n">
        <v>220</v>
      </c>
      <c r="G588" s="20" t="n">
        <v>0</v>
      </c>
      <c r="H588" s="20" t="n">
        <v>0</v>
      </c>
      <c r="I588" s="20" t="n">
        <v>160</v>
      </c>
      <c r="J588" s="20" t="n">
        <v>1</v>
      </c>
      <c r="K588" s="21" t="n">
        <v>2</v>
      </c>
      <c r="L588" s="20" t="n">
        <v>1</v>
      </c>
      <c r="M588" s="20"/>
      <c r="N588" s="20"/>
      <c r="O588" s="20" t="n">
        <v>0</v>
      </c>
      <c r="P588" s="22" t="s">
        <v>105</v>
      </c>
    </row>
    <row r="589" customFormat="false" ht="15" hidden="false" customHeight="false" outlineLevel="0" collapsed="false">
      <c r="A589" s="19" t="n">
        <v>588</v>
      </c>
      <c r="B589" s="20" t="n">
        <v>55</v>
      </c>
      <c r="C589" s="20" t="n">
        <v>0</v>
      </c>
      <c r="D589" s="20" t="n">
        <v>2</v>
      </c>
      <c r="E589" s="20" t="n">
        <v>110</v>
      </c>
      <c r="F589" s="20" t="n">
        <v>344</v>
      </c>
      <c r="G589" s="20" t="n">
        <v>0</v>
      </c>
      <c r="H589" s="20" t="n">
        <v>1</v>
      </c>
      <c r="I589" s="20" t="n">
        <v>160</v>
      </c>
      <c r="J589" s="20" t="n">
        <v>0</v>
      </c>
      <c r="K589" s="21" t="n">
        <v>0</v>
      </c>
      <c r="L589" s="20"/>
      <c r="M589" s="20"/>
      <c r="N589" s="20"/>
      <c r="O589" s="20" t="n">
        <v>0</v>
      </c>
      <c r="P589" s="22" t="s">
        <v>105</v>
      </c>
    </row>
    <row r="590" customFormat="false" ht="15" hidden="false" customHeight="false" outlineLevel="0" collapsed="false">
      <c r="A590" s="19" t="n">
        <v>589</v>
      </c>
      <c r="B590" s="20" t="n">
        <v>42</v>
      </c>
      <c r="C590" s="20" t="n">
        <v>1</v>
      </c>
      <c r="D590" s="20" t="n">
        <v>4</v>
      </c>
      <c r="E590" s="20" t="n">
        <v>140</v>
      </c>
      <c r="F590" s="20" t="n">
        <v>358</v>
      </c>
      <c r="G590" s="20" t="n">
        <v>0</v>
      </c>
      <c r="H590" s="20" t="n">
        <v>0</v>
      </c>
      <c r="I590" s="20" t="n">
        <v>170</v>
      </c>
      <c r="J590" s="20" t="n">
        <v>0</v>
      </c>
      <c r="K590" s="21" t="n">
        <v>0</v>
      </c>
      <c r="L590" s="20"/>
      <c r="M590" s="20"/>
      <c r="N590" s="20"/>
      <c r="O590" s="20" t="n">
        <v>0</v>
      </c>
      <c r="P590" s="22" t="s">
        <v>105</v>
      </c>
    </row>
    <row r="591" customFormat="false" ht="15" hidden="false" customHeight="false" outlineLevel="0" collapsed="false">
      <c r="A591" s="19" t="n">
        <v>590</v>
      </c>
      <c r="B591" s="20" t="n">
        <v>51</v>
      </c>
      <c r="C591" s="20" t="n">
        <v>0</v>
      </c>
      <c r="D591" s="20" t="n">
        <v>3</v>
      </c>
      <c r="E591" s="20" t="n">
        <v>110</v>
      </c>
      <c r="F591" s="20" t="n">
        <v>190</v>
      </c>
      <c r="G591" s="20" t="n">
        <v>0</v>
      </c>
      <c r="H591" s="20" t="n">
        <v>0</v>
      </c>
      <c r="I591" s="20" t="n">
        <v>120</v>
      </c>
      <c r="J591" s="20" t="n">
        <v>0</v>
      </c>
      <c r="K591" s="21" t="n">
        <v>0</v>
      </c>
      <c r="L591" s="20"/>
      <c r="M591" s="20"/>
      <c r="N591" s="20"/>
      <c r="O591" s="20" t="n">
        <v>0</v>
      </c>
      <c r="P591" s="22" t="s">
        <v>105</v>
      </c>
    </row>
    <row r="592" customFormat="false" ht="15" hidden="false" customHeight="false" outlineLevel="0" collapsed="false">
      <c r="A592" s="19" t="n">
        <v>591</v>
      </c>
      <c r="B592" s="20" t="n">
        <v>59</v>
      </c>
      <c r="C592" s="20" t="n">
        <v>1</v>
      </c>
      <c r="D592" s="20" t="n">
        <v>4</v>
      </c>
      <c r="E592" s="20" t="n">
        <v>140</v>
      </c>
      <c r="F592" s="20"/>
      <c r="G592" s="20" t="n">
        <v>0</v>
      </c>
      <c r="H592" s="20" t="n">
        <v>0</v>
      </c>
      <c r="I592" s="20" t="n">
        <v>140</v>
      </c>
      <c r="J592" s="20" t="n">
        <v>0</v>
      </c>
      <c r="K592" s="21" t="n">
        <v>0</v>
      </c>
      <c r="L592" s="20"/>
      <c r="M592" s="20" t="n">
        <v>0</v>
      </c>
      <c r="N592" s="20"/>
      <c r="O592" s="20" t="n">
        <v>0</v>
      </c>
      <c r="P592" s="22" t="s">
        <v>105</v>
      </c>
    </row>
    <row r="593" customFormat="false" ht="15" hidden="false" customHeight="false" outlineLevel="0" collapsed="false">
      <c r="A593" s="19" t="n">
        <v>592</v>
      </c>
      <c r="B593" s="20" t="n">
        <v>53</v>
      </c>
      <c r="C593" s="20" t="n">
        <v>1</v>
      </c>
      <c r="D593" s="20" t="n">
        <v>2</v>
      </c>
      <c r="E593" s="20" t="n">
        <v>120</v>
      </c>
      <c r="F593" s="20"/>
      <c r="G593" s="20" t="n">
        <v>0</v>
      </c>
      <c r="H593" s="20" t="n">
        <v>0</v>
      </c>
      <c r="I593" s="20" t="n">
        <v>132</v>
      </c>
      <c r="J593" s="20" t="n">
        <v>0</v>
      </c>
      <c r="K593" s="21" t="n">
        <v>0</v>
      </c>
      <c r="L593" s="20"/>
      <c r="M593" s="20"/>
      <c r="N593" s="20"/>
      <c r="O593" s="20" t="n">
        <v>0</v>
      </c>
      <c r="P593" s="22" t="s">
        <v>105</v>
      </c>
    </row>
    <row r="594" customFormat="false" ht="15" hidden="false" customHeight="false" outlineLevel="0" collapsed="false">
      <c r="A594" s="19" t="n">
        <v>593</v>
      </c>
      <c r="B594" s="20" t="n">
        <v>48</v>
      </c>
      <c r="C594" s="20" t="n">
        <v>0</v>
      </c>
      <c r="D594" s="20" t="n">
        <v>2</v>
      </c>
      <c r="E594" s="20"/>
      <c r="F594" s="20" t="n">
        <v>308</v>
      </c>
      <c r="G594" s="20" t="n">
        <v>0</v>
      </c>
      <c r="H594" s="20" t="n">
        <v>1</v>
      </c>
      <c r="I594" s="20"/>
      <c r="J594" s="20"/>
      <c r="K594" s="21" t="n">
        <v>2</v>
      </c>
      <c r="L594" s="20" t="n">
        <v>1</v>
      </c>
      <c r="M594" s="20"/>
      <c r="N594" s="20"/>
      <c r="O594" s="20" t="n">
        <v>0</v>
      </c>
      <c r="P594" s="22" t="s">
        <v>105</v>
      </c>
    </row>
    <row r="595" customFormat="false" ht="15" hidden="false" customHeight="false" outlineLevel="0" collapsed="false">
      <c r="A595" s="19" t="n">
        <v>594</v>
      </c>
      <c r="B595" s="20" t="n">
        <v>36</v>
      </c>
      <c r="C595" s="20" t="n">
        <v>1</v>
      </c>
      <c r="D595" s="20" t="n">
        <v>2</v>
      </c>
      <c r="E595" s="20" t="n">
        <v>120</v>
      </c>
      <c r="F595" s="20" t="n">
        <v>166</v>
      </c>
      <c r="G595" s="20" t="n">
        <v>0</v>
      </c>
      <c r="H595" s="20" t="n">
        <v>0</v>
      </c>
      <c r="I595" s="20" t="n">
        <v>180</v>
      </c>
      <c r="J595" s="20" t="n">
        <v>0</v>
      </c>
      <c r="K595" s="21" t="n">
        <v>0</v>
      </c>
      <c r="L595" s="20"/>
      <c r="M595" s="20"/>
      <c r="N595" s="20"/>
      <c r="O595" s="20" t="n">
        <v>0</v>
      </c>
      <c r="P595" s="22" t="s">
        <v>105</v>
      </c>
    </row>
    <row r="596" customFormat="false" ht="15" hidden="false" customHeight="false" outlineLevel="0" collapsed="false">
      <c r="A596" s="19" t="n">
        <v>595</v>
      </c>
      <c r="B596" s="20" t="n">
        <v>48</v>
      </c>
      <c r="C596" s="20" t="n">
        <v>1</v>
      </c>
      <c r="D596" s="20" t="n">
        <v>3</v>
      </c>
      <c r="E596" s="20" t="n">
        <v>110</v>
      </c>
      <c r="F596" s="20" t="n">
        <v>211</v>
      </c>
      <c r="G596" s="20" t="n">
        <v>0</v>
      </c>
      <c r="H596" s="20" t="n">
        <v>0</v>
      </c>
      <c r="I596" s="20" t="n">
        <v>138</v>
      </c>
      <c r="J596" s="20" t="n">
        <v>0</v>
      </c>
      <c r="K596" s="21" t="n">
        <v>0</v>
      </c>
      <c r="L596" s="20"/>
      <c r="M596" s="20"/>
      <c r="N596" s="20" t="n">
        <v>6</v>
      </c>
      <c r="O596" s="20" t="n">
        <v>0</v>
      </c>
      <c r="P596" s="22" t="s">
        <v>105</v>
      </c>
    </row>
    <row r="597" customFormat="false" ht="15" hidden="false" customHeight="false" outlineLevel="0" collapsed="false">
      <c r="A597" s="19" t="n">
        <v>596</v>
      </c>
      <c r="B597" s="20" t="n">
        <v>47</v>
      </c>
      <c r="C597" s="20" t="n">
        <v>0</v>
      </c>
      <c r="D597" s="20" t="n">
        <v>2</v>
      </c>
      <c r="E597" s="20" t="n">
        <v>140</v>
      </c>
      <c r="F597" s="20" t="n">
        <v>257</v>
      </c>
      <c r="G597" s="20" t="n">
        <v>0</v>
      </c>
      <c r="H597" s="20" t="n">
        <v>0</v>
      </c>
      <c r="I597" s="20" t="n">
        <v>135</v>
      </c>
      <c r="J597" s="20" t="n">
        <v>0</v>
      </c>
      <c r="K597" s="21" t="n">
        <v>1</v>
      </c>
      <c r="L597" s="20" t="n">
        <v>1</v>
      </c>
      <c r="M597" s="20"/>
      <c r="N597" s="20"/>
      <c r="O597" s="20" t="n">
        <v>0</v>
      </c>
      <c r="P597" s="22" t="s">
        <v>105</v>
      </c>
    </row>
    <row r="598" customFormat="false" ht="15" hidden="false" customHeight="false" outlineLevel="0" collapsed="false">
      <c r="A598" s="19" t="n">
        <v>597</v>
      </c>
      <c r="B598" s="20" t="n">
        <v>53</v>
      </c>
      <c r="C598" s="20" t="n">
        <v>1</v>
      </c>
      <c r="D598" s="20" t="n">
        <v>4</v>
      </c>
      <c r="E598" s="20" t="n">
        <v>130</v>
      </c>
      <c r="F598" s="20" t="n">
        <v>182</v>
      </c>
      <c r="G598" s="20" t="n">
        <v>0</v>
      </c>
      <c r="H598" s="20" t="n">
        <v>0</v>
      </c>
      <c r="I598" s="20" t="n">
        <v>148</v>
      </c>
      <c r="J598" s="20" t="n">
        <v>0</v>
      </c>
      <c r="K598" s="21" t="n">
        <v>0</v>
      </c>
      <c r="L598" s="20"/>
      <c r="M598" s="20"/>
      <c r="N598" s="20"/>
      <c r="O598" s="20" t="n">
        <v>0</v>
      </c>
      <c r="P598" s="22" t="s">
        <v>105</v>
      </c>
    </row>
    <row r="599" customFormat="false" ht="15" hidden="false" customHeight="false" outlineLevel="0" collapsed="false">
      <c r="A599" s="19" t="n">
        <v>598</v>
      </c>
      <c r="B599" s="20" t="n">
        <v>32</v>
      </c>
      <c r="C599" s="20" t="n">
        <v>1</v>
      </c>
      <c r="D599" s="20" t="n">
        <v>1</v>
      </c>
      <c r="E599" s="20" t="n">
        <v>95</v>
      </c>
      <c r="F599" s="23" t="n">
        <v>0</v>
      </c>
      <c r="G599" s="20"/>
      <c r="H599" s="20" t="n">
        <v>0</v>
      </c>
      <c r="I599" s="20" t="n">
        <v>127</v>
      </c>
      <c r="J599" s="20" t="n">
        <v>0</v>
      </c>
      <c r="K599" s="21" t="n">
        <v>0.7</v>
      </c>
      <c r="L599" s="20" t="n">
        <v>1</v>
      </c>
      <c r="M599" s="20"/>
      <c r="N599" s="20"/>
      <c r="O599" s="20" t="n">
        <v>1</v>
      </c>
      <c r="P599" s="22" t="s">
        <v>106</v>
      </c>
    </row>
    <row r="600" customFormat="false" ht="15" hidden="false" customHeight="false" outlineLevel="0" collapsed="false">
      <c r="A600" s="19" t="n">
        <v>599</v>
      </c>
      <c r="B600" s="20" t="n">
        <v>34</v>
      </c>
      <c r="C600" s="20" t="n">
        <v>1</v>
      </c>
      <c r="D600" s="20" t="n">
        <v>4</v>
      </c>
      <c r="E600" s="20" t="n">
        <v>115</v>
      </c>
      <c r="F600" s="23" t="n">
        <v>0</v>
      </c>
      <c r="G600" s="20"/>
      <c r="H600" s="20"/>
      <c r="I600" s="20" t="n">
        <v>154</v>
      </c>
      <c r="J600" s="20" t="n">
        <v>0</v>
      </c>
      <c r="K600" s="21" t="n">
        <v>0.2</v>
      </c>
      <c r="L600" s="20" t="n">
        <v>1</v>
      </c>
      <c r="M600" s="20"/>
      <c r="N600" s="20"/>
      <c r="O600" s="20" t="n">
        <v>1</v>
      </c>
      <c r="P600" s="22" t="s">
        <v>106</v>
      </c>
    </row>
    <row r="601" customFormat="false" ht="15" hidden="false" customHeight="false" outlineLevel="0" collapsed="false">
      <c r="A601" s="19" t="n">
        <v>600</v>
      </c>
      <c r="B601" s="20" t="n">
        <v>35</v>
      </c>
      <c r="C601" s="20" t="n">
        <v>1</v>
      </c>
      <c r="D601" s="20" t="n">
        <v>4</v>
      </c>
      <c r="E601" s="20"/>
      <c r="F601" s="23" t="n">
        <v>0</v>
      </c>
      <c r="G601" s="20"/>
      <c r="H601" s="20" t="n">
        <v>0</v>
      </c>
      <c r="I601" s="20" t="n">
        <v>130</v>
      </c>
      <c r="J601" s="20" t="n">
        <v>1</v>
      </c>
      <c r="K601" s="21"/>
      <c r="L601" s="20"/>
      <c r="M601" s="20"/>
      <c r="N601" s="20" t="n">
        <v>7</v>
      </c>
      <c r="O601" s="20" t="n">
        <v>3</v>
      </c>
      <c r="P601" s="22" t="s">
        <v>106</v>
      </c>
    </row>
    <row r="602" customFormat="false" ht="15" hidden="false" customHeight="false" outlineLevel="0" collapsed="false">
      <c r="A602" s="19" t="n">
        <v>601</v>
      </c>
      <c r="B602" s="20" t="n">
        <v>36</v>
      </c>
      <c r="C602" s="20" t="n">
        <v>1</v>
      </c>
      <c r="D602" s="20" t="n">
        <v>4</v>
      </c>
      <c r="E602" s="20" t="n">
        <v>110</v>
      </c>
      <c r="F602" s="23" t="n">
        <v>0</v>
      </c>
      <c r="G602" s="20"/>
      <c r="H602" s="20" t="n">
        <v>0</v>
      </c>
      <c r="I602" s="20" t="n">
        <v>125</v>
      </c>
      <c r="J602" s="20" t="n">
        <v>1</v>
      </c>
      <c r="K602" s="21" t="n">
        <v>1</v>
      </c>
      <c r="L602" s="20" t="n">
        <v>2</v>
      </c>
      <c r="M602" s="20"/>
      <c r="N602" s="20" t="n">
        <v>6</v>
      </c>
      <c r="O602" s="20" t="n">
        <v>1</v>
      </c>
      <c r="P602" s="22" t="s">
        <v>106</v>
      </c>
    </row>
    <row r="603" customFormat="false" ht="15" hidden="false" customHeight="false" outlineLevel="0" collapsed="false">
      <c r="A603" s="19" t="n">
        <v>602</v>
      </c>
      <c r="B603" s="20" t="n">
        <v>38</v>
      </c>
      <c r="C603" s="20" t="n">
        <v>0</v>
      </c>
      <c r="D603" s="20" t="n">
        <v>4</v>
      </c>
      <c r="E603" s="20" t="n">
        <v>105</v>
      </c>
      <c r="F603" s="23" t="n">
        <v>0</v>
      </c>
      <c r="G603" s="20"/>
      <c r="H603" s="20" t="n">
        <v>0</v>
      </c>
      <c r="I603" s="20" t="n">
        <v>166</v>
      </c>
      <c r="J603" s="20" t="n">
        <v>0</v>
      </c>
      <c r="K603" s="21" t="n">
        <v>2.8</v>
      </c>
      <c r="L603" s="20" t="n">
        <v>1</v>
      </c>
      <c r="M603" s="20"/>
      <c r="N603" s="20"/>
      <c r="O603" s="20" t="n">
        <v>2</v>
      </c>
      <c r="P603" s="22" t="s">
        <v>106</v>
      </c>
    </row>
    <row r="604" customFormat="false" ht="15" hidden="false" customHeight="false" outlineLevel="0" collapsed="false">
      <c r="A604" s="19" t="n">
        <v>603</v>
      </c>
      <c r="B604" s="20" t="n">
        <v>38</v>
      </c>
      <c r="C604" s="20" t="n">
        <v>0</v>
      </c>
      <c r="D604" s="20" t="n">
        <v>4</v>
      </c>
      <c r="E604" s="20" t="n">
        <v>110</v>
      </c>
      <c r="F604" s="23" t="n">
        <v>0</v>
      </c>
      <c r="G604" s="20" t="n">
        <v>0</v>
      </c>
      <c r="H604" s="20" t="n">
        <v>0</v>
      </c>
      <c r="I604" s="20" t="n">
        <v>156</v>
      </c>
      <c r="J604" s="20" t="n">
        <v>0</v>
      </c>
      <c r="K604" s="21" t="n">
        <v>0</v>
      </c>
      <c r="L604" s="20" t="n">
        <v>2</v>
      </c>
      <c r="M604" s="20"/>
      <c r="N604" s="20" t="n">
        <v>3</v>
      </c>
      <c r="O604" s="20" t="n">
        <v>1</v>
      </c>
      <c r="P604" s="22" t="s">
        <v>106</v>
      </c>
    </row>
    <row r="605" customFormat="false" ht="15" hidden="false" customHeight="false" outlineLevel="0" collapsed="false">
      <c r="A605" s="19" t="n">
        <v>604</v>
      </c>
      <c r="B605" s="20" t="n">
        <v>38</v>
      </c>
      <c r="C605" s="20" t="n">
        <v>1</v>
      </c>
      <c r="D605" s="20" t="n">
        <v>3</v>
      </c>
      <c r="E605" s="20" t="n">
        <v>100</v>
      </c>
      <c r="F605" s="23" t="n">
        <v>0</v>
      </c>
      <c r="G605" s="20"/>
      <c r="H605" s="20" t="n">
        <v>0</v>
      </c>
      <c r="I605" s="20" t="n">
        <v>179</v>
      </c>
      <c r="J605" s="20" t="n">
        <v>0</v>
      </c>
      <c r="K605" s="25" t="n">
        <v>-1.1</v>
      </c>
      <c r="L605" s="20" t="n">
        <v>1</v>
      </c>
      <c r="M605" s="20"/>
      <c r="N605" s="20"/>
      <c r="O605" s="20" t="n">
        <v>0</v>
      </c>
      <c r="P605" s="22" t="s">
        <v>106</v>
      </c>
    </row>
    <row r="606" customFormat="false" ht="15" hidden="false" customHeight="false" outlineLevel="0" collapsed="false">
      <c r="A606" s="19" t="n">
        <v>605</v>
      </c>
      <c r="B606" s="20" t="n">
        <v>38</v>
      </c>
      <c r="C606" s="20" t="n">
        <v>1</v>
      </c>
      <c r="D606" s="20" t="n">
        <v>3</v>
      </c>
      <c r="E606" s="20" t="n">
        <v>115</v>
      </c>
      <c r="F606" s="23" t="n">
        <v>0</v>
      </c>
      <c r="G606" s="20" t="n">
        <v>0</v>
      </c>
      <c r="H606" s="20" t="n">
        <v>0</v>
      </c>
      <c r="I606" s="20" t="n">
        <v>128</v>
      </c>
      <c r="J606" s="20" t="n">
        <v>1</v>
      </c>
      <c r="K606" s="21" t="n">
        <v>0</v>
      </c>
      <c r="L606" s="20" t="n">
        <v>2</v>
      </c>
      <c r="M606" s="20"/>
      <c r="N606" s="20" t="n">
        <v>7</v>
      </c>
      <c r="O606" s="20" t="n">
        <v>1</v>
      </c>
      <c r="P606" s="22" t="s">
        <v>106</v>
      </c>
    </row>
    <row r="607" customFormat="false" ht="15" hidden="false" customHeight="false" outlineLevel="0" collapsed="false">
      <c r="A607" s="19" t="n">
        <v>606</v>
      </c>
      <c r="B607" s="20" t="n">
        <v>38</v>
      </c>
      <c r="C607" s="20" t="n">
        <v>1</v>
      </c>
      <c r="D607" s="20" t="n">
        <v>4</v>
      </c>
      <c r="E607" s="20" t="n">
        <v>135</v>
      </c>
      <c r="F607" s="23" t="n">
        <v>0</v>
      </c>
      <c r="G607" s="20"/>
      <c r="H607" s="20" t="n">
        <v>0</v>
      </c>
      <c r="I607" s="20" t="n">
        <v>150</v>
      </c>
      <c r="J607" s="20" t="n">
        <v>0</v>
      </c>
      <c r="K607" s="21" t="n">
        <v>0</v>
      </c>
      <c r="L607" s="20"/>
      <c r="M607" s="20"/>
      <c r="N607" s="20" t="n">
        <v>3</v>
      </c>
      <c r="O607" s="20" t="n">
        <v>2</v>
      </c>
      <c r="P607" s="22" t="s">
        <v>106</v>
      </c>
    </row>
    <row r="608" customFormat="false" ht="15" hidden="false" customHeight="false" outlineLevel="0" collapsed="false">
      <c r="A608" s="19" t="n">
        <v>607</v>
      </c>
      <c r="B608" s="20" t="n">
        <v>38</v>
      </c>
      <c r="C608" s="20" t="n">
        <v>1</v>
      </c>
      <c r="D608" s="20" t="n">
        <v>4</v>
      </c>
      <c r="E608" s="20" t="n">
        <v>150</v>
      </c>
      <c r="F608" s="23" t="n">
        <v>0</v>
      </c>
      <c r="G608" s="20"/>
      <c r="H608" s="20" t="n">
        <v>0</v>
      </c>
      <c r="I608" s="20" t="n">
        <v>120</v>
      </c>
      <c r="J608" s="20" t="n">
        <v>1</v>
      </c>
      <c r="K608" s="21"/>
      <c r="L608" s="20"/>
      <c r="M608" s="20"/>
      <c r="N608" s="20" t="n">
        <v>3</v>
      </c>
      <c r="O608" s="20" t="n">
        <v>1</v>
      </c>
      <c r="P608" s="22" t="s">
        <v>106</v>
      </c>
    </row>
    <row r="609" customFormat="false" ht="15" hidden="false" customHeight="false" outlineLevel="0" collapsed="false">
      <c r="A609" s="19" t="n">
        <v>608</v>
      </c>
      <c r="B609" s="20" t="n">
        <v>40</v>
      </c>
      <c r="C609" s="20" t="n">
        <v>1</v>
      </c>
      <c r="D609" s="20" t="n">
        <v>4</v>
      </c>
      <c r="E609" s="20" t="n">
        <v>95</v>
      </c>
      <c r="F609" s="23" t="n">
        <v>0</v>
      </c>
      <c r="G609" s="20"/>
      <c r="H609" s="20" t="n">
        <v>1</v>
      </c>
      <c r="I609" s="20" t="n">
        <v>144</v>
      </c>
      <c r="J609" s="20" t="n">
        <v>0</v>
      </c>
      <c r="K609" s="21" t="n">
        <v>0</v>
      </c>
      <c r="L609" s="20" t="n">
        <v>1</v>
      </c>
      <c r="M609" s="20"/>
      <c r="N609" s="20"/>
      <c r="O609" s="20" t="n">
        <v>2</v>
      </c>
      <c r="P609" s="22" t="s">
        <v>106</v>
      </c>
    </row>
    <row r="610" customFormat="false" ht="15" hidden="false" customHeight="false" outlineLevel="0" collapsed="false">
      <c r="A610" s="19" t="n">
        <v>609</v>
      </c>
      <c r="B610" s="20" t="n">
        <v>41</v>
      </c>
      <c r="C610" s="20" t="n">
        <v>1</v>
      </c>
      <c r="D610" s="20" t="n">
        <v>4</v>
      </c>
      <c r="E610" s="20" t="n">
        <v>125</v>
      </c>
      <c r="F610" s="23" t="n">
        <v>0</v>
      </c>
      <c r="G610" s="20"/>
      <c r="H610" s="20" t="n">
        <v>0</v>
      </c>
      <c r="I610" s="20" t="n">
        <v>176</v>
      </c>
      <c r="J610" s="20" t="n">
        <v>0</v>
      </c>
      <c r="K610" s="21" t="n">
        <v>1.6</v>
      </c>
      <c r="L610" s="20" t="n">
        <v>1</v>
      </c>
      <c r="M610" s="20"/>
      <c r="N610" s="20"/>
      <c r="O610" s="20" t="n">
        <v>2</v>
      </c>
      <c r="P610" s="22" t="s">
        <v>106</v>
      </c>
    </row>
    <row r="611" customFormat="false" ht="15" hidden="false" customHeight="false" outlineLevel="0" collapsed="false">
      <c r="A611" s="19" t="n">
        <v>610</v>
      </c>
      <c r="B611" s="20" t="n">
        <v>42</v>
      </c>
      <c r="C611" s="20" t="n">
        <v>1</v>
      </c>
      <c r="D611" s="20" t="n">
        <v>4</v>
      </c>
      <c r="E611" s="20" t="n">
        <v>105</v>
      </c>
      <c r="F611" s="23" t="n">
        <v>0</v>
      </c>
      <c r="G611" s="20"/>
      <c r="H611" s="20" t="n">
        <v>0</v>
      </c>
      <c r="I611" s="20" t="n">
        <v>128</v>
      </c>
      <c r="J611" s="20" t="n">
        <v>1</v>
      </c>
      <c r="K611" s="25" t="n">
        <v>-1.5</v>
      </c>
      <c r="L611" s="20" t="n">
        <v>3</v>
      </c>
      <c r="M611" s="20"/>
      <c r="N611" s="20"/>
      <c r="O611" s="20" t="n">
        <v>1</v>
      </c>
      <c r="P611" s="22" t="s">
        <v>106</v>
      </c>
    </row>
    <row r="612" customFormat="false" ht="15" hidden="false" customHeight="false" outlineLevel="0" collapsed="false">
      <c r="A612" s="19" t="n">
        <v>611</v>
      </c>
      <c r="B612" s="20" t="n">
        <v>42</v>
      </c>
      <c r="C612" s="20" t="n">
        <v>1</v>
      </c>
      <c r="D612" s="20" t="n">
        <v>4</v>
      </c>
      <c r="E612" s="20" t="n">
        <v>145</v>
      </c>
      <c r="F612" s="23" t="n">
        <v>0</v>
      </c>
      <c r="G612" s="20" t="n">
        <v>0</v>
      </c>
      <c r="H612" s="20" t="n">
        <v>0</v>
      </c>
      <c r="I612" s="20" t="n">
        <v>99</v>
      </c>
      <c r="J612" s="20" t="n">
        <v>1</v>
      </c>
      <c r="K612" s="21" t="n">
        <v>0</v>
      </c>
      <c r="L612" s="20" t="n">
        <v>2</v>
      </c>
      <c r="M612" s="20"/>
      <c r="N612" s="20"/>
      <c r="O612" s="20" t="n">
        <v>2</v>
      </c>
      <c r="P612" s="22" t="s">
        <v>106</v>
      </c>
    </row>
    <row r="613" customFormat="false" ht="15" hidden="false" customHeight="false" outlineLevel="0" collapsed="false">
      <c r="A613" s="19" t="n">
        <v>612</v>
      </c>
      <c r="B613" s="20" t="n">
        <v>43</v>
      </c>
      <c r="C613" s="20" t="n">
        <v>1</v>
      </c>
      <c r="D613" s="20" t="n">
        <v>4</v>
      </c>
      <c r="E613" s="20" t="n">
        <v>100</v>
      </c>
      <c r="F613" s="23" t="n">
        <v>0</v>
      </c>
      <c r="G613" s="20"/>
      <c r="H613" s="20" t="n">
        <v>0</v>
      </c>
      <c r="I613" s="20" t="n">
        <v>122</v>
      </c>
      <c r="J613" s="20" t="n">
        <v>0</v>
      </c>
      <c r="K613" s="21" t="n">
        <v>1.5</v>
      </c>
      <c r="L613" s="20" t="n">
        <v>3</v>
      </c>
      <c r="M613" s="20"/>
      <c r="N613" s="20"/>
      <c r="O613" s="20" t="n">
        <v>3</v>
      </c>
      <c r="P613" s="22" t="s">
        <v>106</v>
      </c>
    </row>
    <row r="614" customFormat="false" ht="15" hidden="false" customHeight="false" outlineLevel="0" collapsed="false">
      <c r="A614" s="19" t="n">
        <v>613</v>
      </c>
      <c r="B614" s="20" t="n">
        <v>43</v>
      </c>
      <c r="C614" s="20" t="n">
        <v>1</v>
      </c>
      <c r="D614" s="20" t="n">
        <v>4</v>
      </c>
      <c r="E614" s="20" t="n">
        <v>115</v>
      </c>
      <c r="F614" s="23" t="n">
        <v>0</v>
      </c>
      <c r="G614" s="20" t="n">
        <v>0</v>
      </c>
      <c r="H614" s="20" t="n">
        <v>0</v>
      </c>
      <c r="I614" s="20" t="n">
        <v>145</v>
      </c>
      <c r="J614" s="20" t="n">
        <v>1</v>
      </c>
      <c r="K614" s="21" t="n">
        <v>2</v>
      </c>
      <c r="L614" s="20" t="n">
        <v>2</v>
      </c>
      <c r="M614" s="20"/>
      <c r="N614" s="20" t="n">
        <v>7</v>
      </c>
      <c r="O614" s="20" t="n">
        <v>4</v>
      </c>
      <c r="P614" s="22" t="s">
        <v>106</v>
      </c>
    </row>
    <row r="615" customFormat="false" ht="15" hidden="false" customHeight="false" outlineLevel="0" collapsed="false">
      <c r="A615" s="19" t="n">
        <v>614</v>
      </c>
      <c r="B615" s="20" t="n">
        <v>43</v>
      </c>
      <c r="C615" s="20" t="n">
        <v>1</v>
      </c>
      <c r="D615" s="20" t="n">
        <v>4</v>
      </c>
      <c r="E615" s="20" t="n">
        <v>140</v>
      </c>
      <c r="F615" s="23" t="n">
        <v>0</v>
      </c>
      <c r="G615" s="20" t="n">
        <v>0</v>
      </c>
      <c r="H615" s="20" t="n">
        <v>1</v>
      </c>
      <c r="I615" s="20" t="n">
        <v>140</v>
      </c>
      <c r="J615" s="20" t="n">
        <v>1</v>
      </c>
      <c r="K615" s="21" t="n">
        <v>0.5</v>
      </c>
      <c r="L615" s="20" t="n">
        <v>1</v>
      </c>
      <c r="M615" s="20"/>
      <c r="N615" s="20" t="n">
        <v>7</v>
      </c>
      <c r="O615" s="20" t="n">
        <v>2</v>
      </c>
      <c r="P615" s="22" t="s">
        <v>106</v>
      </c>
    </row>
    <row r="616" customFormat="false" ht="15" hidden="false" customHeight="false" outlineLevel="0" collapsed="false">
      <c r="A616" s="19" t="n">
        <v>615</v>
      </c>
      <c r="B616" s="20" t="n">
        <v>45</v>
      </c>
      <c r="C616" s="20" t="n">
        <v>1</v>
      </c>
      <c r="D616" s="20" t="n">
        <v>3</v>
      </c>
      <c r="E616" s="20" t="n">
        <v>110</v>
      </c>
      <c r="F616" s="23" t="n">
        <v>0</v>
      </c>
      <c r="G616" s="20"/>
      <c r="H616" s="20" t="n">
        <v>0</v>
      </c>
      <c r="I616" s="20" t="n">
        <v>138</v>
      </c>
      <c r="J616" s="20" t="n">
        <v>0</v>
      </c>
      <c r="K616" s="25" t="n">
        <v>-0.1</v>
      </c>
      <c r="L616" s="20" t="n">
        <v>1</v>
      </c>
      <c r="M616" s="20"/>
      <c r="N616" s="20"/>
      <c r="O616" s="20" t="n">
        <v>0</v>
      </c>
      <c r="P616" s="22" t="s">
        <v>106</v>
      </c>
    </row>
    <row r="617" customFormat="false" ht="15" hidden="false" customHeight="false" outlineLevel="0" collapsed="false">
      <c r="A617" s="19" t="n">
        <v>616</v>
      </c>
      <c r="B617" s="20" t="n">
        <v>46</v>
      </c>
      <c r="C617" s="20" t="n">
        <v>1</v>
      </c>
      <c r="D617" s="20" t="n">
        <v>4</v>
      </c>
      <c r="E617" s="20" t="n">
        <v>100</v>
      </c>
      <c r="F617" s="23" t="n">
        <v>0</v>
      </c>
      <c r="G617" s="20"/>
      <c r="H617" s="20" t="n">
        <v>1</v>
      </c>
      <c r="I617" s="20" t="n">
        <v>133</v>
      </c>
      <c r="J617" s="20" t="n">
        <v>0</v>
      </c>
      <c r="K617" s="25" t="n">
        <v>-2.6</v>
      </c>
      <c r="L617" s="20" t="n">
        <v>2</v>
      </c>
      <c r="M617" s="20"/>
      <c r="N617" s="20"/>
      <c r="O617" s="20" t="n">
        <v>1</v>
      </c>
      <c r="P617" s="22" t="s">
        <v>106</v>
      </c>
    </row>
    <row r="618" customFormat="false" ht="15" hidden="false" customHeight="false" outlineLevel="0" collapsed="false">
      <c r="A618" s="19" t="n">
        <v>617</v>
      </c>
      <c r="B618" s="20" t="n">
        <v>46</v>
      </c>
      <c r="C618" s="20" t="n">
        <v>1</v>
      </c>
      <c r="D618" s="20" t="n">
        <v>4</v>
      </c>
      <c r="E618" s="20" t="n">
        <v>115</v>
      </c>
      <c r="F618" s="23" t="n">
        <v>0</v>
      </c>
      <c r="G618" s="20" t="n">
        <v>0</v>
      </c>
      <c r="H618" s="20" t="n">
        <v>0</v>
      </c>
      <c r="I618" s="20" t="n">
        <v>113</v>
      </c>
      <c r="J618" s="20" t="n">
        <v>1</v>
      </c>
      <c r="K618" s="21" t="n">
        <v>1.5</v>
      </c>
      <c r="L618" s="20" t="n">
        <v>2</v>
      </c>
      <c r="M618" s="20"/>
      <c r="N618" s="20" t="n">
        <v>7</v>
      </c>
      <c r="O618" s="20" t="n">
        <v>1</v>
      </c>
      <c r="P618" s="22" t="s">
        <v>106</v>
      </c>
    </row>
    <row r="619" customFormat="false" ht="15" hidden="false" customHeight="false" outlineLevel="0" collapsed="false">
      <c r="A619" s="19" t="n">
        <v>618</v>
      </c>
      <c r="B619" s="20" t="n">
        <v>47</v>
      </c>
      <c r="C619" s="20" t="n">
        <v>1</v>
      </c>
      <c r="D619" s="20" t="n">
        <v>3</v>
      </c>
      <c r="E619" s="20" t="n">
        <v>110</v>
      </c>
      <c r="F619" s="23" t="n">
        <v>0</v>
      </c>
      <c r="G619" s="20"/>
      <c r="H619" s="20" t="n">
        <v>0</v>
      </c>
      <c r="I619" s="20" t="n">
        <v>120</v>
      </c>
      <c r="J619" s="20" t="n">
        <v>1</v>
      </c>
      <c r="K619" s="21" t="n">
        <v>0</v>
      </c>
      <c r="L619" s="20"/>
      <c r="M619" s="20"/>
      <c r="N619" s="20" t="n">
        <v>3</v>
      </c>
      <c r="O619" s="20" t="n">
        <v>1</v>
      </c>
      <c r="P619" s="22" t="s">
        <v>106</v>
      </c>
    </row>
    <row r="620" customFormat="false" ht="15" hidden="false" customHeight="false" outlineLevel="0" collapsed="false">
      <c r="A620" s="19" t="n">
        <v>619</v>
      </c>
      <c r="B620" s="20" t="n">
        <v>47</v>
      </c>
      <c r="C620" s="20" t="n">
        <v>1</v>
      </c>
      <c r="D620" s="20" t="n">
        <v>3</v>
      </c>
      <c r="E620" s="20" t="n">
        <v>155</v>
      </c>
      <c r="F620" s="23" t="n">
        <v>0</v>
      </c>
      <c r="G620" s="20" t="n">
        <v>0</v>
      </c>
      <c r="H620" s="20" t="n">
        <v>0</v>
      </c>
      <c r="I620" s="20" t="n">
        <v>118</v>
      </c>
      <c r="J620" s="20" t="n">
        <v>1</v>
      </c>
      <c r="K620" s="21" t="n">
        <v>1</v>
      </c>
      <c r="L620" s="20" t="n">
        <v>2</v>
      </c>
      <c r="M620" s="20"/>
      <c r="N620" s="20" t="n">
        <v>3</v>
      </c>
      <c r="O620" s="20" t="n">
        <v>3</v>
      </c>
      <c r="P620" s="22" t="s">
        <v>106</v>
      </c>
    </row>
    <row r="621" customFormat="false" ht="15" hidden="false" customHeight="false" outlineLevel="0" collapsed="false">
      <c r="A621" s="19" t="n">
        <v>620</v>
      </c>
      <c r="B621" s="20" t="n">
        <v>47</v>
      </c>
      <c r="C621" s="20" t="n">
        <v>1</v>
      </c>
      <c r="D621" s="20" t="n">
        <v>4</v>
      </c>
      <c r="E621" s="20" t="n">
        <v>110</v>
      </c>
      <c r="F621" s="23" t="n">
        <v>0</v>
      </c>
      <c r="G621" s="20"/>
      <c r="H621" s="20" t="n">
        <v>1</v>
      </c>
      <c r="I621" s="20" t="n">
        <v>149</v>
      </c>
      <c r="J621" s="20" t="n">
        <v>0</v>
      </c>
      <c r="K621" s="21" t="n">
        <v>2.1</v>
      </c>
      <c r="L621" s="20" t="n">
        <v>1</v>
      </c>
      <c r="M621" s="20"/>
      <c r="N621" s="20"/>
      <c r="O621" s="20" t="n">
        <v>2</v>
      </c>
      <c r="P621" s="22" t="s">
        <v>106</v>
      </c>
    </row>
    <row r="622" customFormat="false" ht="15" hidden="false" customHeight="false" outlineLevel="0" collapsed="false">
      <c r="A622" s="19" t="n">
        <v>621</v>
      </c>
      <c r="B622" s="20" t="n">
        <v>47</v>
      </c>
      <c r="C622" s="20" t="n">
        <v>1</v>
      </c>
      <c r="D622" s="20" t="n">
        <v>4</v>
      </c>
      <c r="E622" s="20" t="n">
        <v>160</v>
      </c>
      <c r="F622" s="23" t="n">
        <v>0</v>
      </c>
      <c r="G622" s="20" t="n">
        <v>0</v>
      </c>
      <c r="H622" s="20" t="n">
        <v>0</v>
      </c>
      <c r="I622" s="20" t="n">
        <v>124</v>
      </c>
      <c r="J622" s="20" t="n">
        <v>1</v>
      </c>
      <c r="K622" s="21" t="n">
        <v>0</v>
      </c>
      <c r="L622" s="20" t="n">
        <v>2</v>
      </c>
      <c r="M622" s="20"/>
      <c r="N622" s="20" t="n">
        <v>7</v>
      </c>
      <c r="O622" s="20" t="n">
        <v>1</v>
      </c>
      <c r="P622" s="22" t="s">
        <v>106</v>
      </c>
    </row>
    <row r="623" customFormat="false" ht="15" hidden="false" customHeight="false" outlineLevel="0" collapsed="false">
      <c r="A623" s="19" t="n">
        <v>622</v>
      </c>
      <c r="B623" s="20" t="n">
        <v>48</v>
      </c>
      <c r="C623" s="20" t="n">
        <v>1</v>
      </c>
      <c r="D623" s="20" t="n">
        <v>4</v>
      </c>
      <c r="E623" s="20" t="n">
        <v>115</v>
      </c>
      <c r="F623" s="23" t="n">
        <v>0</v>
      </c>
      <c r="G623" s="20"/>
      <c r="H623" s="20" t="n">
        <v>0</v>
      </c>
      <c r="I623" s="20" t="n">
        <v>128</v>
      </c>
      <c r="J623" s="20" t="n">
        <v>0</v>
      </c>
      <c r="K623" s="21" t="n">
        <v>0</v>
      </c>
      <c r="L623" s="20" t="n">
        <v>2</v>
      </c>
      <c r="M623" s="20"/>
      <c r="N623" s="20" t="n">
        <v>6</v>
      </c>
      <c r="O623" s="20" t="n">
        <v>2</v>
      </c>
      <c r="P623" s="22" t="s">
        <v>106</v>
      </c>
    </row>
    <row r="624" customFormat="false" ht="15" hidden="false" customHeight="false" outlineLevel="0" collapsed="false">
      <c r="A624" s="19" t="n">
        <v>623</v>
      </c>
      <c r="B624" s="20" t="n">
        <v>50</v>
      </c>
      <c r="C624" s="20" t="n">
        <v>0</v>
      </c>
      <c r="D624" s="20" t="n">
        <v>4</v>
      </c>
      <c r="E624" s="20" t="n">
        <v>160</v>
      </c>
      <c r="F624" s="23" t="n">
        <v>0</v>
      </c>
      <c r="G624" s="20"/>
      <c r="H624" s="20" t="n">
        <v>0</v>
      </c>
      <c r="I624" s="20" t="n">
        <v>110</v>
      </c>
      <c r="J624" s="20" t="n">
        <v>0</v>
      </c>
      <c r="K624" s="21" t="n">
        <v>0</v>
      </c>
      <c r="L624" s="20"/>
      <c r="M624" s="20"/>
      <c r="N624" s="20" t="n">
        <v>3</v>
      </c>
      <c r="O624" s="20" t="n">
        <v>1</v>
      </c>
      <c r="P624" s="22" t="s">
        <v>106</v>
      </c>
    </row>
    <row r="625" customFormat="false" ht="15" hidden="false" customHeight="false" outlineLevel="0" collapsed="false">
      <c r="A625" s="19" t="n">
        <v>624</v>
      </c>
      <c r="B625" s="20" t="n">
        <v>50</v>
      </c>
      <c r="C625" s="20" t="n">
        <v>1</v>
      </c>
      <c r="D625" s="20" t="n">
        <v>4</v>
      </c>
      <c r="E625" s="20" t="n">
        <v>115</v>
      </c>
      <c r="F625" s="23" t="n">
        <v>0</v>
      </c>
      <c r="G625" s="20" t="n">
        <v>0</v>
      </c>
      <c r="H625" s="20" t="n">
        <v>0</v>
      </c>
      <c r="I625" s="20" t="n">
        <v>120</v>
      </c>
      <c r="J625" s="20" t="n">
        <v>1</v>
      </c>
      <c r="K625" s="21" t="n">
        <v>0.5</v>
      </c>
      <c r="L625" s="20" t="n">
        <v>2</v>
      </c>
      <c r="M625" s="20"/>
      <c r="N625" s="20" t="n">
        <v>6</v>
      </c>
      <c r="O625" s="20" t="n">
        <v>3</v>
      </c>
      <c r="P625" s="22" t="s">
        <v>106</v>
      </c>
    </row>
    <row r="626" customFormat="false" ht="15" hidden="false" customHeight="false" outlineLevel="0" collapsed="false">
      <c r="A626" s="19" t="n">
        <v>625</v>
      </c>
      <c r="B626" s="20" t="n">
        <v>50</v>
      </c>
      <c r="C626" s="20" t="n">
        <v>1</v>
      </c>
      <c r="D626" s="20" t="n">
        <v>4</v>
      </c>
      <c r="E626" s="20" t="n">
        <v>120</v>
      </c>
      <c r="F626" s="23" t="n">
        <v>0</v>
      </c>
      <c r="G626" s="20" t="n">
        <v>0</v>
      </c>
      <c r="H626" s="20" t="n">
        <v>1</v>
      </c>
      <c r="I626" s="20" t="n">
        <v>156</v>
      </c>
      <c r="J626" s="20" t="n">
        <v>1</v>
      </c>
      <c r="K626" s="21" t="n">
        <v>0</v>
      </c>
      <c r="L626" s="20" t="n">
        <v>1</v>
      </c>
      <c r="M626" s="20"/>
      <c r="N626" s="20" t="n">
        <v>6</v>
      </c>
      <c r="O626" s="20" t="n">
        <v>3</v>
      </c>
      <c r="P626" s="22" t="s">
        <v>106</v>
      </c>
    </row>
    <row r="627" customFormat="false" ht="15" hidden="false" customHeight="false" outlineLevel="0" collapsed="false">
      <c r="A627" s="19" t="n">
        <v>626</v>
      </c>
      <c r="B627" s="20" t="n">
        <v>50</v>
      </c>
      <c r="C627" s="20" t="n">
        <v>1</v>
      </c>
      <c r="D627" s="20" t="n">
        <v>4</v>
      </c>
      <c r="E627" s="20" t="n">
        <v>145</v>
      </c>
      <c r="F627" s="23" t="n">
        <v>0</v>
      </c>
      <c r="G627" s="20"/>
      <c r="H627" s="20" t="n">
        <v>0</v>
      </c>
      <c r="I627" s="20" t="n">
        <v>139</v>
      </c>
      <c r="J627" s="20" t="n">
        <v>1</v>
      </c>
      <c r="K627" s="21" t="n">
        <v>0.7</v>
      </c>
      <c r="L627" s="20" t="n">
        <v>2</v>
      </c>
      <c r="M627" s="20"/>
      <c r="N627" s="20"/>
      <c r="O627" s="20" t="n">
        <v>1</v>
      </c>
      <c r="P627" s="22" t="s">
        <v>106</v>
      </c>
    </row>
    <row r="628" customFormat="false" ht="15" hidden="false" customHeight="false" outlineLevel="0" collapsed="false">
      <c r="A628" s="19" t="n">
        <v>627</v>
      </c>
      <c r="B628" s="20" t="n">
        <v>51</v>
      </c>
      <c r="C628" s="20" t="n">
        <v>0</v>
      </c>
      <c r="D628" s="20" t="n">
        <v>4</v>
      </c>
      <c r="E628" s="20" t="n">
        <v>120</v>
      </c>
      <c r="F628" s="23" t="n">
        <v>0</v>
      </c>
      <c r="G628" s="20"/>
      <c r="H628" s="20" t="n">
        <v>0</v>
      </c>
      <c r="I628" s="20" t="n">
        <v>127</v>
      </c>
      <c r="J628" s="20" t="n">
        <v>1</v>
      </c>
      <c r="K628" s="21" t="n">
        <v>1.5</v>
      </c>
      <c r="L628" s="20" t="n">
        <v>1</v>
      </c>
      <c r="M628" s="20"/>
      <c r="N628" s="20"/>
      <c r="O628" s="20" t="n">
        <v>2</v>
      </c>
      <c r="P628" s="22" t="s">
        <v>106</v>
      </c>
    </row>
    <row r="629" customFormat="false" ht="15" hidden="false" customHeight="false" outlineLevel="0" collapsed="false">
      <c r="A629" s="19" t="n">
        <v>628</v>
      </c>
      <c r="B629" s="20" t="n">
        <v>51</v>
      </c>
      <c r="C629" s="20" t="n">
        <v>1</v>
      </c>
      <c r="D629" s="20" t="n">
        <v>4</v>
      </c>
      <c r="E629" s="20" t="n">
        <v>110</v>
      </c>
      <c r="F629" s="23" t="n">
        <v>0</v>
      </c>
      <c r="G629" s="20"/>
      <c r="H629" s="20" t="n">
        <v>0</v>
      </c>
      <c r="I629" s="20" t="n">
        <v>92</v>
      </c>
      <c r="J629" s="20" t="n">
        <v>0</v>
      </c>
      <c r="K629" s="21" t="n">
        <v>0</v>
      </c>
      <c r="L629" s="20" t="n">
        <v>2</v>
      </c>
      <c r="M629" s="20"/>
      <c r="N629" s="20"/>
      <c r="O629" s="20" t="n">
        <v>4</v>
      </c>
      <c r="P629" s="22" t="s">
        <v>106</v>
      </c>
    </row>
    <row r="630" customFormat="false" ht="15" hidden="false" customHeight="false" outlineLevel="0" collapsed="false">
      <c r="A630" s="19" t="n">
        <v>629</v>
      </c>
      <c r="B630" s="20" t="n">
        <v>51</v>
      </c>
      <c r="C630" s="20" t="n">
        <v>1</v>
      </c>
      <c r="D630" s="20" t="n">
        <v>4</v>
      </c>
      <c r="E630" s="20" t="n">
        <v>120</v>
      </c>
      <c r="F630" s="23" t="n">
        <v>0</v>
      </c>
      <c r="G630" s="20" t="n">
        <v>1</v>
      </c>
      <c r="H630" s="20" t="n">
        <v>0</v>
      </c>
      <c r="I630" s="20" t="n">
        <v>104</v>
      </c>
      <c r="J630" s="20" t="n">
        <v>0</v>
      </c>
      <c r="K630" s="21" t="n">
        <v>0</v>
      </c>
      <c r="L630" s="20" t="n">
        <v>2</v>
      </c>
      <c r="M630" s="20"/>
      <c r="N630" s="20" t="n">
        <v>3</v>
      </c>
      <c r="O630" s="20" t="n">
        <v>3</v>
      </c>
      <c r="P630" s="22" t="s">
        <v>106</v>
      </c>
    </row>
    <row r="631" customFormat="false" ht="15" hidden="false" customHeight="false" outlineLevel="0" collapsed="false">
      <c r="A631" s="19" t="n">
        <v>630</v>
      </c>
      <c r="B631" s="20" t="n">
        <v>51</v>
      </c>
      <c r="C631" s="20" t="n">
        <v>1</v>
      </c>
      <c r="D631" s="20" t="n">
        <v>4</v>
      </c>
      <c r="E631" s="20" t="n">
        <v>130</v>
      </c>
      <c r="F631" s="23" t="n">
        <v>0</v>
      </c>
      <c r="G631" s="20"/>
      <c r="H631" s="20" t="n">
        <v>0</v>
      </c>
      <c r="I631" s="20" t="n">
        <v>170</v>
      </c>
      <c r="J631" s="20" t="n">
        <v>0</v>
      </c>
      <c r="K631" s="25" t="n">
        <v>-0.7</v>
      </c>
      <c r="L631" s="20" t="n">
        <v>1</v>
      </c>
      <c r="M631" s="20"/>
      <c r="N631" s="20"/>
      <c r="O631" s="20" t="n">
        <v>2</v>
      </c>
      <c r="P631" s="22" t="s">
        <v>106</v>
      </c>
    </row>
    <row r="632" customFormat="false" ht="15" hidden="false" customHeight="false" outlineLevel="0" collapsed="false">
      <c r="A632" s="19" t="n">
        <v>631</v>
      </c>
      <c r="B632" s="20" t="n">
        <v>51</v>
      </c>
      <c r="C632" s="20" t="n">
        <v>1</v>
      </c>
      <c r="D632" s="20" t="n">
        <v>4</v>
      </c>
      <c r="E632" s="20" t="n">
        <v>130</v>
      </c>
      <c r="F632" s="23" t="n">
        <v>0</v>
      </c>
      <c r="G632" s="20"/>
      <c r="H632" s="20" t="n">
        <v>1</v>
      </c>
      <c r="I632" s="20" t="n">
        <v>163</v>
      </c>
      <c r="J632" s="20" t="n">
        <v>0</v>
      </c>
      <c r="K632" s="21" t="n">
        <v>0</v>
      </c>
      <c r="L632" s="20"/>
      <c r="M632" s="20"/>
      <c r="N632" s="20" t="n">
        <v>7</v>
      </c>
      <c r="O632" s="20" t="n">
        <v>1</v>
      </c>
      <c r="P632" s="22" t="s">
        <v>106</v>
      </c>
    </row>
    <row r="633" customFormat="false" ht="15" hidden="false" customHeight="false" outlineLevel="0" collapsed="false">
      <c r="A633" s="19" t="n">
        <v>632</v>
      </c>
      <c r="B633" s="20" t="n">
        <v>51</v>
      </c>
      <c r="C633" s="20" t="n">
        <v>1</v>
      </c>
      <c r="D633" s="20" t="n">
        <v>4</v>
      </c>
      <c r="E633" s="20" t="n">
        <v>140</v>
      </c>
      <c r="F633" s="23" t="n">
        <v>0</v>
      </c>
      <c r="G633" s="20" t="n">
        <v>0</v>
      </c>
      <c r="H633" s="20" t="n">
        <v>0</v>
      </c>
      <c r="I633" s="20" t="n">
        <v>60</v>
      </c>
      <c r="J633" s="20" t="n">
        <v>0</v>
      </c>
      <c r="K633" s="21" t="n">
        <v>0</v>
      </c>
      <c r="L633" s="20" t="n">
        <v>2</v>
      </c>
      <c r="M633" s="20"/>
      <c r="N633" s="20" t="n">
        <v>3</v>
      </c>
      <c r="O633" s="20" t="n">
        <v>2</v>
      </c>
      <c r="P633" s="22" t="s">
        <v>106</v>
      </c>
    </row>
    <row r="634" customFormat="false" ht="15" hidden="false" customHeight="false" outlineLevel="0" collapsed="false">
      <c r="A634" s="19" t="n">
        <v>633</v>
      </c>
      <c r="B634" s="20" t="n">
        <v>51</v>
      </c>
      <c r="C634" s="20" t="n">
        <v>1</v>
      </c>
      <c r="D634" s="20" t="n">
        <v>4</v>
      </c>
      <c r="E634" s="20" t="n">
        <v>95</v>
      </c>
      <c r="F634" s="23" t="n">
        <v>0</v>
      </c>
      <c r="G634" s="20"/>
      <c r="H634" s="20" t="n">
        <v>0</v>
      </c>
      <c r="I634" s="20" t="n">
        <v>126</v>
      </c>
      <c r="J634" s="20" t="n">
        <v>0</v>
      </c>
      <c r="K634" s="21" t="n">
        <v>2.2</v>
      </c>
      <c r="L634" s="20" t="n">
        <v>2</v>
      </c>
      <c r="M634" s="20"/>
      <c r="N634" s="20"/>
      <c r="O634" s="20" t="n">
        <v>2</v>
      </c>
      <c r="P634" s="22" t="s">
        <v>106</v>
      </c>
    </row>
    <row r="635" customFormat="false" ht="15" hidden="false" customHeight="false" outlineLevel="0" collapsed="false">
      <c r="A635" s="19" t="n">
        <v>634</v>
      </c>
      <c r="B635" s="20" t="n">
        <v>52</v>
      </c>
      <c r="C635" s="20" t="n">
        <v>1</v>
      </c>
      <c r="D635" s="20" t="n">
        <v>4</v>
      </c>
      <c r="E635" s="20" t="n">
        <v>130</v>
      </c>
      <c r="F635" s="23" t="n">
        <v>0</v>
      </c>
      <c r="G635" s="20"/>
      <c r="H635" s="20" t="n">
        <v>0</v>
      </c>
      <c r="I635" s="20" t="n">
        <v>120</v>
      </c>
      <c r="J635" s="20" t="n">
        <v>0</v>
      </c>
      <c r="K635" s="21" t="n">
        <v>0</v>
      </c>
      <c r="L635" s="20" t="n">
        <v>2</v>
      </c>
      <c r="M635" s="20"/>
      <c r="N635" s="20" t="n">
        <v>7</v>
      </c>
      <c r="O635" s="20" t="n">
        <v>2</v>
      </c>
      <c r="P635" s="22" t="s">
        <v>106</v>
      </c>
    </row>
    <row r="636" customFormat="false" ht="15" hidden="false" customHeight="false" outlineLevel="0" collapsed="false">
      <c r="A636" s="19" t="n">
        <v>635</v>
      </c>
      <c r="B636" s="20" t="n">
        <v>52</v>
      </c>
      <c r="C636" s="20" t="n">
        <v>1</v>
      </c>
      <c r="D636" s="20" t="n">
        <v>4</v>
      </c>
      <c r="E636" s="20" t="n">
        <v>135</v>
      </c>
      <c r="F636" s="23" t="n">
        <v>0</v>
      </c>
      <c r="G636" s="20"/>
      <c r="H636" s="20" t="n">
        <v>0</v>
      </c>
      <c r="I636" s="20" t="n">
        <v>128</v>
      </c>
      <c r="J636" s="20" t="n">
        <v>1</v>
      </c>
      <c r="K636" s="21" t="n">
        <v>2</v>
      </c>
      <c r="L636" s="20" t="n">
        <v>2</v>
      </c>
      <c r="M636" s="20"/>
      <c r="N636" s="20" t="n">
        <v>7</v>
      </c>
      <c r="O636" s="20" t="n">
        <v>2</v>
      </c>
      <c r="P636" s="22" t="s">
        <v>106</v>
      </c>
    </row>
    <row r="637" customFormat="false" ht="15" hidden="false" customHeight="false" outlineLevel="0" collapsed="false">
      <c r="A637" s="19" t="n">
        <v>636</v>
      </c>
      <c r="B637" s="20" t="n">
        <v>52</v>
      </c>
      <c r="C637" s="20" t="n">
        <v>1</v>
      </c>
      <c r="D637" s="20" t="n">
        <v>4</v>
      </c>
      <c r="E637" s="20" t="n">
        <v>165</v>
      </c>
      <c r="F637" s="23" t="n">
        <v>0</v>
      </c>
      <c r="G637" s="20"/>
      <c r="H637" s="20" t="n">
        <v>0</v>
      </c>
      <c r="I637" s="20" t="n">
        <v>122</v>
      </c>
      <c r="J637" s="20" t="n">
        <v>1</v>
      </c>
      <c r="K637" s="21" t="n">
        <v>1</v>
      </c>
      <c r="L637" s="20" t="n">
        <v>1</v>
      </c>
      <c r="M637" s="20"/>
      <c r="N637" s="20" t="n">
        <v>7</v>
      </c>
      <c r="O637" s="20" t="n">
        <v>2</v>
      </c>
      <c r="P637" s="22" t="s">
        <v>106</v>
      </c>
    </row>
    <row r="638" customFormat="false" ht="15" hidden="false" customHeight="false" outlineLevel="0" collapsed="false">
      <c r="A638" s="19" t="n">
        <v>637</v>
      </c>
      <c r="B638" s="20" t="n">
        <v>52</v>
      </c>
      <c r="C638" s="20" t="n">
        <v>1</v>
      </c>
      <c r="D638" s="20" t="n">
        <v>4</v>
      </c>
      <c r="E638" s="20" t="n">
        <v>95</v>
      </c>
      <c r="F638" s="23" t="n">
        <v>0</v>
      </c>
      <c r="G638" s="20"/>
      <c r="H638" s="20" t="n">
        <v>0</v>
      </c>
      <c r="I638" s="20" t="n">
        <v>82</v>
      </c>
      <c r="J638" s="20" t="n">
        <v>1</v>
      </c>
      <c r="K638" s="21"/>
      <c r="L638" s="20"/>
      <c r="M638" s="20"/>
      <c r="N638" s="20"/>
      <c r="O638" s="20" t="n">
        <v>2</v>
      </c>
      <c r="P638" s="22" t="s">
        <v>106</v>
      </c>
    </row>
    <row r="639" customFormat="false" ht="15" hidden="false" customHeight="false" outlineLevel="0" collapsed="false">
      <c r="A639" s="19" t="n">
        <v>638</v>
      </c>
      <c r="B639" s="20" t="n">
        <v>53</v>
      </c>
      <c r="C639" s="20" t="n">
        <v>1</v>
      </c>
      <c r="D639" s="20" t="n">
        <v>2</v>
      </c>
      <c r="E639" s="20" t="n">
        <v>120</v>
      </c>
      <c r="F639" s="23" t="n">
        <v>0</v>
      </c>
      <c r="G639" s="20" t="n">
        <v>0</v>
      </c>
      <c r="H639" s="20" t="n">
        <v>0</v>
      </c>
      <c r="I639" s="20" t="n">
        <v>95</v>
      </c>
      <c r="J639" s="20" t="n">
        <v>0</v>
      </c>
      <c r="K639" s="21" t="n">
        <v>0</v>
      </c>
      <c r="L639" s="20" t="n">
        <v>2</v>
      </c>
      <c r="M639" s="20"/>
      <c r="N639" s="20" t="n">
        <v>3</v>
      </c>
      <c r="O639" s="20" t="n">
        <v>3</v>
      </c>
      <c r="P639" s="22" t="s">
        <v>106</v>
      </c>
    </row>
    <row r="640" customFormat="false" ht="15" hidden="false" customHeight="false" outlineLevel="0" collapsed="false">
      <c r="A640" s="19" t="n">
        <v>639</v>
      </c>
      <c r="B640" s="20" t="n">
        <v>53</v>
      </c>
      <c r="C640" s="20" t="n">
        <v>1</v>
      </c>
      <c r="D640" s="20" t="n">
        <v>2</v>
      </c>
      <c r="E640" s="20" t="n">
        <v>130</v>
      </c>
      <c r="F640" s="23" t="n">
        <v>0</v>
      </c>
      <c r="G640" s="20"/>
      <c r="H640" s="20" t="n">
        <v>1</v>
      </c>
      <c r="I640" s="20" t="n">
        <v>120</v>
      </c>
      <c r="J640" s="20" t="n">
        <v>0</v>
      </c>
      <c r="K640" s="21" t="n">
        <v>0.7</v>
      </c>
      <c r="L640" s="20" t="n">
        <v>3</v>
      </c>
      <c r="M640" s="20"/>
      <c r="N640" s="20"/>
      <c r="O640" s="20" t="n">
        <v>0</v>
      </c>
      <c r="P640" s="22" t="s">
        <v>106</v>
      </c>
    </row>
    <row r="641" customFormat="false" ht="15" hidden="false" customHeight="false" outlineLevel="0" collapsed="false">
      <c r="A641" s="19" t="n">
        <v>640</v>
      </c>
      <c r="B641" s="20" t="n">
        <v>53</v>
      </c>
      <c r="C641" s="20" t="n">
        <v>1</v>
      </c>
      <c r="D641" s="20" t="n">
        <v>3</v>
      </c>
      <c r="E641" s="20" t="n">
        <v>105</v>
      </c>
      <c r="F641" s="23" t="n">
        <v>0</v>
      </c>
      <c r="G641" s="20" t="n">
        <v>0</v>
      </c>
      <c r="H641" s="20" t="n">
        <v>0</v>
      </c>
      <c r="I641" s="20" t="n">
        <v>115</v>
      </c>
      <c r="J641" s="20" t="n">
        <v>0</v>
      </c>
      <c r="K641" s="21" t="n">
        <v>0</v>
      </c>
      <c r="L641" s="20" t="n">
        <v>2</v>
      </c>
      <c r="M641" s="20"/>
      <c r="N641" s="20" t="n">
        <v>7</v>
      </c>
      <c r="O641" s="20" t="n">
        <v>1</v>
      </c>
      <c r="P641" s="22" t="s">
        <v>106</v>
      </c>
    </row>
    <row r="642" customFormat="false" ht="15" hidden="false" customHeight="false" outlineLevel="0" collapsed="false">
      <c r="A642" s="19" t="n">
        <v>641</v>
      </c>
      <c r="B642" s="20" t="n">
        <v>53</v>
      </c>
      <c r="C642" s="20" t="n">
        <v>1</v>
      </c>
      <c r="D642" s="20" t="n">
        <v>3</v>
      </c>
      <c r="E642" s="20" t="n">
        <v>160</v>
      </c>
      <c r="F642" s="23" t="n">
        <v>0</v>
      </c>
      <c r="G642" s="20"/>
      <c r="H642" s="20" t="n">
        <v>2</v>
      </c>
      <c r="I642" s="20" t="n">
        <v>122</v>
      </c>
      <c r="J642" s="20" t="n">
        <v>1</v>
      </c>
      <c r="K642" s="21" t="n">
        <v>0</v>
      </c>
      <c r="L642" s="20"/>
      <c r="M642" s="20"/>
      <c r="N642" s="20" t="n">
        <v>7</v>
      </c>
      <c r="O642" s="20" t="n">
        <v>1</v>
      </c>
      <c r="P642" s="22" t="s">
        <v>106</v>
      </c>
    </row>
    <row r="643" customFormat="false" ht="15" hidden="false" customHeight="false" outlineLevel="0" collapsed="false">
      <c r="A643" s="19" t="n">
        <v>642</v>
      </c>
      <c r="B643" s="20" t="n">
        <v>53</v>
      </c>
      <c r="C643" s="20" t="n">
        <v>1</v>
      </c>
      <c r="D643" s="20" t="n">
        <v>4</v>
      </c>
      <c r="E643" s="20" t="n">
        <v>120</v>
      </c>
      <c r="F643" s="23" t="n">
        <v>0</v>
      </c>
      <c r="G643" s="20"/>
      <c r="H643" s="20" t="n">
        <v>0</v>
      </c>
      <c r="I643" s="20" t="n">
        <v>120</v>
      </c>
      <c r="J643" s="20" t="n">
        <v>0</v>
      </c>
      <c r="K643" s="21" t="n">
        <v>0</v>
      </c>
      <c r="L643" s="20" t="n">
        <v>2</v>
      </c>
      <c r="M643" s="20"/>
      <c r="N643" s="20" t="n">
        <v>7</v>
      </c>
      <c r="O643" s="20" t="n">
        <v>1</v>
      </c>
      <c r="P643" s="22" t="s">
        <v>106</v>
      </c>
    </row>
    <row r="644" customFormat="false" ht="15" hidden="false" customHeight="false" outlineLevel="0" collapsed="false">
      <c r="A644" s="19" t="n">
        <v>643</v>
      </c>
      <c r="B644" s="20" t="n">
        <v>53</v>
      </c>
      <c r="C644" s="20" t="n">
        <v>1</v>
      </c>
      <c r="D644" s="20" t="n">
        <v>4</v>
      </c>
      <c r="E644" s="20" t="n">
        <v>125</v>
      </c>
      <c r="F644" s="23" t="n">
        <v>0</v>
      </c>
      <c r="G644" s="20"/>
      <c r="H644" s="20" t="n">
        <v>0</v>
      </c>
      <c r="I644" s="20" t="n">
        <v>120</v>
      </c>
      <c r="J644" s="20" t="n">
        <v>0</v>
      </c>
      <c r="K644" s="21" t="n">
        <v>1.5</v>
      </c>
      <c r="L644" s="20" t="n">
        <v>1</v>
      </c>
      <c r="M644" s="20"/>
      <c r="N644" s="20"/>
      <c r="O644" s="20" t="n">
        <v>4</v>
      </c>
      <c r="P644" s="22" t="s">
        <v>106</v>
      </c>
    </row>
    <row r="645" customFormat="false" ht="15" hidden="false" customHeight="false" outlineLevel="0" collapsed="false">
      <c r="A645" s="19" t="n">
        <v>644</v>
      </c>
      <c r="B645" s="20" t="n">
        <v>53</v>
      </c>
      <c r="C645" s="20" t="n">
        <v>1</v>
      </c>
      <c r="D645" s="20" t="n">
        <v>4</v>
      </c>
      <c r="E645" s="20" t="n">
        <v>130</v>
      </c>
      <c r="F645" s="23" t="n">
        <v>0</v>
      </c>
      <c r="G645" s="20" t="n">
        <v>0</v>
      </c>
      <c r="H645" s="20" t="n">
        <v>2</v>
      </c>
      <c r="I645" s="20" t="n">
        <v>135</v>
      </c>
      <c r="J645" s="20" t="n">
        <v>1</v>
      </c>
      <c r="K645" s="21" t="n">
        <v>1</v>
      </c>
      <c r="L645" s="20" t="n">
        <v>2</v>
      </c>
      <c r="M645" s="20"/>
      <c r="N645" s="20" t="n">
        <v>7</v>
      </c>
      <c r="O645" s="20" t="n">
        <v>2</v>
      </c>
      <c r="P645" s="22" t="s">
        <v>106</v>
      </c>
    </row>
    <row r="646" customFormat="false" ht="15" hidden="false" customHeight="false" outlineLevel="0" collapsed="false">
      <c r="A646" s="19" t="n">
        <v>645</v>
      </c>
      <c r="B646" s="20" t="n">
        <v>53</v>
      </c>
      <c r="C646" s="20" t="n">
        <v>1</v>
      </c>
      <c r="D646" s="20" t="n">
        <v>4</v>
      </c>
      <c r="E646" s="20" t="n">
        <v>80</v>
      </c>
      <c r="F646" s="23" t="n">
        <v>0</v>
      </c>
      <c r="G646" s="20"/>
      <c r="H646" s="20" t="n">
        <v>0</v>
      </c>
      <c r="I646" s="20" t="n">
        <v>141</v>
      </c>
      <c r="J646" s="20" t="n">
        <v>1</v>
      </c>
      <c r="K646" s="21" t="n">
        <v>2</v>
      </c>
      <c r="L646" s="20" t="n">
        <v>3</v>
      </c>
      <c r="M646" s="20"/>
      <c r="N646" s="20"/>
      <c r="O646" s="20" t="n">
        <v>0</v>
      </c>
      <c r="P646" s="22" t="s">
        <v>106</v>
      </c>
    </row>
    <row r="647" customFormat="false" ht="15" hidden="false" customHeight="false" outlineLevel="0" collapsed="false">
      <c r="A647" s="19" t="n">
        <v>646</v>
      </c>
      <c r="B647" s="20" t="n">
        <v>54</v>
      </c>
      <c r="C647" s="20" t="n">
        <v>1</v>
      </c>
      <c r="D647" s="20" t="n">
        <v>4</v>
      </c>
      <c r="E647" s="20" t="n">
        <v>120</v>
      </c>
      <c r="F647" s="23" t="n">
        <v>0</v>
      </c>
      <c r="G647" s="20" t="n">
        <v>0</v>
      </c>
      <c r="H647" s="20" t="n">
        <v>0</v>
      </c>
      <c r="I647" s="20" t="n">
        <v>155</v>
      </c>
      <c r="J647" s="20" t="n">
        <v>0</v>
      </c>
      <c r="K647" s="21" t="n">
        <v>0</v>
      </c>
      <c r="L647" s="20" t="n">
        <v>2</v>
      </c>
      <c r="M647" s="20"/>
      <c r="N647" s="20" t="n">
        <v>7</v>
      </c>
      <c r="O647" s="20" t="n">
        <v>2</v>
      </c>
      <c r="P647" s="22" t="s">
        <v>106</v>
      </c>
    </row>
    <row r="648" customFormat="false" ht="15" hidden="false" customHeight="false" outlineLevel="0" collapsed="false">
      <c r="A648" s="19" t="n">
        <v>647</v>
      </c>
      <c r="B648" s="20" t="n">
        <v>54</v>
      </c>
      <c r="C648" s="20" t="n">
        <v>1</v>
      </c>
      <c r="D648" s="20" t="n">
        <v>4</v>
      </c>
      <c r="E648" s="20" t="n">
        <v>130</v>
      </c>
      <c r="F648" s="23" t="n">
        <v>0</v>
      </c>
      <c r="G648" s="20"/>
      <c r="H648" s="20" t="n">
        <v>0</v>
      </c>
      <c r="I648" s="20" t="n">
        <v>110</v>
      </c>
      <c r="J648" s="20" t="n">
        <v>1</v>
      </c>
      <c r="K648" s="21" t="n">
        <v>3</v>
      </c>
      <c r="L648" s="20" t="n">
        <v>2</v>
      </c>
      <c r="M648" s="20"/>
      <c r="N648" s="20" t="n">
        <v>7</v>
      </c>
      <c r="O648" s="20" t="n">
        <v>3</v>
      </c>
      <c r="P648" s="22" t="s">
        <v>106</v>
      </c>
    </row>
    <row r="649" customFormat="false" ht="15" hidden="false" customHeight="false" outlineLevel="0" collapsed="false">
      <c r="A649" s="19" t="n">
        <v>648</v>
      </c>
      <c r="B649" s="20" t="n">
        <v>54</v>
      </c>
      <c r="C649" s="20" t="n">
        <v>1</v>
      </c>
      <c r="D649" s="20" t="n">
        <v>4</v>
      </c>
      <c r="E649" s="20" t="n">
        <v>180</v>
      </c>
      <c r="F649" s="23" t="n">
        <v>0</v>
      </c>
      <c r="G649" s="20"/>
      <c r="H649" s="20" t="n">
        <v>0</v>
      </c>
      <c r="I649" s="20" t="n">
        <v>150</v>
      </c>
      <c r="J649" s="20" t="n">
        <v>0</v>
      </c>
      <c r="K649" s="21" t="n">
        <v>1.5</v>
      </c>
      <c r="L649" s="20" t="n">
        <v>2</v>
      </c>
      <c r="M649" s="20"/>
      <c r="N649" s="20" t="n">
        <v>7</v>
      </c>
      <c r="O649" s="20" t="n">
        <v>1</v>
      </c>
      <c r="P649" s="22" t="s">
        <v>106</v>
      </c>
    </row>
    <row r="650" customFormat="false" ht="15" hidden="false" customHeight="false" outlineLevel="0" collapsed="false">
      <c r="A650" s="19" t="n">
        <v>649</v>
      </c>
      <c r="B650" s="20" t="n">
        <v>55</v>
      </c>
      <c r="C650" s="20" t="n">
        <v>1</v>
      </c>
      <c r="D650" s="20" t="n">
        <v>2</v>
      </c>
      <c r="E650" s="20" t="n">
        <v>140</v>
      </c>
      <c r="F650" s="23" t="n">
        <v>0</v>
      </c>
      <c r="G650" s="20"/>
      <c r="H650" s="20" t="n">
        <v>1</v>
      </c>
      <c r="I650" s="20" t="n">
        <v>150</v>
      </c>
      <c r="J650" s="20" t="n">
        <v>0</v>
      </c>
      <c r="K650" s="21" t="n">
        <v>0.2</v>
      </c>
      <c r="L650" s="20" t="n">
        <v>1</v>
      </c>
      <c r="M650" s="20"/>
      <c r="N650" s="20"/>
      <c r="O650" s="20" t="n">
        <v>0</v>
      </c>
      <c r="P650" s="22" t="s">
        <v>106</v>
      </c>
    </row>
    <row r="651" customFormat="false" ht="15" hidden="false" customHeight="false" outlineLevel="0" collapsed="false">
      <c r="A651" s="19" t="n">
        <v>650</v>
      </c>
      <c r="B651" s="20" t="n">
        <v>55</v>
      </c>
      <c r="C651" s="20" t="n">
        <v>1</v>
      </c>
      <c r="D651" s="20" t="n">
        <v>4</v>
      </c>
      <c r="E651" s="20" t="n">
        <v>115</v>
      </c>
      <c r="F651" s="23" t="n">
        <v>0</v>
      </c>
      <c r="G651" s="20"/>
      <c r="H651" s="20" t="n">
        <v>0</v>
      </c>
      <c r="I651" s="20" t="n">
        <v>155</v>
      </c>
      <c r="J651" s="20" t="n">
        <v>0</v>
      </c>
      <c r="K651" s="21" t="n">
        <v>0.1</v>
      </c>
      <c r="L651" s="20" t="n">
        <v>2</v>
      </c>
      <c r="M651" s="20"/>
      <c r="N651" s="20"/>
      <c r="O651" s="20" t="n">
        <v>1</v>
      </c>
      <c r="P651" s="22" t="s">
        <v>106</v>
      </c>
    </row>
    <row r="652" customFormat="false" ht="15" hidden="false" customHeight="false" outlineLevel="0" collapsed="false">
      <c r="A652" s="19" t="n">
        <v>651</v>
      </c>
      <c r="B652" s="20" t="n">
        <v>55</v>
      </c>
      <c r="C652" s="20" t="n">
        <v>1</v>
      </c>
      <c r="D652" s="20" t="n">
        <v>4</v>
      </c>
      <c r="E652" s="20" t="n">
        <v>120</v>
      </c>
      <c r="F652" s="23" t="n">
        <v>0</v>
      </c>
      <c r="G652" s="20" t="n">
        <v>0</v>
      </c>
      <c r="H652" s="20" t="n">
        <v>1</v>
      </c>
      <c r="I652" s="20" t="n">
        <v>92</v>
      </c>
      <c r="J652" s="20" t="n">
        <v>0</v>
      </c>
      <c r="K652" s="21" t="n">
        <v>0.3</v>
      </c>
      <c r="L652" s="20" t="n">
        <v>1</v>
      </c>
      <c r="M652" s="20"/>
      <c r="N652" s="20" t="n">
        <v>7</v>
      </c>
      <c r="O652" s="20" t="n">
        <v>4</v>
      </c>
      <c r="P652" s="22" t="s">
        <v>106</v>
      </c>
    </row>
    <row r="653" customFormat="false" ht="15" hidden="false" customHeight="false" outlineLevel="0" collapsed="false">
      <c r="A653" s="19" t="n">
        <v>652</v>
      </c>
      <c r="B653" s="20" t="n">
        <v>55</v>
      </c>
      <c r="C653" s="20" t="n">
        <v>1</v>
      </c>
      <c r="D653" s="20" t="n">
        <v>4</v>
      </c>
      <c r="E653" s="20" t="n">
        <v>140</v>
      </c>
      <c r="F653" s="23" t="n">
        <v>0</v>
      </c>
      <c r="G653" s="20" t="n">
        <v>0</v>
      </c>
      <c r="H653" s="20" t="n">
        <v>0</v>
      </c>
      <c r="I653" s="20" t="n">
        <v>83</v>
      </c>
      <c r="J653" s="20" t="n">
        <v>0</v>
      </c>
      <c r="K653" s="21" t="n">
        <v>0</v>
      </c>
      <c r="L653" s="20" t="n">
        <v>2</v>
      </c>
      <c r="M653" s="20"/>
      <c r="N653" s="20" t="n">
        <v>7</v>
      </c>
      <c r="O653" s="20" t="n">
        <v>2</v>
      </c>
      <c r="P653" s="22" t="s">
        <v>106</v>
      </c>
    </row>
    <row r="654" customFormat="false" ht="15" hidden="false" customHeight="false" outlineLevel="0" collapsed="false">
      <c r="A654" s="19" t="n">
        <v>653</v>
      </c>
      <c r="B654" s="20" t="n">
        <v>56</v>
      </c>
      <c r="C654" s="20" t="n">
        <v>1</v>
      </c>
      <c r="D654" s="20" t="n">
        <v>3</v>
      </c>
      <c r="E654" s="20" t="n">
        <v>120</v>
      </c>
      <c r="F654" s="23" t="n">
        <v>0</v>
      </c>
      <c r="G654" s="20" t="n">
        <v>0</v>
      </c>
      <c r="H654" s="20" t="n">
        <v>0</v>
      </c>
      <c r="I654" s="20" t="n">
        <v>97</v>
      </c>
      <c r="J654" s="20" t="n">
        <v>0</v>
      </c>
      <c r="K654" s="21" t="n">
        <v>0</v>
      </c>
      <c r="L654" s="20" t="n">
        <v>2</v>
      </c>
      <c r="M654" s="20"/>
      <c r="N654" s="20" t="n">
        <v>7</v>
      </c>
      <c r="O654" s="20" t="n">
        <v>0</v>
      </c>
      <c r="P654" s="22" t="s">
        <v>106</v>
      </c>
    </row>
    <row r="655" customFormat="false" ht="15" hidden="false" customHeight="false" outlineLevel="0" collapsed="false">
      <c r="A655" s="19" t="n">
        <v>654</v>
      </c>
      <c r="B655" s="20" t="n">
        <v>56</v>
      </c>
      <c r="C655" s="20" t="n">
        <v>1</v>
      </c>
      <c r="D655" s="20" t="n">
        <v>3</v>
      </c>
      <c r="E655" s="20" t="n">
        <v>125</v>
      </c>
      <c r="F655" s="23" t="n">
        <v>0</v>
      </c>
      <c r="G655" s="20"/>
      <c r="H655" s="20" t="n">
        <v>0</v>
      </c>
      <c r="I655" s="20" t="n">
        <v>98</v>
      </c>
      <c r="J655" s="20" t="n">
        <v>0</v>
      </c>
      <c r="K655" s="25" t="n">
        <v>-2</v>
      </c>
      <c r="L655" s="20" t="n">
        <v>2</v>
      </c>
      <c r="M655" s="20"/>
      <c r="N655" s="20" t="n">
        <v>7</v>
      </c>
      <c r="O655" s="20" t="n">
        <v>2</v>
      </c>
      <c r="P655" s="22" t="s">
        <v>106</v>
      </c>
    </row>
    <row r="656" customFormat="false" ht="15" hidden="false" customHeight="false" outlineLevel="0" collapsed="false">
      <c r="A656" s="19" t="n">
        <v>655</v>
      </c>
      <c r="B656" s="20" t="n">
        <v>56</v>
      </c>
      <c r="C656" s="20" t="n">
        <v>1</v>
      </c>
      <c r="D656" s="20" t="n">
        <v>3</v>
      </c>
      <c r="E656" s="20" t="n">
        <v>155</v>
      </c>
      <c r="F656" s="23" t="n">
        <v>0</v>
      </c>
      <c r="G656" s="20" t="n">
        <v>0</v>
      </c>
      <c r="H656" s="20" t="n">
        <v>1</v>
      </c>
      <c r="I656" s="20" t="n">
        <v>99</v>
      </c>
      <c r="J656" s="20" t="n">
        <v>0</v>
      </c>
      <c r="K656" s="21" t="n">
        <v>0</v>
      </c>
      <c r="L656" s="20" t="n">
        <v>2</v>
      </c>
      <c r="M656" s="20"/>
      <c r="N656" s="20" t="n">
        <v>3</v>
      </c>
      <c r="O656" s="20" t="n">
        <v>2</v>
      </c>
      <c r="P656" s="22" t="s">
        <v>106</v>
      </c>
    </row>
    <row r="657" customFormat="false" ht="15" hidden="false" customHeight="false" outlineLevel="0" collapsed="false">
      <c r="A657" s="19" t="n">
        <v>656</v>
      </c>
      <c r="B657" s="20" t="n">
        <v>56</v>
      </c>
      <c r="C657" s="20" t="n">
        <v>1</v>
      </c>
      <c r="D657" s="20" t="n">
        <v>4</v>
      </c>
      <c r="E657" s="20" t="n">
        <v>115</v>
      </c>
      <c r="F657" s="23" t="n">
        <v>0</v>
      </c>
      <c r="G657" s="20"/>
      <c r="H657" s="20" t="n">
        <v>1</v>
      </c>
      <c r="I657" s="20" t="n">
        <v>82</v>
      </c>
      <c r="J657" s="20" t="n">
        <v>0</v>
      </c>
      <c r="K657" s="25" t="n">
        <v>-1</v>
      </c>
      <c r="L657" s="20" t="n">
        <v>1</v>
      </c>
      <c r="M657" s="20"/>
      <c r="N657" s="20"/>
      <c r="O657" s="20" t="n">
        <v>1</v>
      </c>
      <c r="P657" s="22" t="s">
        <v>106</v>
      </c>
    </row>
    <row r="658" customFormat="false" ht="15" hidden="false" customHeight="false" outlineLevel="0" collapsed="false">
      <c r="A658" s="19" t="n">
        <v>657</v>
      </c>
      <c r="B658" s="20" t="n">
        <v>56</v>
      </c>
      <c r="C658" s="20" t="n">
        <v>1</v>
      </c>
      <c r="D658" s="20" t="n">
        <v>4</v>
      </c>
      <c r="E658" s="20" t="n">
        <v>120</v>
      </c>
      <c r="F658" s="23" t="n">
        <v>0</v>
      </c>
      <c r="G658" s="20" t="n">
        <v>0</v>
      </c>
      <c r="H658" s="20" t="n">
        <v>1</v>
      </c>
      <c r="I658" s="20" t="n">
        <v>100</v>
      </c>
      <c r="J658" s="20" t="n">
        <v>1</v>
      </c>
      <c r="K658" s="25" t="n">
        <v>-1</v>
      </c>
      <c r="L658" s="20" t="n">
        <v>3</v>
      </c>
      <c r="M658" s="20"/>
      <c r="N658" s="20" t="n">
        <v>7</v>
      </c>
      <c r="O658" s="20" t="n">
        <v>2</v>
      </c>
      <c r="P658" s="22" t="s">
        <v>106</v>
      </c>
    </row>
    <row r="659" customFormat="false" ht="15" hidden="false" customHeight="false" outlineLevel="0" collapsed="false">
      <c r="A659" s="19" t="n">
        <v>658</v>
      </c>
      <c r="B659" s="20" t="n">
        <v>56</v>
      </c>
      <c r="C659" s="20" t="n">
        <v>1</v>
      </c>
      <c r="D659" s="20" t="n">
        <v>4</v>
      </c>
      <c r="E659" s="20" t="n">
        <v>120</v>
      </c>
      <c r="F659" s="23" t="n">
        <v>0</v>
      </c>
      <c r="G659" s="20" t="n">
        <v>0</v>
      </c>
      <c r="H659" s="20" t="n">
        <v>1</v>
      </c>
      <c r="I659" s="20" t="n">
        <v>148</v>
      </c>
      <c r="J659" s="20" t="n">
        <v>0</v>
      </c>
      <c r="K659" s="21" t="n">
        <v>0</v>
      </c>
      <c r="L659" s="20" t="n">
        <v>2</v>
      </c>
      <c r="M659" s="20"/>
      <c r="N659" s="20"/>
      <c r="O659" s="20" t="n">
        <v>2</v>
      </c>
      <c r="P659" s="22" t="s">
        <v>106</v>
      </c>
    </row>
    <row r="660" customFormat="false" ht="15" hidden="false" customHeight="false" outlineLevel="0" collapsed="false">
      <c r="A660" s="19" t="n">
        <v>659</v>
      </c>
      <c r="B660" s="20" t="n">
        <v>56</v>
      </c>
      <c r="C660" s="20" t="n">
        <v>1</v>
      </c>
      <c r="D660" s="20" t="n">
        <v>4</v>
      </c>
      <c r="E660" s="20" t="n">
        <v>125</v>
      </c>
      <c r="F660" s="23" t="n">
        <v>0</v>
      </c>
      <c r="G660" s="20" t="n">
        <v>1</v>
      </c>
      <c r="H660" s="20" t="n">
        <v>0</v>
      </c>
      <c r="I660" s="20" t="n">
        <v>103</v>
      </c>
      <c r="J660" s="20" t="n">
        <v>1</v>
      </c>
      <c r="K660" s="21" t="n">
        <v>1</v>
      </c>
      <c r="L660" s="20" t="n">
        <v>2</v>
      </c>
      <c r="M660" s="20"/>
      <c r="N660" s="20" t="n">
        <v>7</v>
      </c>
      <c r="O660" s="20" t="n">
        <v>3</v>
      </c>
      <c r="P660" s="22" t="s">
        <v>106</v>
      </c>
    </row>
    <row r="661" customFormat="false" ht="15" hidden="false" customHeight="false" outlineLevel="0" collapsed="false">
      <c r="A661" s="19" t="n">
        <v>660</v>
      </c>
      <c r="B661" s="20" t="n">
        <v>56</v>
      </c>
      <c r="C661" s="20" t="n">
        <v>1</v>
      </c>
      <c r="D661" s="20" t="n">
        <v>4</v>
      </c>
      <c r="E661" s="20" t="n">
        <v>140</v>
      </c>
      <c r="F661" s="23" t="n">
        <v>0</v>
      </c>
      <c r="G661" s="20"/>
      <c r="H661" s="20" t="n">
        <v>0</v>
      </c>
      <c r="I661" s="20" t="n">
        <v>121</v>
      </c>
      <c r="J661" s="20" t="n">
        <v>1</v>
      </c>
      <c r="K661" s="21" t="n">
        <v>1.8</v>
      </c>
      <c r="L661" s="20" t="n">
        <v>1</v>
      </c>
      <c r="M661" s="20"/>
      <c r="N661" s="20"/>
      <c r="O661" s="20" t="n">
        <v>1</v>
      </c>
      <c r="P661" s="22" t="s">
        <v>106</v>
      </c>
    </row>
    <row r="662" customFormat="false" ht="15" hidden="false" customHeight="false" outlineLevel="0" collapsed="false">
      <c r="A662" s="19" t="n">
        <v>661</v>
      </c>
      <c r="B662" s="20" t="n">
        <v>57</v>
      </c>
      <c r="C662" s="20" t="n">
        <v>1</v>
      </c>
      <c r="D662" s="20" t="n">
        <v>3</v>
      </c>
      <c r="E662" s="20" t="n">
        <v>105</v>
      </c>
      <c r="F662" s="23" t="n">
        <v>0</v>
      </c>
      <c r="G662" s="20"/>
      <c r="H662" s="20" t="n">
        <v>0</v>
      </c>
      <c r="I662" s="20" t="n">
        <v>148</v>
      </c>
      <c r="J662" s="20" t="n">
        <v>0</v>
      </c>
      <c r="K662" s="21" t="n">
        <v>0.3</v>
      </c>
      <c r="L662" s="20" t="n">
        <v>2</v>
      </c>
      <c r="M662" s="20"/>
      <c r="N662" s="20"/>
      <c r="O662" s="20" t="n">
        <v>1</v>
      </c>
      <c r="P662" s="22" t="s">
        <v>106</v>
      </c>
    </row>
    <row r="663" customFormat="false" ht="15" hidden="false" customHeight="false" outlineLevel="0" collapsed="false">
      <c r="A663" s="19" t="n">
        <v>662</v>
      </c>
      <c r="B663" s="20" t="n">
        <v>57</v>
      </c>
      <c r="C663" s="20" t="n">
        <v>1</v>
      </c>
      <c r="D663" s="20" t="n">
        <v>4</v>
      </c>
      <c r="E663" s="20" t="n">
        <v>110</v>
      </c>
      <c r="F663" s="23" t="n">
        <v>0</v>
      </c>
      <c r="G663" s="20"/>
      <c r="H663" s="20" t="n">
        <v>1</v>
      </c>
      <c r="I663" s="20" t="n">
        <v>131</v>
      </c>
      <c r="J663" s="20" t="n">
        <v>1</v>
      </c>
      <c r="K663" s="21" t="n">
        <v>1.4</v>
      </c>
      <c r="L663" s="20" t="n">
        <v>1</v>
      </c>
      <c r="M663" s="20" t="n">
        <v>1</v>
      </c>
      <c r="N663" s="20"/>
      <c r="O663" s="20" t="n">
        <v>3</v>
      </c>
      <c r="P663" s="22" t="s">
        <v>106</v>
      </c>
    </row>
    <row r="664" customFormat="false" ht="15" hidden="false" customHeight="false" outlineLevel="0" collapsed="false">
      <c r="A664" s="19" t="n">
        <v>663</v>
      </c>
      <c r="B664" s="20" t="n">
        <v>57</v>
      </c>
      <c r="C664" s="20" t="n">
        <v>1</v>
      </c>
      <c r="D664" s="20" t="n">
        <v>4</v>
      </c>
      <c r="E664" s="20" t="n">
        <v>140</v>
      </c>
      <c r="F664" s="23" t="n">
        <v>0</v>
      </c>
      <c r="G664" s="20" t="n">
        <v>0</v>
      </c>
      <c r="H664" s="20" t="n">
        <v>0</v>
      </c>
      <c r="I664" s="20" t="n">
        <v>120</v>
      </c>
      <c r="J664" s="20" t="n">
        <v>1</v>
      </c>
      <c r="K664" s="21" t="n">
        <v>2</v>
      </c>
      <c r="L664" s="20" t="n">
        <v>2</v>
      </c>
      <c r="M664" s="20"/>
      <c r="N664" s="20" t="n">
        <v>6</v>
      </c>
      <c r="O664" s="20" t="n">
        <v>2</v>
      </c>
      <c r="P664" s="22" t="s">
        <v>106</v>
      </c>
    </row>
    <row r="665" customFormat="false" ht="15" hidden="false" customHeight="false" outlineLevel="0" collapsed="false">
      <c r="A665" s="19" t="n">
        <v>664</v>
      </c>
      <c r="B665" s="20" t="n">
        <v>57</v>
      </c>
      <c r="C665" s="20" t="n">
        <v>1</v>
      </c>
      <c r="D665" s="20" t="n">
        <v>4</v>
      </c>
      <c r="E665" s="20" t="n">
        <v>140</v>
      </c>
      <c r="F665" s="23" t="n">
        <v>0</v>
      </c>
      <c r="G665" s="20"/>
      <c r="H665" s="20" t="n">
        <v>0</v>
      </c>
      <c r="I665" s="20" t="n">
        <v>100</v>
      </c>
      <c r="J665" s="20" t="n">
        <v>1</v>
      </c>
      <c r="K665" s="21" t="n">
        <v>0</v>
      </c>
      <c r="L665" s="20"/>
      <c r="M665" s="20"/>
      <c r="N665" s="20" t="n">
        <v>6</v>
      </c>
      <c r="O665" s="20" t="n">
        <v>3</v>
      </c>
      <c r="P665" s="22" t="s">
        <v>106</v>
      </c>
    </row>
    <row r="666" customFormat="false" ht="15" hidden="false" customHeight="false" outlineLevel="0" collapsed="false">
      <c r="A666" s="19" t="n">
        <v>665</v>
      </c>
      <c r="B666" s="20" t="n">
        <v>57</v>
      </c>
      <c r="C666" s="20" t="n">
        <v>1</v>
      </c>
      <c r="D666" s="20" t="n">
        <v>4</v>
      </c>
      <c r="E666" s="20" t="n">
        <v>160</v>
      </c>
      <c r="F666" s="23" t="n">
        <v>0</v>
      </c>
      <c r="G666" s="20"/>
      <c r="H666" s="20" t="n">
        <v>0</v>
      </c>
      <c r="I666" s="20" t="n">
        <v>98</v>
      </c>
      <c r="J666" s="20" t="n">
        <v>1</v>
      </c>
      <c r="K666" s="21" t="n">
        <v>2</v>
      </c>
      <c r="L666" s="20" t="n">
        <v>2</v>
      </c>
      <c r="M666" s="20"/>
      <c r="N666" s="20" t="n">
        <v>7</v>
      </c>
      <c r="O666" s="20" t="n">
        <v>2</v>
      </c>
      <c r="P666" s="22" t="s">
        <v>106</v>
      </c>
    </row>
    <row r="667" customFormat="false" ht="15" hidden="false" customHeight="false" outlineLevel="0" collapsed="false">
      <c r="A667" s="19" t="n">
        <v>666</v>
      </c>
      <c r="B667" s="20" t="n">
        <v>57</v>
      </c>
      <c r="C667" s="20" t="n">
        <v>1</v>
      </c>
      <c r="D667" s="20" t="n">
        <v>4</v>
      </c>
      <c r="E667" s="20" t="n">
        <v>95</v>
      </c>
      <c r="F667" s="23" t="n">
        <v>0</v>
      </c>
      <c r="G667" s="20"/>
      <c r="H667" s="20" t="n">
        <v>0</v>
      </c>
      <c r="I667" s="20" t="n">
        <v>182</v>
      </c>
      <c r="J667" s="20" t="n">
        <v>0</v>
      </c>
      <c r="K667" s="21" t="n">
        <v>0.7</v>
      </c>
      <c r="L667" s="20" t="n">
        <v>3</v>
      </c>
      <c r="M667" s="20"/>
      <c r="N667" s="20"/>
      <c r="O667" s="20" t="n">
        <v>1</v>
      </c>
      <c r="P667" s="22" t="s">
        <v>106</v>
      </c>
    </row>
    <row r="668" customFormat="false" ht="15" hidden="false" customHeight="false" outlineLevel="0" collapsed="false">
      <c r="A668" s="19" t="n">
        <v>667</v>
      </c>
      <c r="B668" s="20" t="n">
        <v>58</v>
      </c>
      <c r="C668" s="20" t="n">
        <v>1</v>
      </c>
      <c r="D668" s="20" t="n">
        <v>4</v>
      </c>
      <c r="E668" s="20" t="n">
        <v>115</v>
      </c>
      <c r="F668" s="23" t="n">
        <v>0</v>
      </c>
      <c r="G668" s="20"/>
      <c r="H668" s="20" t="n">
        <v>0</v>
      </c>
      <c r="I668" s="20" t="n">
        <v>138</v>
      </c>
      <c r="J668" s="20" t="n">
        <v>0</v>
      </c>
      <c r="K668" s="21" t="n">
        <v>0.5</v>
      </c>
      <c r="L668" s="20" t="n">
        <v>1</v>
      </c>
      <c r="M668" s="20"/>
      <c r="N668" s="20"/>
      <c r="O668" s="20" t="n">
        <v>1</v>
      </c>
      <c r="P668" s="22" t="s">
        <v>106</v>
      </c>
    </row>
    <row r="669" customFormat="false" ht="15" hidden="false" customHeight="false" outlineLevel="0" collapsed="false">
      <c r="A669" s="19" t="n">
        <v>668</v>
      </c>
      <c r="B669" s="20" t="n">
        <v>58</v>
      </c>
      <c r="C669" s="20" t="n">
        <v>1</v>
      </c>
      <c r="D669" s="20" t="n">
        <v>4</v>
      </c>
      <c r="E669" s="20" t="n">
        <v>130</v>
      </c>
      <c r="F669" s="23" t="n">
        <v>0</v>
      </c>
      <c r="G669" s="20" t="n">
        <v>0</v>
      </c>
      <c r="H669" s="20" t="n">
        <v>1</v>
      </c>
      <c r="I669" s="20" t="n">
        <v>100</v>
      </c>
      <c r="J669" s="20" t="n">
        <v>1</v>
      </c>
      <c r="K669" s="21" t="n">
        <v>1</v>
      </c>
      <c r="L669" s="20" t="n">
        <v>2</v>
      </c>
      <c r="M669" s="20"/>
      <c r="N669" s="20" t="n">
        <v>6</v>
      </c>
      <c r="O669" s="20" t="n">
        <v>4</v>
      </c>
      <c r="P669" s="22" t="s">
        <v>106</v>
      </c>
    </row>
    <row r="670" customFormat="false" ht="15" hidden="false" customHeight="false" outlineLevel="0" collapsed="false">
      <c r="A670" s="19" t="n">
        <v>669</v>
      </c>
      <c r="B670" s="20" t="n">
        <v>58</v>
      </c>
      <c r="C670" s="20" t="n">
        <v>1</v>
      </c>
      <c r="D670" s="20" t="n">
        <v>4</v>
      </c>
      <c r="E670" s="20" t="n">
        <v>170</v>
      </c>
      <c r="F670" s="23" t="n">
        <v>0</v>
      </c>
      <c r="G670" s="20"/>
      <c r="H670" s="20" t="n">
        <v>1</v>
      </c>
      <c r="I670" s="20" t="n">
        <v>105</v>
      </c>
      <c r="J670" s="20" t="n">
        <v>1</v>
      </c>
      <c r="K670" s="21" t="n">
        <v>0</v>
      </c>
      <c r="L670" s="20"/>
      <c r="M670" s="20"/>
      <c r="N670" s="20" t="n">
        <v>3</v>
      </c>
      <c r="O670" s="20" t="n">
        <v>1</v>
      </c>
      <c r="P670" s="22" t="s">
        <v>106</v>
      </c>
    </row>
    <row r="671" customFormat="false" ht="15" hidden="false" customHeight="false" outlineLevel="0" collapsed="false">
      <c r="A671" s="19" t="n">
        <v>670</v>
      </c>
      <c r="B671" s="20" t="n">
        <v>59</v>
      </c>
      <c r="C671" s="20" t="n">
        <v>1</v>
      </c>
      <c r="D671" s="20" t="n">
        <v>3</v>
      </c>
      <c r="E671" s="20" t="n">
        <v>125</v>
      </c>
      <c r="F671" s="23" t="n">
        <v>0</v>
      </c>
      <c r="G671" s="20"/>
      <c r="H671" s="20" t="n">
        <v>0</v>
      </c>
      <c r="I671" s="20" t="n">
        <v>175</v>
      </c>
      <c r="J671" s="20" t="n">
        <v>0</v>
      </c>
      <c r="K671" s="21" t="n">
        <v>2.6</v>
      </c>
      <c r="L671" s="20" t="n">
        <v>2</v>
      </c>
      <c r="M671" s="20"/>
      <c r="N671" s="20"/>
      <c r="O671" s="20" t="n">
        <v>1</v>
      </c>
      <c r="P671" s="22" t="s">
        <v>106</v>
      </c>
    </row>
    <row r="672" customFormat="false" ht="15" hidden="false" customHeight="false" outlineLevel="0" collapsed="false">
      <c r="A672" s="19" t="n">
        <v>671</v>
      </c>
      <c r="B672" s="20" t="n">
        <v>59</v>
      </c>
      <c r="C672" s="20" t="n">
        <v>1</v>
      </c>
      <c r="D672" s="20" t="n">
        <v>4</v>
      </c>
      <c r="E672" s="20" t="n">
        <v>110</v>
      </c>
      <c r="F672" s="23" t="n">
        <v>0</v>
      </c>
      <c r="G672" s="20"/>
      <c r="H672" s="20" t="n">
        <v>0</v>
      </c>
      <c r="I672" s="20" t="n">
        <v>94</v>
      </c>
      <c r="J672" s="20" t="n">
        <v>0</v>
      </c>
      <c r="K672" s="21" t="n">
        <v>0</v>
      </c>
      <c r="L672" s="20"/>
      <c r="M672" s="20"/>
      <c r="N672" s="20" t="n">
        <v>6</v>
      </c>
      <c r="O672" s="20" t="n">
        <v>3</v>
      </c>
      <c r="P672" s="22" t="s">
        <v>106</v>
      </c>
    </row>
    <row r="673" customFormat="false" ht="15" hidden="false" customHeight="false" outlineLevel="0" collapsed="false">
      <c r="A673" s="19" t="n">
        <v>672</v>
      </c>
      <c r="B673" s="20" t="n">
        <v>59</v>
      </c>
      <c r="C673" s="20" t="n">
        <v>1</v>
      </c>
      <c r="D673" s="20" t="n">
        <v>4</v>
      </c>
      <c r="E673" s="20" t="n">
        <v>120</v>
      </c>
      <c r="F673" s="23" t="n">
        <v>0</v>
      </c>
      <c r="G673" s="20" t="n">
        <v>0</v>
      </c>
      <c r="H673" s="20" t="n">
        <v>0</v>
      </c>
      <c r="I673" s="20" t="n">
        <v>115</v>
      </c>
      <c r="J673" s="20" t="n">
        <v>0</v>
      </c>
      <c r="K673" s="21" t="n">
        <v>0</v>
      </c>
      <c r="L673" s="20" t="n">
        <v>2</v>
      </c>
      <c r="M673" s="20"/>
      <c r="N673" s="20" t="n">
        <v>3</v>
      </c>
      <c r="O673" s="20" t="n">
        <v>2</v>
      </c>
      <c r="P673" s="22" t="s">
        <v>106</v>
      </c>
    </row>
    <row r="674" customFormat="false" ht="15" hidden="false" customHeight="false" outlineLevel="0" collapsed="false">
      <c r="A674" s="19" t="n">
        <v>673</v>
      </c>
      <c r="B674" s="20" t="n">
        <v>59</v>
      </c>
      <c r="C674" s="20" t="n">
        <v>1</v>
      </c>
      <c r="D674" s="20" t="n">
        <v>4</v>
      </c>
      <c r="E674" s="20" t="n">
        <v>125</v>
      </c>
      <c r="F674" s="23" t="n">
        <v>0</v>
      </c>
      <c r="G674" s="20"/>
      <c r="H674" s="20" t="n">
        <v>0</v>
      </c>
      <c r="I674" s="20" t="n">
        <v>119</v>
      </c>
      <c r="J674" s="20" t="n">
        <v>1</v>
      </c>
      <c r="K674" s="21" t="n">
        <v>0.9</v>
      </c>
      <c r="L674" s="20" t="n">
        <v>1</v>
      </c>
      <c r="M674" s="20"/>
      <c r="N674" s="20"/>
      <c r="O674" s="20" t="n">
        <v>1</v>
      </c>
      <c r="P674" s="22" t="s">
        <v>106</v>
      </c>
    </row>
    <row r="675" customFormat="false" ht="15" hidden="false" customHeight="false" outlineLevel="0" collapsed="false">
      <c r="A675" s="19" t="n">
        <v>674</v>
      </c>
      <c r="B675" s="20" t="n">
        <v>59</v>
      </c>
      <c r="C675" s="20" t="n">
        <v>1</v>
      </c>
      <c r="D675" s="20" t="n">
        <v>4</v>
      </c>
      <c r="E675" s="20" t="n">
        <v>135</v>
      </c>
      <c r="F675" s="23" t="n">
        <v>0</v>
      </c>
      <c r="G675" s="20" t="n">
        <v>0</v>
      </c>
      <c r="H675" s="20" t="n">
        <v>0</v>
      </c>
      <c r="I675" s="20" t="n">
        <v>115</v>
      </c>
      <c r="J675" s="20" t="n">
        <v>1</v>
      </c>
      <c r="K675" s="21" t="n">
        <v>1</v>
      </c>
      <c r="L675" s="20" t="n">
        <v>2</v>
      </c>
      <c r="M675" s="20"/>
      <c r="N675" s="20" t="n">
        <v>7</v>
      </c>
      <c r="O675" s="20" t="n">
        <v>1</v>
      </c>
      <c r="P675" s="22" t="s">
        <v>106</v>
      </c>
    </row>
    <row r="676" customFormat="false" ht="15" hidden="false" customHeight="false" outlineLevel="0" collapsed="false">
      <c r="A676" s="19" t="n">
        <v>675</v>
      </c>
      <c r="B676" s="20" t="n">
        <v>60</v>
      </c>
      <c r="C676" s="20" t="n">
        <v>1</v>
      </c>
      <c r="D676" s="20" t="n">
        <v>3</v>
      </c>
      <c r="E676" s="20" t="n">
        <v>115</v>
      </c>
      <c r="F676" s="23" t="n">
        <v>0</v>
      </c>
      <c r="G676" s="20"/>
      <c r="H676" s="20" t="n">
        <v>0</v>
      </c>
      <c r="I676" s="20" t="n">
        <v>143</v>
      </c>
      <c r="J676" s="20" t="n">
        <v>0</v>
      </c>
      <c r="K676" s="21" t="n">
        <v>2.4</v>
      </c>
      <c r="L676" s="20" t="n">
        <v>1</v>
      </c>
      <c r="M676" s="20"/>
      <c r="N676" s="20"/>
      <c r="O676" s="20" t="n">
        <v>1</v>
      </c>
      <c r="P676" s="22" t="s">
        <v>106</v>
      </c>
    </row>
    <row r="677" customFormat="false" ht="15" hidden="false" customHeight="false" outlineLevel="0" collapsed="false">
      <c r="A677" s="19" t="n">
        <v>676</v>
      </c>
      <c r="B677" s="20" t="n">
        <v>60</v>
      </c>
      <c r="C677" s="20" t="n">
        <v>1</v>
      </c>
      <c r="D677" s="20" t="n">
        <v>4</v>
      </c>
      <c r="E677" s="20" t="n">
        <v>125</v>
      </c>
      <c r="F677" s="23" t="n">
        <v>0</v>
      </c>
      <c r="G677" s="20"/>
      <c r="H677" s="20" t="n">
        <v>0</v>
      </c>
      <c r="I677" s="20" t="n">
        <v>110</v>
      </c>
      <c r="J677" s="20" t="n">
        <v>0</v>
      </c>
      <c r="K677" s="21" t="n">
        <v>0.1</v>
      </c>
      <c r="L677" s="20" t="n">
        <v>1</v>
      </c>
      <c r="M677" s="20" t="n">
        <v>2</v>
      </c>
      <c r="N677" s="20"/>
      <c r="O677" s="20" t="n">
        <v>3</v>
      </c>
      <c r="P677" s="22" t="s">
        <v>106</v>
      </c>
    </row>
    <row r="678" customFormat="false" ht="15" hidden="false" customHeight="false" outlineLevel="0" collapsed="false">
      <c r="A678" s="19" t="n">
        <v>677</v>
      </c>
      <c r="B678" s="20" t="n">
        <v>60</v>
      </c>
      <c r="C678" s="20" t="n">
        <v>1</v>
      </c>
      <c r="D678" s="20" t="n">
        <v>4</v>
      </c>
      <c r="E678" s="20" t="n">
        <v>130</v>
      </c>
      <c r="F678" s="23" t="n">
        <v>0</v>
      </c>
      <c r="G678" s="20"/>
      <c r="H678" s="20" t="n">
        <v>1</v>
      </c>
      <c r="I678" s="20" t="n">
        <v>130</v>
      </c>
      <c r="J678" s="20" t="n">
        <v>1</v>
      </c>
      <c r="K678" s="21" t="n">
        <v>1.1</v>
      </c>
      <c r="L678" s="20" t="n">
        <v>3</v>
      </c>
      <c r="M678" s="20" t="n">
        <v>1</v>
      </c>
      <c r="N678" s="20"/>
      <c r="O678" s="20" t="n">
        <v>1</v>
      </c>
      <c r="P678" s="22" t="s">
        <v>106</v>
      </c>
    </row>
    <row r="679" customFormat="false" ht="15" hidden="false" customHeight="false" outlineLevel="0" collapsed="false">
      <c r="A679" s="19" t="n">
        <v>678</v>
      </c>
      <c r="B679" s="20" t="n">
        <v>60</v>
      </c>
      <c r="C679" s="20" t="n">
        <v>1</v>
      </c>
      <c r="D679" s="20" t="n">
        <v>4</v>
      </c>
      <c r="E679" s="20" t="n">
        <v>135</v>
      </c>
      <c r="F679" s="23" t="n">
        <v>0</v>
      </c>
      <c r="G679" s="20" t="n">
        <v>0</v>
      </c>
      <c r="H679" s="20" t="n">
        <v>0</v>
      </c>
      <c r="I679" s="20" t="n">
        <v>63</v>
      </c>
      <c r="J679" s="20" t="n">
        <v>1</v>
      </c>
      <c r="K679" s="21" t="n">
        <v>0.5</v>
      </c>
      <c r="L679" s="20" t="n">
        <v>1</v>
      </c>
      <c r="M679" s="20"/>
      <c r="N679" s="20" t="n">
        <v>7</v>
      </c>
      <c r="O679" s="20" t="n">
        <v>3</v>
      </c>
      <c r="P679" s="22" t="s">
        <v>106</v>
      </c>
    </row>
    <row r="680" customFormat="false" ht="15" hidden="false" customHeight="false" outlineLevel="0" collapsed="false">
      <c r="A680" s="19" t="n">
        <v>679</v>
      </c>
      <c r="B680" s="20" t="n">
        <v>60</v>
      </c>
      <c r="C680" s="20" t="n">
        <v>1</v>
      </c>
      <c r="D680" s="20" t="n">
        <v>4</v>
      </c>
      <c r="E680" s="20" t="n">
        <v>160</v>
      </c>
      <c r="F680" s="23" t="n">
        <v>0</v>
      </c>
      <c r="G680" s="20" t="n">
        <v>0</v>
      </c>
      <c r="H680" s="20" t="n">
        <v>1</v>
      </c>
      <c r="I680" s="20" t="n">
        <v>99</v>
      </c>
      <c r="J680" s="20" t="n">
        <v>1</v>
      </c>
      <c r="K680" s="21" t="n">
        <v>0.5</v>
      </c>
      <c r="L680" s="20" t="n">
        <v>2</v>
      </c>
      <c r="M680" s="20"/>
      <c r="N680" s="20" t="n">
        <v>7</v>
      </c>
      <c r="O680" s="20" t="n">
        <v>3</v>
      </c>
      <c r="P680" s="22" t="s">
        <v>106</v>
      </c>
    </row>
    <row r="681" customFormat="false" ht="15" hidden="false" customHeight="false" outlineLevel="0" collapsed="false">
      <c r="A681" s="19" t="n">
        <v>680</v>
      </c>
      <c r="B681" s="20" t="n">
        <v>60</v>
      </c>
      <c r="C681" s="20" t="n">
        <v>1</v>
      </c>
      <c r="D681" s="20" t="n">
        <v>4</v>
      </c>
      <c r="E681" s="20" t="n">
        <v>160</v>
      </c>
      <c r="F681" s="23" t="n">
        <v>0</v>
      </c>
      <c r="G681" s="20"/>
      <c r="H681" s="20" t="n">
        <v>0</v>
      </c>
      <c r="I681" s="20" t="n">
        <v>149</v>
      </c>
      <c r="J681" s="20" t="n">
        <v>0</v>
      </c>
      <c r="K681" s="21" t="n">
        <v>0.4</v>
      </c>
      <c r="L681" s="20" t="n">
        <v>2</v>
      </c>
      <c r="M681" s="20"/>
      <c r="N681" s="20"/>
      <c r="O681" s="20" t="n">
        <v>1</v>
      </c>
      <c r="P681" s="22" t="s">
        <v>106</v>
      </c>
    </row>
    <row r="682" customFormat="false" ht="15" hidden="false" customHeight="false" outlineLevel="0" collapsed="false">
      <c r="A682" s="19" t="n">
        <v>681</v>
      </c>
      <c r="B682" s="20" t="n">
        <v>61</v>
      </c>
      <c r="C682" s="20" t="n">
        <v>1</v>
      </c>
      <c r="D682" s="20" t="n">
        <v>3</v>
      </c>
      <c r="E682" s="20" t="n">
        <v>200</v>
      </c>
      <c r="F682" s="23" t="n">
        <v>0</v>
      </c>
      <c r="G682" s="20"/>
      <c r="H682" s="20" t="n">
        <v>1</v>
      </c>
      <c r="I682" s="20" t="n">
        <v>70</v>
      </c>
      <c r="J682" s="20" t="n">
        <v>0</v>
      </c>
      <c r="K682" s="21" t="n">
        <v>0</v>
      </c>
      <c r="L682" s="20"/>
      <c r="M682" s="20"/>
      <c r="N682" s="20" t="n">
        <v>3</v>
      </c>
      <c r="O682" s="20" t="n">
        <v>3</v>
      </c>
      <c r="P682" s="22" t="s">
        <v>106</v>
      </c>
    </row>
    <row r="683" customFormat="false" ht="15" hidden="false" customHeight="false" outlineLevel="0" collapsed="false">
      <c r="A683" s="19" t="n">
        <v>682</v>
      </c>
      <c r="B683" s="20" t="n">
        <v>61</v>
      </c>
      <c r="C683" s="20" t="n">
        <v>1</v>
      </c>
      <c r="D683" s="20" t="n">
        <v>4</v>
      </c>
      <c r="E683" s="20" t="n">
        <v>105</v>
      </c>
      <c r="F683" s="23" t="n">
        <v>0</v>
      </c>
      <c r="G683" s="20"/>
      <c r="H683" s="20" t="n">
        <v>0</v>
      </c>
      <c r="I683" s="20" t="n">
        <v>110</v>
      </c>
      <c r="J683" s="20" t="n">
        <v>1</v>
      </c>
      <c r="K683" s="21" t="n">
        <v>1.5</v>
      </c>
      <c r="L683" s="20" t="n">
        <v>1</v>
      </c>
      <c r="M683" s="20"/>
      <c r="N683" s="20"/>
      <c r="O683" s="20" t="n">
        <v>1</v>
      </c>
      <c r="P683" s="22" t="s">
        <v>106</v>
      </c>
    </row>
    <row r="684" customFormat="false" ht="15" hidden="false" customHeight="false" outlineLevel="0" collapsed="false">
      <c r="A684" s="19" t="n">
        <v>683</v>
      </c>
      <c r="B684" s="20" t="n">
        <v>61</v>
      </c>
      <c r="C684" s="20" t="n">
        <v>1</v>
      </c>
      <c r="D684" s="20" t="n">
        <v>4</v>
      </c>
      <c r="E684" s="20" t="n">
        <v>110</v>
      </c>
      <c r="F684" s="23" t="n">
        <v>0</v>
      </c>
      <c r="G684" s="20"/>
      <c r="H684" s="20" t="n">
        <v>0</v>
      </c>
      <c r="I684" s="20" t="n">
        <v>113</v>
      </c>
      <c r="J684" s="20" t="n">
        <v>0</v>
      </c>
      <c r="K684" s="21" t="n">
        <v>1.4</v>
      </c>
      <c r="L684" s="20" t="n">
        <v>2</v>
      </c>
      <c r="M684" s="20"/>
      <c r="N684" s="20"/>
      <c r="O684" s="20" t="n">
        <v>1</v>
      </c>
      <c r="P684" s="22" t="s">
        <v>106</v>
      </c>
    </row>
    <row r="685" customFormat="false" ht="15" hidden="false" customHeight="false" outlineLevel="0" collapsed="false">
      <c r="A685" s="19" t="n">
        <v>684</v>
      </c>
      <c r="B685" s="20" t="n">
        <v>61</v>
      </c>
      <c r="C685" s="20" t="n">
        <v>1</v>
      </c>
      <c r="D685" s="20" t="n">
        <v>4</v>
      </c>
      <c r="E685" s="20" t="n">
        <v>125</v>
      </c>
      <c r="F685" s="23" t="n">
        <v>0</v>
      </c>
      <c r="G685" s="20" t="n">
        <v>0</v>
      </c>
      <c r="H685" s="20" t="n">
        <v>0</v>
      </c>
      <c r="I685" s="20" t="n">
        <v>105</v>
      </c>
      <c r="J685" s="20" t="n">
        <v>1</v>
      </c>
      <c r="K685" s="21" t="n">
        <v>0</v>
      </c>
      <c r="L685" s="20" t="n">
        <v>3</v>
      </c>
      <c r="M685" s="20"/>
      <c r="N685" s="20" t="n">
        <v>7</v>
      </c>
      <c r="O685" s="20" t="n">
        <v>3</v>
      </c>
      <c r="P685" s="22" t="s">
        <v>106</v>
      </c>
    </row>
    <row r="686" customFormat="false" ht="15" hidden="false" customHeight="false" outlineLevel="0" collapsed="false">
      <c r="A686" s="19" t="n">
        <v>685</v>
      </c>
      <c r="B686" s="20" t="n">
        <v>61</v>
      </c>
      <c r="C686" s="20" t="n">
        <v>1</v>
      </c>
      <c r="D686" s="20" t="n">
        <v>4</v>
      </c>
      <c r="E686" s="20" t="n">
        <v>130</v>
      </c>
      <c r="F686" s="23" t="n">
        <v>0</v>
      </c>
      <c r="G686" s="20" t="n">
        <v>0</v>
      </c>
      <c r="H686" s="20" t="n">
        <v>2</v>
      </c>
      <c r="I686" s="20" t="n">
        <v>115</v>
      </c>
      <c r="J686" s="20" t="n">
        <v>0</v>
      </c>
      <c r="K686" s="21" t="n">
        <v>0</v>
      </c>
      <c r="L686" s="20" t="n">
        <v>2</v>
      </c>
      <c r="M686" s="20"/>
      <c r="N686" s="20" t="n">
        <v>7</v>
      </c>
      <c r="O686" s="20" t="n">
        <v>3</v>
      </c>
      <c r="P686" s="22" t="s">
        <v>106</v>
      </c>
    </row>
    <row r="687" customFormat="false" ht="15" hidden="false" customHeight="false" outlineLevel="0" collapsed="false">
      <c r="A687" s="19" t="n">
        <v>686</v>
      </c>
      <c r="B687" s="20" t="n">
        <v>61</v>
      </c>
      <c r="C687" s="20" t="n">
        <v>1</v>
      </c>
      <c r="D687" s="20" t="n">
        <v>4</v>
      </c>
      <c r="E687" s="20" t="n">
        <v>130</v>
      </c>
      <c r="F687" s="23" t="n">
        <v>0</v>
      </c>
      <c r="G687" s="20"/>
      <c r="H687" s="20" t="n">
        <v>0</v>
      </c>
      <c r="I687" s="20" t="n">
        <v>77</v>
      </c>
      <c r="J687" s="20" t="n">
        <v>0</v>
      </c>
      <c r="K687" s="21" t="n">
        <v>2.5</v>
      </c>
      <c r="L687" s="20" t="n">
        <v>2</v>
      </c>
      <c r="M687" s="20"/>
      <c r="N687" s="20"/>
      <c r="O687" s="20" t="n">
        <v>3</v>
      </c>
      <c r="P687" s="22" t="s">
        <v>106</v>
      </c>
    </row>
    <row r="688" customFormat="false" ht="15" hidden="false" customHeight="false" outlineLevel="0" collapsed="false">
      <c r="A688" s="19" t="n">
        <v>687</v>
      </c>
      <c r="B688" s="20" t="n">
        <v>61</v>
      </c>
      <c r="C688" s="20" t="n">
        <v>1</v>
      </c>
      <c r="D688" s="20" t="n">
        <v>4</v>
      </c>
      <c r="E688" s="20" t="n">
        <v>150</v>
      </c>
      <c r="F688" s="23" t="n">
        <v>0</v>
      </c>
      <c r="G688" s="20" t="n">
        <v>0</v>
      </c>
      <c r="H688" s="20" t="n">
        <v>0</v>
      </c>
      <c r="I688" s="20" t="n">
        <v>105</v>
      </c>
      <c r="J688" s="20" t="n">
        <v>1</v>
      </c>
      <c r="K688" s="21" t="n">
        <v>0</v>
      </c>
      <c r="L688" s="20" t="n">
        <v>2</v>
      </c>
      <c r="M688" s="20"/>
      <c r="N688" s="20" t="n">
        <v>7</v>
      </c>
      <c r="O688" s="20" t="n">
        <v>1</v>
      </c>
      <c r="P688" s="22" t="s">
        <v>106</v>
      </c>
    </row>
    <row r="689" customFormat="false" ht="15" hidden="false" customHeight="false" outlineLevel="0" collapsed="false">
      <c r="A689" s="19" t="n">
        <v>688</v>
      </c>
      <c r="B689" s="20" t="n">
        <v>61</v>
      </c>
      <c r="C689" s="20" t="n">
        <v>1</v>
      </c>
      <c r="D689" s="20" t="n">
        <v>4</v>
      </c>
      <c r="E689" s="20" t="n">
        <v>150</v>
      </c>
      <c r="F689" s="23" t="n">
        <v>0</v>
      </c>
      <c r="G689" s="20" t="n">
        <v>0</v>
      </c>
      <c r="H689" s="20" t="n">
        <v>0</v>
      </c>
      <c r="I689" s="20" t="n">
        <v>117</v>
      </c>
      <c r="J689" s="20" t="n">
        <v>1</v>
      </c>
      <c r="K689" s="21" t="n">
        <v>2</v>
      </c>
      <c r="L689" s="20" t="n">
        <v>2</v>
      </c>
      <c r="M689" s="20"/>
      <c r="N689" s="20" t="n">
        <v>7</v>
      </c>
      <c r="O689" s="20" t="n">
        <v>2</v>
      </c>
      <c r="P689" s="22" t="s">
        <v>106</v>
      </c>
    </row>
    <row r="690" customFormat="false" ht="15" hidden="false" customHeight="false" outlineLevel="0" collapsed="false">
      <c r="A690" s="19" t="n">
        <v>689</v>
      </c>
      <c r="B690" s="20" t="n">
        <v>61</v>
      </c>
      <c r="C690" s="20" t="n">
        <v>1</v>
      </c>
      <c r="D690" s="20" t="n">
        <v>4</v>
      </c>
      <c r="E690" s="20" t="n">
        <v>160</v>
      </c>
      <c r="F690" s="23" t="n">
        <v>0</v>
      </c>
      <c r="G690" s="20" t="n">
        <v>1</v>
      </c>
      <c r="H690" s="20" t="n">
        <v>1</v>
      </c>
      <c r="I690" s="20" t="n">
        <v>145</v>
      </c>
      <c r="J690" s="20" t="n">
        <v>0</v>
      </c>
      <c r="K690" s="21" t="n">
        <v>1</v>
      </c>
      <c r="L690" s="20" t="n">
        <v>2</v>
      </c>
      <c r="M690" s="20"/>
      <c r="N690" s="20" t="n">
        <v>7</v>
      </c>
      <c r="O690" s="20" t="n">
        <v>2</v>
      </c>
      <c r="P690" s="22" t="s">
        <v>106</v>
      </c>
    </row>
    <row r="691" customFormat="false" ht="15" hidden="false" customHeight="false" outlineLevel="0" collapsed="false">
      <c r="A691" s="19" t="n">
        <v>690</v>
      </c>
      <c r="B691" s="20" t="n">
        <v>62</v>
      </c>
      <c r="C691" s="20" t="n">
        <v>0</v>
      </c>
      <c r="D691" s="20" t="n">
        <v>1</v>
      </c>
      <c r="E691" s="20" t="n">
        <v>140</v>
      </c>
      <c r="F691" s="23" t="n">
        <v>0</v>
      </c>
      <c r="G691" s="20"/>
      <c r="H691" s="20" t="n">
        <v>0</v>
      </c>
      <c r="I691" s="20" t="n">
        <v>143</v>
      </c>
      <c r="J691" s="20" t="n">
        <v>0</v>
      </c>
      <c r="K691" s="21" t="n">
        <v>0</v>
      </c>
      <c r="L691" s="20"/>
      <c r="M691" s="20"/>
      <c r="N691" s="20" t="n">
        <v>3</v>
      </c>
      <c r="O691" s="20" t="n">
        <v>2</v>
      </c>
      <c r="P691" s="22" t="s">
        <v>106</v>
      </c>
    </row>
    <row r="692" customFormat="false" ht="15" hidden="false" customHeight="false" outlineLevel="0" collapsed="false">
      <c r="A692" s="19" t="n">
        <v>691</v>
      </c>
      <c r="B692" s="20" t="n">
        <v>62</v>
      </c>
      <c r="C692" s="20" t="n">
        <v>0</v>
      </c>
      <c r="D692" s="20" t="n">
        <v>4</v>
      </c>
      <c r="E692" s="20" t="n">
        <v>120</v>
      </c>
      <c r="F692" s="23" t="n">
        <v>0</v>
      </c>
      <c r="G692" s="20"/>
      <c r="H692" s="20" t="n">
        <v>1</v>
      </c>
      <c r="I692" s="20" t="n">
        <v>123</v>
      </c>
      <c r="J692" s="20" t="n">
        <v>1</v>
      </c>
      <c r="K692" s="21" t="n">
        <v>1.7</v>
      </c>
      <c r="L692" s="20" t="n">
        <v>3</v>
      </c>
      <c r="M692" s="20"/>
      <c r="N692" s="20"/>
      <c r="O692" s="20" t="n">
        <v>1</v>
      </c>
      <c r="P692" s="22" t="s">
        <v>106</v>
      </c>
    </row>
    <row r="693" customFormat="false" ht="15" hidden="false" customHeight="false" outlineLevel="0" collapsed="false">
      <c r="A693" s="19" t="n">
        <v>692</v>
      </c>
      <c r="B693" s="20" t="n">
        <v>62</v>
      </c>
      <c r="C693" s="20" t="n">
        <v>1</v>
      </c>
      <c r="D693" s="20" t="n">
        <v>1</v>
      </c>
      <c r="E693" s="20" t="n">
        <v>120</v>
      </c>
      <c r="F693" s="23" t="n">
        <v>0</v>
      </c>
      <c r="G693" s="20"/>
      <c r="H693" s="20" t="n">
        <v>2</v>
      </c>
      <c r="I693" s="20" t="n">
        <v>134</v>
      </c>
      <c r="J693" s="20" t="n">
        <v>0</v>
      </c>
      <c r="K693" s="25" t="n">
        <v>-0.8</v>
      </c>
      <c r="L693" s="20" t="n">
        <v>2</v>
      </c>
      <c r="M693" s="20" t="n">
        <v>2</v>
      </c>
      <c r="N693" s="20"/>
      <c r="O693" s="20" t="n">
        <v>1</v>
      </c>
      <c r="P693" s="22" t="s">
        <v>106</v>
      </c>
    </row>
    <row r="694" customFormat="false" ht="15" hidden="false" customHeight="false" outlineLevel="0" collapsed="false">
      <c r="A694" s="19" t="n">
        <v>693</v>
      </c>
      <c r="B694" s="20" t="n">
        <v>62</v>
      </c>
      <c r="C694" s="20" t="n">
        <v>1</v>
      </c>
      <c r="D694" s="20" t="n">
        <v>3</v>
      </c>
      <c r="E694" s="20" t="n">
        <v>160</v>
      </c>
      <c r="F694" s="23" t="n">
        <v>0</v>
      </c>
      <c r="G694" s="20" t="n">
        <v>0</v>
      </c>
      <c r="H694" s="20" t="n">
        <v>0</v>
      </c>
      <c r="I694" s="20" t="n">
        <v>72</v>
      </c>
      <c r="J694" s="20" t="n">
        <v>1</v>
      </c>
      <c r="K694" s="21" t="n">
        <v>0</v>
      </c>
      <c r="L694" s="20" t="n">
        <v>2</v>
      </c>
      <c r="M694" s="20"/>
      <c r="N694" s="20" t="n">
        <v>3</v>
      </c>
      <c r="O694" s="20" t="n">
        <v>3</v>
      </c>
      <c r="P694" s="22" t="s">
        <v>106</v>
      </c>
    </row>
    <row r="695" customFormat="false" ht="15" hidden="false" customHeight="false" outlineLevel="0" collapsed="false">
      <c r="A695" s="19" t="n">
        <v>694</v>
      </c>
      <c r="B695" s="20" t="n">
        <v>62</v>
      </c>
      <c r="C695" s="20" t="n">
        <v>1</v>
      </c>
      <c r="D695" s="20" t="n">
        <v>4</v>
      </c>
      <c r="E695" s="20" t="n">
        <v>115</v>
      </c>
      <c r="F695" s="23" t="n">
        <v>0</v>
      </c>
      <c r="G695" s="20"/>
      <c r="H695" s="20" t="n">
        <v>0</v>
      </c>
      <c r="I695" s="20" t="n">
        <v>128</v>
      </c>
      <c r="J695" s="20" t="n">
        <v>1</v>
      </c>
      <c r="K695" s="21" t="n">
        <v>2.5</v>
      </c>
      <c r="L695" s="20" t="n">
        <v>3</v>
      </c>
      <c r="M695" s="20"/>
      <c r="N695" s="20"/>
      <c r="O695" s="20" t="n">
        <v>2</v>
      </c>
      <c r="P695" s="22" t="s">
        <v>106</v>
      </c>
    </row>
    <row r="696" customFormat="false" ht="15" hidden="false" customHeight="false" outlineLevel="0" collapsed="false">
      <c r="A696" s="19" t="n">
        <v>695</v>
      </c>
      <c r="B696" s="20" t="n">
        <v>62</v>
      </c>
      <c r="C696" s="20" t="n">
        <v>1</v>
      </c>
      <c r="D696" s="20" t="n">
        <v>4</v>
      </c>
      <c r="E696" s="20" t="n">
        <v>115</v>
      </c>
      <c r="F696" s="23" t="n">
        <v>0</v>
      </c>
      <c r="G696" s="20"/>
      <c r="H696" s="20" t="n">
        <v>0</v>
      </c>
      <c r="I696" s="20" t="n">
        <v>72</v>
      </c>
      <c r="J696" s="20" t="n">
        <v>1</v>
      </c>
      <c r="K696" s="25" t="n">
        <v>-0.5</v>
      </c>
      <c r="L696" s="20" t="n">
        <v>2</v>
      </c>
      <c r="M696" s="20"/>
      <c r="N696" s="20" t="n">
        <v>3</v>
      </c>
      <c r="O696" s="20" t="n">
        <v>1</v>
      </c>
      <c r="P696" s="22" t="s">
        <v>106</v>
      </c>
    </row>
    <row r="697" customFormat="false" ht="15" hidden="false" customHeight="false" outlineLevel="0" collapsed="false">
      <c r="A697" s="19" t="n">
        <v>696</v>
      </c>
      <c r="B697" s="20" t="n">
        <v>62</v>
      </c>
      <c r="C697" s="20" t="n">
        <v>1</v>
      </c>
      <c r="D697" s="20" t="n">
        <v>4</v>
      </c>
      <c r="E697" s="20" t="n">
        <v>150</v>
      </c>
      <c r="F697" s="23" t="n">
        <v>0</v>
      </c>
      <c r="G697" s="20"/>
      <c r="H697" s="20" t="n">
        <v>1</v>
      </c>
      <c r="I697" s="20" t="n">
        <v>78</v>
      </c>
      <c r="J697" s="20" t="n">
        <v>0</v>
      </c>
      <c r="K697" s="21" t="n">
        <v>2</v>
      </c>
      <c r="L697" s="20" t="n">
        <v>2</v>
      </c>
      <c r="M697" s="20"/>
      <c r="N697" s="20" t="n">
        <v>7</v>
      </c>
      <c r="O697" s="20" t="n">
        <v>3</v>
      </c>
      <c r="P697" s="22" t="s">
        <v>106</v>
      </c>
    </row>
    <row r="698" customFormat="false" ht="15" hidden="false" customHeight="false" outlineLevel="0" collapsed="false">
      <c r="A698" s="19" t="n">
        <v>697</v>
      </c>
      <c r="B698" s="20" t="n">
        <v>63</v>
      </c>
      <c r="C698" s="20" t="n">
        <v>1</v>
      </c>
      <c r="D698" s="20" t="n">
        <v>4</v>
      </c>
      <c r="E698" s="20" t="n">
        <v>100</v>
      </c>
      <c r="F698" s="23" t="n">
        <v>0</v>
      </c>
      <c r="G698" s="20"/>
      <c r="H698" s="20" t="n">
        <v>0</v>
      </c>
      <c r="I698" s="20" t="n">
        <v>109</v>
      </c>
      <c r="J698" s="20" t="n">
        <v>0</v>
      </c>
      <c r="K698" s="25" t="n">
        <v>-0.9</v>
      </c>
      <c r="L698" s="20" t="n">
        <v>2</v>
      </c>
      <c r="M698" s="20"/>
      <c r="N698" s="20"/>
      <c r="O698" s="20" t="n">
        <v>1</v>
      </c>
      <c r="P698" s="22" t="s">
        <v>106</v>
      </c>
    </row>
    <row r="699" customFormat="false" ht="15" hidden="false" customHeight="false" outlineLevel="0" collapsed="false">
      <c r="A699" s="19" t="n">
        <v>698</v>
      </c>
      <c r="B699" s="20" t="n">
        <v>63</v>
      </c>
      <c r="C699" s="20" t="n">
        <v>1</v>
      </c>
      <c r="D699" s="20" t="n">
        <v>4</v>
      </c>
      <c r="E699" s="20" t="n">
        <v>140</v>
      </c>
      <c r="F699" s="23" t="n">
        <v>0</v>
      </c>
      <c r="G699" s="20"/>
      <c r="H699" s="20" t="n">
        <v>2</v>
      </c>
      <c r="I699" s="20" t="n">
        <v>149</v>
      </c>
      <c r="J699" s="20" t="n">
        <v>0</v>
      </c>
      <c r="K699" s="21" t="n">
        <v>2</v>
      </c>
      <c r="L699" s="20" t="n">
        <v>1</v>
      </c>
      <c r="M699" s="20"/>
      <c r="N699" s="20"/>
      <c r="O699" s="20" t="n">
        <v>2</v>
      </c>
      <c r="P699" s="22" t="s">
        <v>106</v>
      </c>
    </row>
    <row r="700" customFormat="false" ht="15" hidden="false" customHeight="false" outlineLevel="0" collapsed="false">
      <c r="A700" s="19" t="n">
        <v>699</v>
      </c>
      <c r="B700" s="20" t="n">
        <v>63</v>
      </c>
      <c r="C700" s="20" t="n">
        <v>1</v>
      </c>
      <c r="D700" s="20" t="n">
        <v>4</v>
      </c>
      <c r="E700" s="20" t="n">
        <v>150</v>
      </c>
      <c r="F700" s="23" t="n">
        <v>0</v>
      </c>
      <c r="G700" s="20" t="n">
        <v>0</v>
      </c>
      <c r="H700" s="20" t="n">
        <v>0</v>
      </c>
      <c r="I700" s="20" t="n">
        <v>86</v>
      </c>
      <c r="J700" s="20" t="n">
        <v>1</v>
      </c>
      <c r="K700" s="21" t="n">
        <v>2</v>
      </c>
      <c r="L700" s="20" t="n">
        <v>2</v>
      </c>
      <c r="M700" s="20"/>
      <c r="N700" s="20"/>
      <c r="O700" s="20" t="n">
        <v>3</v>
      </c>
      <c r="P700" s="22" t="s">
        <v>106</v>
      </c>
    </row>
    <row r="701" customFormat="false" ht="15" hidden="false" customHeight="false" outlineLevel="0" collapsed="false">
      <c r="A701" s="19" t="n">
        <v>700</v>
      </c>
      <c r="B701" s="20" t="n">
        <v>63</v>
      </c>
      <c r="C701" s="20" t="n">
        <v>1</v>
      </c>
      <c r="D701" s="20" t="n">
        <v>4</v>
      </c>
      <c r="E701" s="20" t="n">
        <v>150</v>
      </c>
      <c r="F701" s="23" t="n">
        <v>0</v>
      </c>
      <c r="G701" s="20"/>
      <c r="H701" s="20" t="n">
        <v>1</v>
      </c>
      <c r="I701" s="20" t="n">
        <v>154</v>
      </c>
      <c r="J701" s="20" t="n">
        <v>0</v>
      </c>
      <c r="K701" s="21" t="n">
        <v>3.7</v>
      </c>
      <c r="L701" s="20" t="n">
        <v>1</v>
      </c>
      <c r="M701" s="20"/>
      <c r="N701" s="20"/>
      <c r="O701" s="20" t="n">
        <v>3</v>
      </c>
      <c r="P701" s="22" t="s">
        <v>106</v>
      </c>
    </row>
    <row r="702" customFormat="false" ht="15" hidden="false" customHeight="false" outlineLevel="0" collapsed="false">
      <c r="A702" s="19" t="n">
        <v>701</v>
      </c>
      <c r="B702" s="20" t="n">
        <v>63</v>
      </c>
      <c r="C702" s="20" t="n">
        <v>1</v>
      </c>
      <c r="D702" s="20" t="n">
        <v>4</v>
      </c>
      <c r="E702" s="20" t="n">
        <v>185</v>
      </c>
      <c r="F702" s="23" t="n">
        <v>0</v>
      </c>
      <c r="G702" s="20" t="n">
        <v>0</v>
      </c>
      <c r="H702" s="20" t="n">
        <v>0</v>
      </c>
      <c r="I702" s="20" t="n">
        <v>98</v>
      </c>
      <c r="J702" s="20" t="n">
        <v>1</v>
      </c>
      <c r="K702" s="21" t="n">
        <v>0</v>
      </c>
      <c r="L702" s="20" t="n">
        <v>1</v>
      </c>
      <c r="M702" s="20"/>
      <c r="N702" s="20" t="n">
        <v>7</v>
      </c>
      <c r="O702" s="20" t="n">
        <v>1</v>
      </c>
      <c r="P702" s="22" t="s">
        <v>106</v>
      </c>
    </row>
    <row r="703" customFormat="false" ht="15" hidden="false" customHeight="false" outlineLevel="0" collapsed="false">
      <c r="A703" s="19" t="n">
        <v>702</v>
      </c>
      <c r="B703" s="20" t="n">
        <v>64</v>
      </c>
      <c r="C703" s="20" t="n">
        <v>0</v>
      </c>
      <c r="D703" s="20" t="n">
        <v>4</v>
      </c>
      <c r="E703" s="20" t="n">
        <v>200</v>
      </c>
      <c r="F703" s="23" t="n">
        <v>0</v>
      </c>
      <c r="G703" s="20" t="n">
        <v>0</v>
      </c>
      <c r="H703" s="20" t="n">
        <v>0</v>
      </c>
      <c r="I703" s="20" t="n">
        <v>140</v>
      </c>
      <c r="J703" s="20" t="n">
        <v>1</v>
      </c>
      <c r="K703" s="21" t="n">
        <v>1</v>
      </c>
      <c r="L703" s="20" t="n">
        <v>2</v>
      </c>
      <c r="M703" s="20"/>
      <c r="N703" s="20" t="n">
        <v>3</v>
      </c>
      <c r="O703" s="20" t="n">
        <v>3</v>
      </c>
      <c r="P703" s="22" t="s">
        <v>106</v>
      </c>
    </row>
    <row r="704" customFormat="false" ht="15" hidden="false" customHeight="false" outlineLevel="0" collapsed="false">
      <c r="A704" s="19" t="n">
        <v>703</v>
      </c>
      <c r="B704" s="20" t="n">
        <v>64</v>
      </c>
      <c r="C704" s="20" t="n">
        <v>0</v>
      </c>
      <c r="D704" s="20" t="n">
        <v>4</v>
      </c>
      <c r="E704" s="20" t="n">
        <v>95</v>
      </c>
      <c r="F704" s="23" t="n">
        <v>0</v>
      </c>
      <c r="G704" s="20"/>
      <c r="H704" s="20" t="n">
        <v>0</v>
      </c>
      <c r="I704" s="20" t="n">
        <v>145</v>
      </c>
      <c r="J704" s="20" t="n">
        <v>0</v>
      </c>
      <c r="K704" s="21" t="n">
        <v>1.1</v>
      </c>
      <c r="L704" s="20" t="n">
        <v>3</v>
      </c>
      <c r="M704" s="20"/>
      <c r="N704" s="20"/>
      <c r="O704" s="20" t="n">
        <v>1</v>
      </c>
      <c r="P704" s="22" t="s">
        <v>106</v>
      </c>
    </row>
    <row r="705" customFormat="false" ht="15" hidden="false" customHeight="false" outlineLevel="0" collapsed="false">
      <c r="A705" s="19" t="n">
        <v>704</v>
      </c>
      <c r="B705" s="20" t="n">
        <v>64</v>
      </c>
      <c r="C705" s="20" t="n">
        <v>1</v>
      </c>
      <c r="D705" s="20" t="n">
        <v>4</v>
      </c>
      <c r="E705" s="20" t="n">
        <v>110</v>
      </c>
      <c r="F705" s="23" t="n">
        <v>0</v>
      </c>
      <c r="G705" s="20"/>
      <c r="H705" s="20" t="n">
        <v>0</v>
      </c>
      <c r="I705" s="20" t="n">
        <v>114</v>
      </c>
      <c r="J705" s="20" t="n">
        <v>1</v>
      </c>
      <c r="K705" s="21" t="n">
        <v>1.3</v>
      </c>
      <c r="L705" s="20" t="n">
        <v>3</v>
      </c>
      <c r="M705" s="20"/>
      <c r="N705" s="20"/>
      <c r="O705" s="20" t="n">
        <v>1</v>
      </c>
      <c r="P705" s="22" t="s">
        <v>106</v>
      </c>
    </row>
    <row r="706" customFormat="false" ht="15" hidden="false" customHeight="false" outlineLevel="0" collapsed="false">
      <c r="A706" s="19" t="n">
        <v>705</v>
      </c>
      <c r="B706" s="20" t="n">
        <v>65</v>
      </c>
      <c r="C706" s="20" t="n">
        <v>1</v>
      </c>
      <c r="D706" s="20" t="n">
        <v>4</v>
      </c>
      <c r="E706" s="20" t="n">
        <v>115</v>
      </c>
      <c r="F706" s="23" t="n">
        <v>0</v>
      </c>
      <c r="G706" s="20" t="n">
        <v>0</v>
      </c>
      <c r="H706" s="20" t="n">
        <v>0</v>
      </c>
      <c r="I706" s="20" t="n">
        <v>93</v>
      </c>
      <c r="J706" s="20" t="n">
        <v>1</v>
      </c>
      <c r="K706" s="21" t="n">
        <v>0</v>
      </c>
      <c r="L706" s="20" t="n">
        <v>2</v>
      </c>
      <c r="M706" s="20"/>
      <c r="N706" s="20" t="n">
        <v>7</v>
      </c>
      <c r="O706" s="20" t="n">
        <v>1</v>
      </c>
      <c r="P706" s="22" t="s">
        <v>106</v>
      </c>
    </row>
    <row r="707" customFormat="false" ht="15" hidden="false" customHeight="false" outlineLevel="0" collapsed="false">
      <c r="A707" s="19" t="n">
        <v>706</v>
      </c>
      <c r="B707" s="20" t="n">
        <v>65</v>
      </c>
      <c r="C707" s="20" t="n">
        <v>1</v>
      </c>
      <c r="D707" s="20" t="n">
        <v>4</v>
      </c>
      <c r="E707" s="20" t="n">
        <v>145</v>
      </c>
      <c r="F707" s="23" t="n">
        <v>0</v>
      </c>
      <c r="G707" s="20"/>
      <c r="H707" s="20" t="n">
        <v>1</v>
      </c>
      <c r="I707" s="20" t="n">
        <v>67</v>
      </c>
      <c r="J707" s="20" t="n">
        <v>0</v>
      </c>
      <c r="K707" s="21"/>
      <c r="L707" s="20"/>
      <c r="M707" s="20"/>
      <c r="N707" s="20" t="n">
        <v>6</v>
      </c>
      <c r="O707" s="20" t="n">
        <v>3</v>
      </c>
      <c r="P707" s="22" t="s">
        <v>106</v>
      </c>
    </row>
    <row r="708" customFormat="false" ht="15" hidden="false" customHeight="false" outlineLevel="0" collapsed="false">
      <c r="A708" s="19" t="n">
        <v>707</v>
      </c>
      <c r="B708" s="20" t="n">
        <v>65</v>
      </c>
      <c r="C708" s="20" t="n">
        <v>1</v>
      </c>
      <c r="D708" s="20" t="n">
        <v>4</v>
      </c>
      <c r="E708" s="20" t="n">
        <v>155</v>
      </c>
      <c r="F708" s="23" t="n">
        <v>0</v>
      </c>
      <c r="G708" s="20"/>
      <c r="H708" s="20" t="n">
        <v>0</v>
      </c>
      <c r="I708" s="20" t="n">
        <v>154</v>
      </c>
      <c r="J708" s="20" t="n">
        <v>0</v>
      </c>
      <c r="K708" s="21" t="n">
        <v>1</v>
      </c>
      <c r="L708" s="20" t="n">
        <v>1</v>
      </c>
      <c r="M708" s="20"/>
      <c r="N708" s="20"/>
      <c r="O708" s="20" t="n">
        <v>0</v>
      </c>
      <c r="P708" s="22" t="s">
        <v>106</v>
      </c>
    </row>
    <row r="709" customFormat="false" ht="15" hidden="false" customHeight="false" outlineLevel="0" collapsed="false">
      <c r="A709" s="19" t="n">
        <v>708</v>
      </c>
      <c r="B709" s="20" t="n">
        <v>65</v>
      </c>
      <c r="C709" s="20" t="n">
        <v>1</v>
      </c>
      <c r="D709" s="20" t="n">
        <v>4</v>
      </c>
      <c r="E709" s="20" t="n">
        <v>160</v>
      </c>
      <c r="F709" s="23" t="n">
        <v>0</v>
      </c>
      <c r="G709" s="20" t="n">
        <v>1</v>
      </c>
      <c r="H709" s="20" t="n">
        <v>1</v>
      </c>
      <c r="I709" s="20" t="n">
        <v>122</v>
      </c>
      <c r="J709" s="20" t="n">
        <v>0</v>
      </c>
      <c r="K709" s="21"/>
      <c r="L709" s="20"/>
      <c r="M709" s="20"/>
      <c r="N709" s="20" t="n">
        <v>7</v>
      </c>
      <c r="O709" s="20" t="n">
        <v>3</v>
      </c>
      <c r="P709" s="22" t="s">
        <v>106</v>
      </c>
    </row>
    <row r="710" customFormat="false" ht="15" hidden="false" customHeight="false" outlineLevel="0" collapsed="false">
      <c r="A710" s="19" t="n">
        <v>709</v>
      </c>
      <c r="B710" s="20" t="n">
        <v>66</v>
      </c>
      <c r="C710" s="20" t="n">
        <v>0</v>
      </c>
      <c r="D710" s="20" t="n">
        <v>4</v>
      </c>
      <c r="E710" s="20" t="n">
        <v>155</v>
      </c>
      <c r="F710" s="23" t="n">
        <v>0</v>
      </c>
      <c r="G710" s="20"/>
      <c r="H710" s="20" t="n">
        <v>0</v>
      </c>
      <c r="I710" s="20" t="n">
        <v>90</v>
      </c>
      <c r="J710" s="20" t="n">
        <v>0</v>
      </c>
      <c r="K710" s="21" t="n">
        <v>0</v>
      </c>
      <c r="L710" s="20"/>
      <c r="M710" s="20"/>
      <c r="N710" s="20" t="n">
        <v>7</v>
      </c>
      <c r="O710" s="20" t="n">
        <v>1</v>
      </c>
      <c r="P710" s="22" t="s">
        <v>106</v>
      </c>
    </row>
    <row r="711" customFormat="false" ht="15" hidden="false" customHeight="false" outlineLevel="0" collapsed="false">
      <c r="A711" s="19" t="n">
        <v>710</v>
      </c>
      <c r="B711" s="20" t="n">
        <v>66</v>
      </c>
      <c r="C711" s="20" t="n">
        <v>1</v>
      </c>
      <c r="D711" s="20" t="n">
        <v>4</v>
      </c>
      <c r="E711" s="20" t="n">
        <v>150</v>
      </c>
      <c r="F711" s="23" t="n">
        <v>0</v>
      </c>
      <c r="G711" s="20" t="n">
        <v>0</v>
      </c>
      <c r="H711" s="20" t="n">
        <v>0</v>
      </c>
      <c r="I711" s="20" t="n">
        <v>108</v>
      </c>
      <c r="J711" s="20" t="n">
        <v>1</v>
      </c>
      <c r="K711" s="21" t="n">
        <v>2</v>
      </c>
      <c r="L711" s="20" t="n">
        <v>2</v>
      </c>
      <c r="M711" s="20"/>
      <c r="N711" s="20" t="n">
        <v>7</v>
      </c>
      <c r="O711" s="20" t="n">
        <v>3</v>
      </c>
      <c r="P711" s="22" t="s">
        <v>106</v>
      </c>
    </row>
    <row r="712" customFormat="false" ht="15" hidden="false" customHeight="false" outlineLevel="0" collapsed="false">
      <c r="A712" s="19" t="n">
        <v>711</v>
      </c>
      <c r="B712" s="20" t="n">
        <v>67</v>
      </c>
      <c r="C712" s="20" t="n">
        <v>1</v>
      </c>
      <c r="D712" s="20" t="n">
        <v>1</v>
      </c>
      <c r="E712" s="20" t="n">
        <v>145</v>
      </c>
      <c r="F712" s="23" t="n">
        <v>0</v>
      </c>
      <c r="G712" s="20" t="n">
        <v>0</v>
      </c>
      <c r="H712" s="20" t="n">
        <v>2</v>
      </c>
      <c r="I712" s="20" t="n">
        <v>125</v>
      </c>
      <c r="J712" s="20" t="n">
        <v>0</v>
      </c>
      <c r="K712" s="21" t="n">
        <v>0</v>
      </c>
      <c r="L712" s="20" t="n">
        <v>2</v>
      </c>
      <c r="M712" s="20"/>
      <c r="N712" s="20" t="n">
        <v>3</v>
      </c>
      <c r="O712" s="20" t="n">
        <v>2</v>
      </c>
      <c r="P712" s="22" t="s">
        <v>106</v>
      </c>
    </row>
    <row r="713" customFormat="false" ht="15" hidden="false" customHeight="false" outlineLevel="0" collapsed="false">
      <c r="A713" s="19" t="n">
        <v>712</v>
      </c>
      <c r="B713" s="20" t="n">
        <v>68</v>
      </c>
      <c r="C713" s="20" t="n">
        <v>1</v>
      </c>
      <c r="D713" s="20" t="n">
        <v>4</v>
      </c>
      <c r="E713" s="20" t="n">
        <v>135</v>
      </c>
      <c r="F713" s="23" t="n">
        <v>0</v>
      </c>
      <c r="G713" s="20" t="n">
        <v>0</v>
      </c>
      <c r="H713" s="20" t="n">
        <v>1</v>
      </c>
      <c r="I713" s="20" t="n">
        <v>120</v>
      </c>
      <c r="J713" s="20" t="n">
        <v>1</v>
      </c>
      <c r="K713" s="21" t="n">
        <v>0</v>
      </c>
      <c r="L713" s="20" t="n">
        <v>1</v>
      </c>
      <c r="M713" s="20"/>
      <c r="N713" s="20" t="n">
        <v>7</v>
      </c>
      <c r="O713" s="20" t="n">
        <v>3</v>
      </c>
      <c r="P713" s="22" t="s">
        <v>106</v>
      </c>
    </row>
    <row r="714" customFormat="false" ht="15" hidden="false" customHeight="false" outlineLevel="0" collapsed="false">
      <c r="A714" s="19" t="n">
        <v>713</v>
      </c>
      <c r="B714" s="20" t="n">
        <v>68</v>
      </c>
      <c r="C714" s="20" t="n">
        <v>1</v>
      </c>
      <c r="D714" s="20" t="n">
        <v>4</v>
      </c>
      <c r="E714" s="20" t="n">
        <v>145</v>
      </c>
      <c r="F714" s="23" t="n">
        <v>0</v>
      </c>
      <c r="G714" s="20"/>
      <c r="H714" s="20" t="n">
        <v>0</v>
      </c>
      <c r="I714" s="20" t="n">
        <v>136</v>
      </c>
      <c r="J714" s="20" t="n">
        <v>0</v>
      </c>
      <c r="K714" s="21" t="n">
        <v>1.8</v>
      </c>
      <c r="L714" s="20" t="n">
        <v>1</v>
      </c>
      <c r="M714" s="20"/>
      <c r="N714" s="20"/>
      <c r="O714" s="20" t="n">
        <v>1</v>
      </c>
      <c r="P714" s="22" t="s">
        <v>106</v>
      </c>
    </row>
    <row r="715" customFormat="false" ht="15" hidden="false" customHeight="false" outlineLevel="0" collapsed="false">
      <c r="A715" s="19" t="n">
        <v>714</v>
      </c>
      <c r="B715" s="20" t="n">
        <v>69</v>
      </c>
      <c r="C715" s="20" t="n">
        <v>1</v>
      </c>
      <c r="D715" s="20" t="n">
        <v>4</v>
      </c>
      <c r="E715" s="20" t="n">
        <v>135</v>
      </c>
      <c r="F715" s="23" t="n">
        <v>0</v>
      </c>
      <c r="G715" s="20" t="n">
        <v>0</v>
      </c>
      <c r="H715" s="20" t="n">
        <v>0</v>
      </c>
      <c r="I715" s="20" t="n">
        <v>130</v>
      </c>
      <c r="J715" s="20" t="n">
        <v>0</v>
      </c>
      <c r="K715" s="21" t="n">
        <v>0</v>
      </c>
      <c r="L715" s="20" t="n">
        <v>2</v>
      </c>
      <c r="M715" s="20"/>
      <c r="N715" s="20" t="n">
        <v>6</v>
      </c>
      <c r="O715" s="20" t="n">
        <v>1</v>
      </c>
      <c r="P715" s="22" t="s">
        <v>106</v>
      </c>
    </row>
    <row r="716" customFormat="false" ht="15" hidden="false" customHeight="false" outlineLevel="0" collapsed="false">
      <c r="A716" s="19" t="n">
        <v>715</v>
      </c>
      <c r="B716" s="20" t="n">
        <v>69</v>
      </c>
      <c r="C716" s="20" t="n">
        <v>1</v>
      </c>
      <c r="D716" s="20" t="n">
        <v>4</v>
      </c>
      <c r="E716" s="20"/>
      <c r="F716" s="23" t="n">
        <v>0</v>
      </c>
      <c r="G716" s="20" t="n">
        <v>0</v>
      </c>
      <c r="H716" s="20" t="n">
        <v>1</v>
      </c>
      <c r="I716" s="20"/>
      <c r="J716" s="20"/>
      <c r="K716" s="21"/>
      <c r="L716" s="20"/>
      <c r="M716" s="20"/>
      <c r="N716" s="20" t="n">
        <v>7</v>
      </c>
      <c r="O716" s="20" t="n">
        <v>3</v>
      </c>
      <c r="P716" s="22" t="s">
        <v>106</v>
      </c>
    </row>
    <row r="717" customFormat="false" ht="15" hidden="false" customHeight="false" outlineLevel="0" collapsed="false">
      <c r="A717" s="19" t="n">
        <v>716</v>
      </c>
      <c r="B717" s="20" t="n">
        <v>70</v>
      </c>
      <c r="C717" s="20" t="n">
        <v>1</v>
      </c>
      <c r="D717" s="20" t="n">
        <v>4</v>
      </c>
      <c r="E717" s="20" t="n">
        <v>115</v>
      </c>
      <c r="F717" s="23" t="n">
        <v>0</v>
      </c>
      <c r="G717" s="20" t="n">
        <v>0</v>
      </c>
      <c r="H717" s="20" t="n">
        <v>1</v>
      </c>
      <c r="I717" s="20" t="n">
        <v>92</v>
      </c>
      <c r="J717" s="20" t="n">
        <v>1</v>
      </c>
      <c r="K717" s="21" t="n">
        <v>0</v>
      </c>
      <c r="L717" s="20" t="n">
        <v>2</v>
      </c>
      <c r="M717" s="20"/>
      <c r="N717" s="20" t="n">
        <v>7</v>
      </c>
      <c r="O717" s="20" t="n">
        <v>1</v>
      </c>
      <c r="P717" s="22" t="s">
        <v>106</v>
      </c>
    </row>
    <row r="718" customFormat="false" ht="15" hidden="false" customHeight="false" outlineLevel="0" collapsed="false">
      <c r="A718" s="19" t="n">
        <v>717</v>
      </c>
      <c r="B718" s="20" t="n">
        <v>70</v>
      </c>
      <c r="C718" s="20" t="n">
        <v>1</v>
      </c>
      <c r="D718" s="20" t="n">
        <v>4</v>
      </c>
      <c r="E718" s="20" t="n">
        <v>140</v>
      </c>
      <c r="F718" s="23" t="n">
        <v>0</v>
      </c>
      <c r="G718" s="20" t="n">
        <v>1</v>
      </c>
      <c r="H718" s="20" t="n">
        <v>0</v>
      </c>
      <c r="I718" s="20" t="n">
        <v>157</v>
      </c>
      <c r="J718" s="20" t="n">
        <v>1</v>
      </c>
      <c r="K718" s="21" t="n">
        <v>2</v>
      </c>
      <c r="L718" s="20" t="n">
        <v>2</v>
      </c>
      <c r="M718" s="20"/>
      <c r="N718" s="20" t="n">
        <v>7</v>
      </c>
      <c r="O718" s="20" t="n">
        <v>3</v>
      </c>
      <c r="P718" s="22" t="s">
        <v>106</v>
      </c>
    </row>
    <row r="719" customFormat="false" ht="15" hidden="false" customHeight="false" outlineLevel="0" collapsed="false">
      <c r="A719" s="19" t="n">
        <v>718</v>
      </c>
      <c r="B719" s="20" t="n">
        <v>72</v>
      </c>
      <c r="C719" s="20" t="n">
        <v>1</v>
      </c>
      <c r="D719" s="20" t="n">
        <v>3</v>
      </c>
      <c r="E719" s="20" t="n">
        <v>160</v>
      </c>
      <c r="F719" s="23" t="n">
        <v>0</v>
      </c>
      <c r="G719" s="20"/>
      <c r="H719" s="20" t="n">
        <v>2</v>
      </c>
      <c r="I719" s="20" t="n">
        <v>114</v>
      </c>
      <c r="J719" s="20" t="n">
        <v>0</v>
      </c>
      <c r="K719" s="21" t="n">
        <v>1.6</v>
      </c>
      <c r="L719" s="20" t="n">
        <v>2</v>
      </c>
      <c r="M719" s="20" t="n">
        <v>2</v>
      </c>
      <c r="N719" s="20"/>
      <c r="O719" s="20" t="n">
        <v>0</v>
      </c>
      <c r="P719" s="22" t="s">
        <v>106</v>
      </c>
    </row>
    <row r="720" customFormat="false" ht="15" hidden="false" customHeight="false" outlineLevel="0" collapsed="false">
      <c r="A720" s="19" t="n">
        <v>719</v>
      </c>
      <c r="B720" s="20" t="n">
        <v>73</v>
      </c>
      <c r="C720" s="20" t="n">
        <v>0</v>
      </c>
      <c r="D720" s="20" t="n">
        <v>3</v>
      </c>
      <c r="E720" s="20" t="n">
        <v>160</v>
      </c>
      <c r="F720" s="23" t="n">
        <v>0</v>
      </c>
      <c r="G720" s="20" t="n">
        <v>0</v>
      </c>
      <c r="H720" s="20" t="n">
        <v>1</v>
      </c>
      <c r="I720" s="20" t="n">
        <v>121</v>
      </c>
      <c r="J720" s="20" t="n">
        <v>0</v>
      </c>
      <c r="K720" s="21" t="n">
        <v>0</v>
      </c>
      <c r="L720" s="20" t="n">
        <v>1</v>
      </c>
      <c r="M720" s="20"/>
      <c r="N720" s="20" t="n">
        <v>3</v>
      </c>
      <c r="O720" s="20" t="n">
        <v>1</v>
      </c>
      <c r="P720" s="22" t="s">
        <v>106</v>
      </c>
    </row>
    <row r="721" customFormat="false" ht="15" hidden="false" customHeight="false" outlineLevel="0" collapsed="false">
      <c r="A721" s="19" t="n">
        <v>720</v>
      </c>
      <c r="B721" s="20" t="n">
        <v>74</v>
      </c>
      <c r="C721" s="20" t="n">
        <v>1</v>
      </c>
      <c r="D721" s="20" t="n">
        <v>2</v>
      </c>
      <c r="E721" s="20" t="n">
        <v>145</v>
      </c>
      <c r="F721" s="23" t="n">
        <v>0</v>
      </c>
      <c r="G721" s="20"/>
      <c r="H721" s="20" t="n">
        <v>1</v>
      </c>
      <c r="I721" s="20" t="n">
        <v>123</v>
      </c>
      <c r="J721" s="20" t="n">
        <v>0</v>
      </c>
      <c r="K721" s="21" t="n">
        <v>1.3</v>
      </c>
      <c r="L721" s="20" t="n">
        <v>1</v>
      </c>
      <c r="M721" s="20"/>
      <c r="N721" s="20"/>
      <c r="O721" s="20" t="n">
        <v>1</v>
      </c>
      <c r="P721" s="22" t="s">
        <v>106</v>
      </c>
    </row>
    <row r="722" customFormat="false" ht="15" hidden="false" customHeight="false" outlineLevel="0" collapsed="false">
      <c r="A722" s="19" t="n">
        <v>721</v>
      </c>
      <c r="B722" s="20" t="n">
        <v>63</v>
      </c>
      <c r="C722" s="20" t="n">
        <v>1</v>
      </c>
      <c r="D722" s="20" t="n">
        <v>4</v>
      </c>
      <c r="E722" s="20" t="n">
        <v>140</v>
      </c>
      <c r="F722" s="20" t="n">
        <v>260</v>
      </c>
      <c r="G722" s="20" t="n">
        <v>0</v>
      </c>
      <c r="H722" s="20" t="n">
        <v>1</v>
      </c>
      <c r="I722" s="20" t="n">
        <v>112</v>
      </c>
      <c r="J722" s="20" t="n">
        <v>1</v>
      </c>
      <c r="K722" s="21" t="n">
        <v>3</v>
      </c>
      <c r="L722" s="20" t="n">
        <v>2</v>
      </c>
      <c r="M722" s="20"/>
      <c r="N722" s="20"/>
      <c r="O722" s="20" t="n">
        <v>2</v>
      </c>
      <c r="P722" s="22" t="s">
        <v>107</v>
      </c>
    </row>
    <row r="723" customFormat="false" ht="15" hidden="false" customHeight="false" outlineLevel="0" collapsed="false">
      <c r="A723" s="19" t="n">
        <v>722</v>
      </c>
      <c r="B723" s="20" t="n">
        <v>44</v>
      </c>
      <c r="C723" s="20" t="n">
        <v>1</v>
      </c>
      <c r="D723" s="20" t="n">
        <v>4</v>
      </c>
      <c r="E723" s="20" t="n">
        <v>130</v>
      </c>
      <c r="F723" s="20" t="n">
        <v>209</v>
      </c>
      <c r="G723" s="20" t="n">
        <v>0</v>
      </c>
      <c r="H723" s="20" t="n">
        <v>1</v>
      </c>
      <c r="I723" s="20" t="n">
        <v>127</v>
      </c>
      <c r="J723" s="20" t="n">
        <v>0</v>
      </c>
      <c r="K723" s="21" t="n">
        <v>0</v>
      </c>
      <c r="L723" s="20"/>
      <c r="M723" s="20"/>
      <c r="N723" s="20"/>
      <c r="O723" s="20" t="n">
        <v>0</v>
      </c>
      <c r="P723" s="22" t="s">
        <v>107</v>
      </c>
    </row>
    <row r="724" customFormat="false" ht="15" hidden="false" customHeight="false" outlineLevel="0" collapsed="false">
      <c r="A724" s="19" t="n">
        <v>723</v>
      </c>
      <c r="B724" s="20" t="n">
        <v>60</v>
      </c>
      <c r="C724" s="20" t="n">
        <v>1</v>
      </c>
      <c r="D724" s="20" t="n">
        <v>4</v>
      </c>
      <c r="E724" s="20" t="n">
        <v>132</v>
      </c>
      <c r="F724" s="20" t="n">
        <v>218</v>
      </c>
      <c r="G724" s="20" t="n">
        <v>0</v>
      </c>
      <c r="H724" s="20" t="n">
        <v>1</v>
      </c>
      <c r="I724" s="20" t="n">
        <v>140</v>
      </c>
      <c r="J724" s="20" t="n">
        <v>1</v>
      </c>
      <c r="K724" s="21" t="n">
        <v>1.5</v>
      </c>
      <c r="L724" s="20" t="n">
        <v>3</v>
      </c>
      <c r="M724" s="20"/>
      <c r="N724" s="20"/>
      <c r="O724" s="20" t="n">
        <v>2</v>
      </c>
      <c r="P724" s="22" t="s">
        <v>107</v>
      </c>
    </row>
    <row r="725" customFormat="false" ht="15" hidden="false" customHeight="false" outlineLevel="0" collapsed="false">
      <c r="A725" s="19" t="n">
        <v>724</v>
      </c>
      <c r="B725" s="20" t="n">
        <v>55</v>
      </c>
      <c r="C725" s="20" t="n">
        <v>1</v>
      </c>
      <c r="D725" s="20" t="n">
        <v>4</v>
      </c>
      <c r="E725" s="20" t="n">
        <v>142</v>
      </c>
      <c r="F725" s="20" t="n">
        <v>228</v>
      </c>
      <c r="G725" s="20" t="n">
        <v>0</v>
      </c>
      <c r="H725" s="20" t="n">
        <v>1</v>
      </c>
      <c r="I725" s="20" t="n">
        <v>149</v>
      </c>
      <c r="J725" s="20" t="n">
        <v>1</v>
      </c>
      <c r="K725" s="21" t="n">
        <v>2.5</v>
      </c>
      <c r="L725" s="20" t="n">
        <v>1</v>
      </c>
      <c r="M725" s="20"/>
      <c r="N725" s="20"/>
      <c r="O725" s="20" t="n">
        <v>1</v>
      </c>
      <c r="P725" s="22" t="s">
        <v>107</v>
      </c>
    </row>
    <row r="726" customFormat="false" ht="15" hidden="false" customHeight="false" outlineLevel="0" collapsed="false">
      <c r="A726" s="19" t="n">
        <v>725</v>
      </c>
      <c r="B726" s="20" t="n">
        <v>66</v>
      </c>
      <c r="C726" s="20" t="n">
        <v>1</v>
      </c>
      <c r="D726" s="20" t="n">
        <v>3</v>
      </c>
      <c r="E726" s="20" t="n">
        <v>110</v>
      </c>
      <c r="F726" s="20" t="n">
        <v>213</v>
      </c>
      <c r="G726" s="20" t="n">
        <v>1</v>
      </c>
      <c r="H726" s="20" t="n">
        <v>2</v>
      </c>
      <c r="I726" s="20" t="n">
        <v>99</v>
      </c>
      <c r="J726" s="20" t="n">
        <v>1</v>
      </c>
      <c r="K726" s="21" t="n">
        <v>1.3</v>
      </c>
      <c r="L726" s="20" t="n">
        <v>2</v>
      </c>
      <c r="M726" s="20"/>
      <c r="N726" s="20"/>
      <c r="O726" s="20" t="n">
        <v>0</v>
      </c>
      <c r="P726" s="22" t="s">
        <v>107</v>
      </c>
    </row>
    <row r="727" customFormat="false" ht="15" hidden="false" customHeight="false" outlineLevel="0" collapsed="false">
      <c r="A727" s="19" t="n">
        <v>726</v>
      </c>
      <c r="B727" s="20" t="n">
        <v>66</v>
      </c>
      <c r="C727" s="20" t="n">
        <v>1</v>
      </c>
      <c r="D727" s="20" t="n">
        <v>3</v>
      </c>
      <c r="E727" s="20" t="n">
        <v>120</v>
      </c>
      <c r="F727" s="23" t="n">
        <v>0</v>
      </c>
      <c r="G727" s="20" t="n">
        <v>0</v>
      </c>
      <c r="H727" s="20" t="n">
        <v>1</v>
      </c>
      <c r="I727" s="20" t="n">
        <v>120</v>
      </c>
      <c r="J727" s="20" t="n">
        <v>0</v>
      </c>
      <c r="K727" s="25" t="n">
        <v>-0.5</v>
      </c>
      <c r="L727" s="20" t="n">
        <v>1</v>
      </c>
      <c r="M727" s="20"/>
      <c r="N727" s="20"/>
      <c r="O727" s="20" t="n">
        <v>0</v>
      </c>
      <c r="P727" s="22" t="s">
        <v>107</v>
      </c>
    </row>
    <row r="728" customFormat="false" ht="15" hidden="false" customHeight="false" outlineLevel="0" collapsed="false">
      <c r="A728" s="19" t="n">
        <v>727</v>
      </c>
      <c r="B728" s="20" t="n">
        <v>65</v>
      </c>
      <c r="C728" s="20" t="n">
        <v>1</v>
      </c>
      <c r="D728" s="20" t="n">
        <v>4</v>
      </c>
      <c r="E728" s="20" t="n">
        <v>150</v>
      </c>
      <c r="F728" s="20" t="n">
        <v>236</v>
      </c>
      <c r="G728" s="20" t="n">
        <v>1</v>
      </c>
      <c r="H728" s="20" t="n">
        <v>1</v>
      </c>
      <c r="I728" s="20" t="n">
        <v>105</v>
      </c>
      <c r="J728" s="20" t="n">
        <v>1</v>
      </c>
      <c r="K728" s="21" t="n">
        <v>0</v>
      </c>
      <c r="L728" s="20"/>
      <c r="M728" s="20"/>
      <c r="N728" s="20"/>
      <c r="O728" s="20" t="n">
        <v>3</v>
      </c>
      <c r="P728" s="22" t="s">
        <v>107</v>
      </c>
    </row>
    <row r="729" customFormat="false" ht="15" hidden="false" customHeight="false" outlineLevel="0" collapsed="false">
      <c r="A729" s="19" t="n">
        <v>728</v>
      </c>
      <c r="B729" s="20" t="n">
        <v>60</v>
      </c>
      <c r="C729" s="20" t="n">
        <v>1</v>
      </c>
      <c r="D729" s="20" t="n">
        <v>3</v>
      </c>
      <c r="E729" s="20" t="n">
        <v>180</v>
      </c>
      <c r="F729" s="23" t="n">
        <v>0</v>
      </c>
      <c r="G729" s="20" t="n">
        <v>0</v>
      </c>
      <c r="H729" s="20" t="n">
        <v>1</v>
      </c>
      <c r="I729" s="20" t="n">
        <v>140</v>
      </c>
      <c r="J729" s="20" t="n">
        <v>1</v>
      </c>
      <c r="K729" s="21" t="n">
        <v>1.5</v>
      </c>
      <c r="L729" s="20" t="n">
        <v>2</v>
      </c>
      <c r="M729" s="20"/>
      <c r="N729" s="20"/>
      <c r="O729" s="20" t="n">
        <v>0</v>
      </c>
      <c r="P729" s="22" t="s">
        <v>107</v>
      </c>
    </row>
    <row r="730" customFormat="false" ht="15" hidden="false" customHeight="false" outlineLevel="0" collapsed="false">
      <c r="A730" s="19" t="n">
        <v>729</v>
      </c>
      <c r="B730" s="20" t="n">
        <v>60</v>
      </c>
      <c r="C730" s="20" t="n">
        <v>1</v>
      </c>
      <c r="D730" s="20" t="n">
        <v>3</v>
      </c>
      <c r="E730" s="20" t="n">
        <v>120</v>
      </c>
      <c r="F730" s="23" t="n">
        <v>0</v>
      </c>
      <c r="G730" s="20"/>
      <c r="H730" s="20" t="n">
        <v>0</v>
      </c>
      <c r="I730" s="20" t="n">
        <v>141</v>
      </c>
      <c r="J730" s="20" t="n">
        <v>1</v>
      </c>
      <c r="K730" s="21" t="n">
        <v>2</v>
      </c>
      <c r="L730" s="20" t="n">
        <v>1</v>
      </c>
      <c r="M730" s="20"/>
      <c r="N730" s="20"/>
      <c r="O730" s="20" t="n">
        <v>3</v>
      </c>
      <c r="P730" s="22" t="s">
        <v>107</v>
      </c>
    </row>
    <row r="731" customFormat="false" ht="15" hidden="false" customHeight="false" outlineLevel="0" collapsed="false">
      <c r="A731" s="19" t="n">
        <v>730</v>
      </c>
      <c r="B731" s="20" t="n">
        <v>60</v>
      </c>
      <c r="C731" s="20" t="n">
        <v>1</v>
      </c>
      <c r="D731" s="20" t="n">
        <v>2</v>
      </c>
      <c r="E731" s="20" t="n">
        <v>160</v>
      </c>
      <c r="F731" s="20" t="n">
        <v>267</v>
      </c>
      <c r="G731" s="20" t="n">
        <v>1</v>
      </c>
      <c r="H731" s="20" t="n">
        <v>1</v>
      </c>
      <c r="I731" s="20" t="n">
        <v>157</v>
      </c>
      <c r="J731" s="20" t="n">
        <v>0</v>
      </c>
      <c r="K731" s="21" t="n">
        <v>0.5</v>
      </c>
      <c r="L731" s="20" t="n">
        <v>2</v>
      </c>
      <c r="M731" s="20"/>
      <c r="N731" s="20"/>
      <c r="O731" s="20" t="n">
        <v>1</v>
      </c>
      <c r="P731" s="22" t="s">
        <v>107</v>
      </c>
    </row>
    <row r="732" customFormat="false" ht="15" hidden="false" customHeight="false" outlineLevel="0" collapsed="false">
      <c r="A732" s="19" t="n">
        <v>731</v>
      </c>
      <c r="B732" s="20" t="n">
        <v>56</v>
      </c>
      <c r="C732" s="20" t="n">
        <v>1</v>
      </c>
      <c r="D732" s="20" t="n">
        <v>2</v>
      </c>
      <c r="E732" s="20" t="n">
        <v>126</v>
      </c>
      <c r="F732" s="20" t="n">
        <v>166</v>
      </c>
      <c r="G732" s="20" t="n">
        <v>0</v>
      </c>
      <c r="H732" s="20" t="n">
        <v>1</v>
      </c>
      <c r="I732" s="20" t="n">
        <v>140</v>
      </c>
      <c r="J732" s="20" t="n">
        <v>0</v>
      </c>
      <c r="K732" s="21" t="n">
        <v>0</v>
      </c>
      <c r="L732" s="20"/>
      <c r="M732" s="20"/>
      <c r="N732" s="20"/>
      <c r="O732" s="20" t="n">
        <v>0</v>
      </c>
      <c r="P732" s="22" t="s">
        <v>107</v>
      </c>
    </row>
    <row r="733" customFormat="false" ht="15" hidden="false" customHeight="false" outlineLevel="0" collapsed="false">
      <c r="A733" s="19" t="n">
        <v>732</v>
      </c>
      <c r="B733" s="20" t="n">
        <v>59</v>
      </c>
      <c r="C733" s="20" t="n">
        <v>1</v>
      </c>
      <c r="D733" s="20" t="n">
        <v>4</v>
      </c>
      <c r="E733" s="20" t="n">
        <v>140</v>
      </c>
      <c r="F733" s="23" t="n">
        <v>0</v>
      </c>
      <c r="G733" s="20" t="n">
        <v>0</v>
      </c>
      <c r="H733" s="20" t="n">
        <v>1</v>
      </c>
      <c r="I733" s="20" t="n">
        <v>117</v>
      </c>
      <c r="J733" s="20" t="n">
        <v>1</v>
      </c>
      <c r="K733" s="21" t="n">
        <v>1</v>
      </c>
      <c r="L733" s="20" t="n">
        <v>2</v>
      </c>
      <c r="M733" s="20"/>
      <c r="N733" s="20"/>
      <c r="O733" s="20" t="n">
        <v>1</v>
      </c>
      <c r="P733" s="22" t="s">
        <v>107</v>
      </c>
    </row>
    <row r="734" customFormat="false" ht="15" hidden="false" customHeight="false" outlineLevel="0" collapsed="false">
      <c r="A734" s="19" t="n">
        <v>733</v>
      </c>
      <c r="B734" s="20" t="n">
        <v>62</v>
      </c>
      <c r="C734" s="20" t="n">
        <v>1</v>
      </c>
      <c r="D734" s="20" t="n">
        <v>4</v>
      </c>
      <c r="E734" s="20" t="n">
        <v>110</v>
      </c>
      <c r="F734" s="23" t="n">
        <v>0</v>
      </c>
      <c r="G734" s="20" t="n">
        <v>0</v>
      </c>
      <c r="H734" s="20" t="n">
        <v>0</v>
      </c>
      <c r="I734" s="20" t="n">
        <v>120</v>
      </c>
      <c r="J734" s="20" t="n">
        <v>1</v>
      </c>
      <c r="K734" s="21" t="n">
        <v>0.5</v>
      </c>
      <c r="L734" s="20" t="n">
        <v>2</v>
      </c>
      <c r="M734" s="20"/>
      <c r="N734" s="20" t="n">
        <v>3</v>
      </c>
      <c r="O734" s="20" t="n">
        <v>1</v>
      </c>
      <c r="P734" s="22" t="s">
        <v>107</v>
      </c>
    </row>
    <row r="735" customFormat="false" ht="15" hidden="false" customHeight="false" outlineLevel="0" collapsed="false">
      <c r="A735" s="19" t="n">
        <v>734</v>
      </c>
      <c r="B735" s="20" t="n">
        <v>63</v>
      </c>
      <c r="C735" s="20" t="n">
        <v>1</v>
      </c>
      <c r="D735" s="20" t="n">
        <v>3</v>
      </c>
      <c r="E735" s="20"/>
      <c r="F735" s="23" t="n">
        <v>0</v>
      </c>
      <c r="G735" s="20" t="n">
        <v>0</v>
      </c>
      <c r="H735" s="20" t="n">
        <v>2</v>
      </c>
      <c r="I735" s="20"/>
      <c r="J735" s="20"/>
      <c r="K735" s="21"/>
      <c r="L735" s="20"/>
      <c r="M735" s="20"/>
      <c r="N735" s="20"/>
      <c r="O735" s="20" t="n">
        <v>1</v>
      </c>
      <c r="P735" s="22" t="s">
        <v>107</v>
      </c>
    </row>
    <row r="736" customFormat="false" ht="15" hidden="false" customHeight="false" outlineLevel="0" collapsed="false">
      <c r="A736" s="19" t="n">
        <v>735</v>
      </c>
      <c r="B736" s="20" t="n">
        <v>57</v>
      </c>
      <c r="C736" s="20" t="n">
        <v>1</v>
      </c>
      <c r="D736" s="20" t="n">
        <v>4</v>
      </c>
      <c r="E736" s="20" t="n">
        <v>128</v>
      </c>
      <c r="F736" s="23" t="n">
        <v>0</v>
      </c>
      <c r="G736" s="20" t="n">
        <v>1</v>
      </c>
      <c r="H736" s="20" t="n">
        <v>1</v>
      </c>
      <c r="I736" s="20" t="n">
        <v>148</v>
      </c>
      <c r="J736" s="20" t="n">
        <v>1</v>
      </c>
      <c r="K736" s="21" t="n">
        <v>1</v>
      </c>
      <c r="L736" s="20" t="n">
        <v>2</v>
      </c>
      <c r="M736" s="20"/>
      <c r="N736" s="20"/>
      <c r="O736" s="20" t="n">
        <v>1</v>
      </c>
      <c r="P736" s="22" t="s">
        <v>107</v>
      </c>
    </row>
    <row r="737" customFormat="false" ht="15" hidden="false" customHeight="false" outlineLevel="0" collapsed="false">
      <c r="A737" s="19" t="n">
        <v>736</v>
      </c>
      <c r="B737" s="20" t="n">
        <v>62</v>
      </c>
      <c r="C737" s="20" t="n">
        <v>1</v>
      </c>
      <c r="D737" s="20" t="n">
        <v>4</v>
      </c>
      <c r="E737" s="20" t="n">
        <v>120</v>
      </c>
      <c r="F737" s="20" t="n">
        <v>220</v>
      </c>
      <c r="G737" s="20" t="n">
        <v>0</v>
      </c>
      <c r="H737" s="20" t="n">
        <v>1</v>
      </c>
      <c r="I737" s="20" t="n">
        <v>86</v>
      </c>
      <c r="J737" s="20" t="n">
        <v>0</v>
      </c>
      <c r="K737" s="21" t="n">
        <v>0</v>
      </c>
      <c r="L737" s="20"/>
      <c r="M737" s="20"/>
      <c r="N737" s="20"/>
      <c r="O737" s="20" t="n">
        <v>0</v>
      </c>
      <c r="P737" s="22" t="s">
        <v>107</v>
      </c>
    </row>
    <row r="738" customFormat="false" ht="15" hidden="false" customHeight="false" outlineLevel="0" collapsed="false">
      <c r="A738" s="19" t="n">
        <v>737</v>
      </c>
      <c r="B738" s="20" t="n">
        <v>63</v>
      </c>
      <c r="C738" s="20" t="n">
        <v>1</v>
      </c>
      <c r="D738" s="20" t="n">
        <v>4</v>
      </c>
      <c r="E738" s="20" t="n">
        <v>170</v>
      </c>
      <c r="F738" s="20" t="n">
        <v>177</v>
      </c>
      <c r="G738" s="20" t="n">
        <v>0</v>
      </c>
      <c r="H738" s="20" t="n">
        <v>0</v>
      </c>
      <c r="I738" s="20" t="n">
        <v>84</v>
      </c>
      <c r="J738" s="20" t="n">
        <v>1</v>
      </c>
      <c r="K738" s="21" t="n">
        <v>2.5</v>
      </c>
      <c r="L738" s="20" t="n">
        <v>3</v>
      </c>
      <c r="M738" s="20"/>
      <c r="N738" s="20"/>
      <c r="O738" s="20" t="n">
        <v>4</v>
      </c>
      <c r="P738" s="22" t="s">
        <v>107</v>
      </c>
    </row>
    <row r="739" customFormat="false" ht="15" hidden="false" customHeight="false" outlineLevel="0" collapsed="false">
      <c r="A739" s="19" t="n">
        <v>738</v>
      </c>
      <c r="B739" s="20" t="n">
        <v>46</v>
      </c>
      <c r="C739" s="20" t="n">
        <v>1</v>
      </c>
      <c r="D739" s="20" t="n">
        <v>4</v>
      </c>
      <c r="E739" s="20" t="n">
        <v>110</v>
      </c>
      <c r="F739" s="20" t="n">
        <v>236</v>
      </c>
      <c r="G739" s="20" t="n">
        <v>0</v>
      </c>
      <c r="H739" s="20" t="n">
        <v>0</v>
      </c>
      <c r="I739" s="20" t="n">
        <v>125</v>
      </c>
      <c r="J739" s="20" t="n">
        <v>1</v>
      </c>
      <c r="K739" s="21" t="n">
        <v>2</v>
      </c>
      <c r="L739" s="20" t="n">
        <v>2</v>
      </c>
      <c r="M739" s="20"/>
      <c r="N739" s="20"/>
      <c r="O739" s="20" t="n">
        <v>1</v>
      </c>
      <c r="P739" s="22" t="s">
        <v>107</v>
      </c>
    </row>
    <row r="740" customFormat="false" ht="15" hidden="false" customHeight="false" outlineLevel="0" collapsed="false">
      <c r="A740" s="19" t="n">
        <v>739</v>
      </c>
      <c r="B740" s="20" t="n">
        <v>63</v>
      </c>
      <c r="C740" s="20" t="n">
        <v>1</v>
      </c>
      <c r="D740" s="20" t="n">
        <v>4</v>
      </c>
      <c r="E740" s="20" t="n">
        <v>126</v>
      </c>
      <c r="F740" s="23" t="n">
        <v>0</v>
      </c>
      <c r="G740" s="20" t="n">
        <v>0</v>
      </c>
      <c r="H740" s="20" t="n">
        <v>1</v>
      </c>
      <c r="I740" s="20" t="n">
        <v>120</v>
      </c>
      <c r="J740" s="20" t="n">
        <v>0</v>
      </c>
      <c r="K740" s="21" t="n">
        <v>1.5</v>
      </c>
      <c r="L740" s="20" t="n">
        <v>3</v>
      </c>
      <c r="M740" s="20"/>
      <c r="N740" s="20"/>
      <c r="O740" s="20" t="n">
        <v>0</v>
      </c>
      <c r="P740" s="22" t="s">
        <v>107</v>
      </c>
    </row>
    <row r="741" customFormat="false" ht="15" hidden="false" customHeight="false" outlineLevel="0" collapsed="false">
      <c r="A741" s="19" t="n">
        <v>740</v>
      </c>
      <c r="B741" s="20" t="n">
        <v>60</v>
      </c>
      <c r="C741" s="20" t="n">
        <v>1</v>
      </c>
      <c r="D741" s="20" t="n">
        <v>4</v>
      </c>
      <c r="E741" s="20" t="n">
        <v>152</v>
      </c>
      <c r="F741" s="23" t="n">
        <v>0</v>
      </c>
      <c r="G741" s="20" t="n">
        <v>0</v>
      </c>
      <c r="H741" s="20" t="n">
        <v>1</v>
      </c>
      <c r="I741" s="20" t="n">
        <v>118</v>
      </c>
      <c r="J741" s="20" t="n">
        <v>1</v>
      </c>
      <c r="K741" s="21" t="n">
        <v>0</v>
      </c>
      <c r="L741" s="20"/>
      <c r="M741" s="20"/>
      <c r="N741" s="20" t="n">
        <v>7</v>
      </c>
      <c r="O741" s="20" t="n">
        <v>0</v>
      </c>
      <c r="P741" s="22" t="s">
        <v>107</v>
      </c>
    </row>
    <row r="742" customFormat="false" ht="15" hidden="false" customHeight="false" outlineLevel="0" collapsed="false">
      <c r="A742" s="19" t="n">
        <v>741</v>
      </c>
      <c r="B742" s="20" t="n">
        <v>58</v>
      </c>
      <c r="C742" s="20" t="n">
        <v>1</v>
      </c>
      <c r="D742" s="20" t="n">
        <v>4</v>
      </c>
      <c r="E742" s="20" t="n">
        <v>116</v>
      </c>
      <c r="F742" s="23" t="n">
        <v>0</v>
      </c>
      <c r="G742" s="20" t="n">
        <v>0</v>
      </c>
      <c r="H742" s="20" t="n">
        <v>0</v>
      </c>
      <c r="I742" s="20" t="n">
        <v>124</v>
      </c>
      <c r="J742" s="20" t="n">
        <v>0</v>
      </c>
      <c r="K742" s="21" t="n">
        <v>1</v>
      </c>
      <c r="L742" s="20" t="n">
        <v>1</v>
      </c>
      <c r="M742" s="20"/>
      <c r="N742" s="20"/>
      <c r="O742" s="20" t="n">
        <v>2</v>
      </c>
      <c r="P742" s="22" t="s">
        <v>107</v>
      </c>
    </row>
    <row r="743" customFormat="false" ht="15" hidden="false" customHeight="false" outlineLevel="0" collapsed="false">
      <c r="A743" s="19" t="n">
        <v>742</v>
      </c>
      <c r="B743" s="20" t="n">
        <v>64</v>
      </c>
      <c r="C743" s="20" t="n">
        <v>1</v>
      </c>
      <c r="D743" s="20" t="n">
        <v>4</v>
      </c>
      <c r="E743" s="20" t="n">
        <v>120</v>
      </c>
      <c r="F743" s="23" t="n">
        <v>0</v>
      </c>
      <c r="G743" s="20" t="n">
        <v>1</v>
      </c>
      <c r="H743" s="20" t="n">
        <v>1</v>
      </c>
      <c r="I743" s="20" t="n">
        <v>106</v>
      </c>
      <c r="J743" s="20" t="n">
        <v>0</v>
      </c>
      <c r="K743" s="21" t="n">
        <v>2</v>
      </c>
      <c r="L743" s="20" t="n">
        <v>2</v>
      </c>
      <c r="M743" s="20"/>
      <c r="N743" s="20"/>
      <c r="O743" s="20" t="n">
        <v>1</v>
      </c>
      <c r="P743" s="22" t="s">
        <v>107</v>
      </c>
    </row>
    <row r="744" customFormat="false" ht="15" hidden="false" customHeight="false" outlineLevel="0" collapsed="false">
      <c r="A744" s="19" t="n">
        <v>743</v>
      </c>
      <c r="B744" s="20" t="n">
        <v>63</v>
      </c>
      <c r="C744" s="20" t="n">
        <v>1</v>
      </c>
      <c r="D744" s="20" t="n">
        <v>3</v>
      </c>
      <c r="E744" s="20" t="n">
        <v>130</v>
      </c>
      <c r="F744" s="23" t="n">
        <v>0</v>
      </c>
      <c r="G744" s="20" t="n">
        <v>0</v>
      </c>
      <c r="H744" s="20" t="n">
        <v>1</v>
      </c>
      <c r="I744" s="20" t="n">
        <v>111</v>
      </c>
      <c r="J744" s="20" t="n">
        <v>1</v>
      </c>
      <c r="K744" s="21" t="n">
        <v>0</v>
      </c>
      <c r="L744" s="20"/>
      <c r="M744" s="20"/>
      <c r="N744" s="20"/>
      <c r="O744" s="20" t="n">
        <v>3</v>
      </c>
      <c r="P744" s="22" t="s">
        <v>107</v>
      </c>
    </row>
    <row r="745" customFormat="false" ht="15" hidden="false" customHeight="false" outlineLevel="0" collapsed="false">
      <c r="A745" s="19" t="n">
        <v>744</v>
      </c>
      <c r="B745" s="20" t="n">
        <v>74</v>
      </c>
      <c r="C745" s="20" t="n">
        <v>1</v>
      </c>
      <c r="D745" s="20" t="n">
        <v>3</v>
      </c>
      <c r="E745" s="20"/>
      <c r="F745" s="23" t="n">
        <v>0</v>
      </c>
      <c r="G745" s="20" t="n">
        <v>0</v>
      </c>
      <c r="H745" s="20" t="n">
        <v>0</v>
      </c>
      <c r="I745" s="20"/>
      <c r="J745" s="20"/>
      <c r="K745" s="21"/>
      <c r="L745" s="20"/>
      <c r="M745" s="20"/>
      <c r="N745" s="20"/>
      <c r="O745" s="20" t="n">
        <v>0</v>
      </c>
      <c r="P745" s="22" t="s">
        <v>107</v>
      </c>
    </row>
    <row r="746" customFormat="false" ht="15" hidden="false" customHeight="false" outlineLevel="0" collapsed="false">
      <c r="A746" s="19" t="n">
        <v>745</v>
      </c>
      <c r="B746" s="20" t="n">
        <v>52</v>
      </c>
      <c r="C746" s="20" t="n">
        <v>1</v>
      </c>
      <c r="D746" s="20" t="n">
        <v>3</v>
      </c>
      <c r="E746" s="20" t="n">
        <v>128</v>
      </c>
      <c r="F746" s="23" t="n">
        <v>0</v>
      </c>
      <c r="G746" s="20" t="n">
        <v>0</v>
      </c>
      <c r="H746" s="20" t="n">
        <v>1</v>
      </c>
      <c r="I746" s="20" t="n">
        <v>180</v>
      </c>
      <c r="J746" s="20" t="n">
        <v>0</v>
      </c>
      <c r="K746" s="21" t="n">
        <v>3</v>
      </c>
      <c r="L746" s="20" t="n">
        <v>1</v>
      </c>
      <c r="M746" s="20"/>
      <c r="N746" s="20"/>
      <c r="O746" s="20" t="n">
        <v>2</v>
      </c>
      <c r="P746" s="22" t="s">
        <v>107</v>
      </c>
    </row>
    <row r="747" customFormat="false" ht="15" hidden="false" customHeight="false" outlineLevel="0" collapsed="false">
      <c r="A747" s="19" t="n">
        <v>746</v>
      </c>
      <c r="B747" s="20" t="n">
        <v>69</v>
      </c>
      <c r="C747" s="20" t="n">
        <v>1</v>
      </c>
      <c r="D747" s="20" t="n">
        <v>4</v>
      </c>
      <c r="E747" s="20" t="n">
        <v>130</v>
      </c>
      <c r="F747" s="23" t="n">
        <v>0</v>
      </c>
      <c r="G747" s="20" t="n">
        <v>1</v>
      </c>
      <c r="H747" s="20" t="n">
        <v>1</v>
      </c>
      <c r="I747" s="20" t="n">
        <v>129</v>
      </c>
      <c r="J747" s="20" t="n">
        <v>0</v>
      </c>
      <c r="K747" s="21" t="n">
        <v>1</v>
      </c>
      <c r="L747" s="20" t="n">
        <v>2</v>
      </c>
      <c r="M747" s="20"/>
      <c r="N747" s="20" t="n">
        <v>6</v>
      </c>
      <c r="O747" s="20" t="n">
        <v>2</v>
      </c>
      <c r="P747" s="22" t="s">
        <v>107</v>
      </c>
    </row>
    <row r="748" customFormat="false" ht="15" hidden="false" customHeight="false" outlineLevel="0" collapsed="false">
      <c r="A748" s="19" t="n">
        <v>747</v>
      </c>
      <c r="B748" s="20" t="n">
        <v>51</v>
      </c>
      <c r="C748" s="20" t="n">
        <v>1</v>
      </c>
      <c r="D748" s="20" t="n">
        <v>4</v>
      </c>
      <c r="E748" s="20"/>
      <c r="F748" s="23" t="n">
        <v>0</v>
      </c>
      <c r="G748" s="20" t="n">
        <v>1</v>
      </c>
      <c r="H748" s="20" t="n">
        <v>1</v>
      </c>
      <c r="I748" s="20"/>
      <c r="J748" s="20"/>
      <c r="K748" s="21"/>
      <c r="L748" s="20"/>
      <c r="M748" s="20"/>
      <c r="N748" s="20"/>
      <c r="O748" s="20" t="n">
        <v>2</v>
      </c>
      <c r="P748" s="22" t="s">
        <v>107</v>
      </c>
    </row>
    <row r="749" customFormat="false" ht="15" hidden="false" customHeight="false" outlineLevel="0" collapsed="false">
      <c r="A749" s="19" t="n">
        <v>748</v>
      </c>
      <c r="B749" s="20" t="n">
        <v>60</v>
      </c>
      <c r="C749" s="20" t="n">
        <v>1</v>
      </c>
      <c r="D749" s="20" t="n">
        <v>4</v>
      </c>
      <c r="E749" s="20" t="n">
        <v>130</v>
      </c>
      <c r="F749" s="20" t="n">
        <v>186</v>
      </c>
      <c r="G749" s="20" t="n">
        <v>1</v>
      </c>
      <c r="H749" s="20" t="n">
        <v>1</v>
      </c>
      <c r="I749" s="20" t="n">
        <v>140</v>
      </c>
      <c r="J749" s="20" t="n">
        <v>1</v>
      </c>
      <c r="K749" s="21" t="n">
        <v>0.5</v>
      </c>
      <c r="L749" s="20" t="n">
        <v>2</v>
      </c>
      <c r="M749" s="20"/>
      <c r="N749" s="20"/>
      <c r="O749" s="20" t="n">
        <v>1</v>
      </c>
      <c r="P749" s="22" t="s">
        <v>107</v>
      </c>
    </row>
    <row r="750" customFormat="false" ht="15" hidden="false" customHeight="false" outlineLevel="0" collapsed="false">
      <c r="A750" s="19" t="n">
        <v>749</v>
      </c>
      <c r="B750" s="20" t="n">
        <v>56</v>
      </c>
      <c r="C750" s="20" t="n">
        <v>1</v>
      </c>
      <c r="D750" s="20" t="n">
        <v>4</v>
      </c>
      <c r="E750" s="20" t="n">
        <v>120</v>
      </c>
      <c r="F750" s="20" t="n">
        <v>100</v>
      </c>
      <c r="G750" s="20" t="n">
        <v>0</v>
      </c>
      <c r="H750" s="20" t="n">
        <v>0</v>
      </c>
      <c r="I750" s="20" t="n">
        <v>120</v>
      </c>
      <c r="J750" s="20" t="n">
        <v>1</v>
      </c>
      <c r="K750" s="21" t="n">
        <v>1.5</v>
      </c>
      <c r="L750" s="20" t="n">
        <v>2</v>
      </c>
      <c r="M750" s="20" t="n">
        <v>0</v>
      </c>
      <c r="N750" s="20" t="n">
        <v>7</v>
      </c>
      <c r="O750" s="20" t="n">
        <v>1</v>
      </c>
      <c r="P750" s="22" t="s">
        <v>107</v>
      </c>
    </row>
    <row r="751" customFormat="false" ht="15" hidden="false" customHeight="false" outlineLevel="0" collapsed="false">
      <c r="A751" s="19" t="n">
        <v>750</v>
      </c>
      <c r="B751" s="20" t="n">
        <v>55</v>
      </c>
      <c r="C751" s="20" t="n">
        <v>1</v>
      </c>
      <c r="D751" s="20" t="n">
        <v>3</v>
      </c>
      <c r="E751" s="20"/>
      <c r="F751" s="20" t="n">
        <v>228</v>
      </c>
      <c r="G751" s="20" t="n">
        <v>0</v>
      </c>
      <c r="H751" s="20" t="n">
        <v>1</v>
      </c>
      <c r="I751" s="20"/>
      <c r="J751" s="20"/>
      <c r="K751" s="21"/>
      <c r="L751" s="20"/>
      <c r="M751" s="20"/>
      <c r="N751" s="20"/>
      <c r="O751" s="20" t="n">
        <v>3</v>
      </c>
      <c r="P751" s="22" t="s">
        <v>107</v>
      </c>
    </row>
    <row r="752" customFormat="false" ht="15" hidden="false" customHeight="false" outlineLevel="0" collapsed="false">
      <c r="A752" s="19" t="n">
        <v>751</v>
      </c>
      <c r="B752" s="20" t="n">
        <v>54</v>
      </c>
      <c r="C752" s="20" t="n">
        <v>1</v>
      </c>
      <c r="D752" s="20" t="n">
        <v>4</v>
      </c>
      <c r="E752" s="20"/>
      <c r="F752" s="23" t="n">
        <v>0</v>
      </c>
      <c r="G752" s="20" t="n">
        <v>0</v>
      </c>
      <c r="H752" s="20" t="n">
        <v>1</v>
      </c>
      <c r="I752" s="20"/>
      <c r="J752" s="20"/>
      <c r="K752" s="21"/>
      <c r="L752" s="20"/>
      <c r="M752" s="20"/>
      <c r="N752" s="20"/>
      <c r="O752" s="20" t="n">
        <v>3</v>
      </c>
      <c r="P752" s="22" t="s">
        <v>107</v>
      </c>
    </row>
    <row r="753" customFormat="false" ht="15" hidden="false" customHeight="false" outlineLevel="0" collapsed="false">
      <c r="A753" s="19" t="n">
        <v>752</v>
      </c>
      <c r="B753" s="20" t="n">
        <v>77</v>
      </c>
      <c r="C753" s="20" t="n">
        <v>1</v>
      </c>
      <c r="D753" s="20" t="n">
        <v>4</v>
      </c>
      <c r="E753" s="20" t="n">
        <v>124</v>
      </c>
      <c r="F753" s="20" t="n">
        <v>171</v>
      </c>
      <c r="G753" s="20" t="n">
        <v>0</v>
      </c>
      <c r="H753" s="20" t="n">
        <v>1</v>
      </c>
      <c r="I753" s="20" t="n">
        <v>110</v>
      </c>
      <c r="J753" s="20" t="n">
        <v>1</v>
      </c>
      <c r="K753" s="21" t="n">
        <v>2</v>
      </c>
      <c r="L753" s="20" t="n">
        <v>1</v>
      </c>
      <c r="M753" s="20"/>
      <c r="N753" s="20"/>
      <c r="O753" s="20" t="n">
        <v>3</v>
      </c>
      <c r="P753" s="22" t="s">
        <v>107</v>
      </c>
    </row>
    <row r="754" customFormat="false" ht="15" hidden="false" customHeight="false" outlineLevel="0" collapsed="false">
      <c r="A754" s="19" t="n">
        <v>753</v>
      </c>
      <c r="B754" s="20" t="n">
        <v>63</v>
      </c>
      <c r="C754" s="20" t="n">
        <v>1</v>
      </c>
      <c r="D754" s="20" t="n">
        <v>4</v>
      </c>
      <c r="E754" s="20" t="n">
        <v>160</v>
      </c>
      <c r="F754" s="20" t="n">
        <v>230</v>
      </c>
      <c r="G754" s="20" t="n">
        <v>1</v>
      </c>
      <c r="H754" s="20" t="n">
        <v>0</v>
      </c>
      <c r="I754" s="20" t="n">
        <v>105</v>
      </c>
      <c r="J754" s="20" t="n">
        <v>1</v>
      </c>
      <c r="K754" s="21" t="n">
        <v>1</v>
      </c>
      <c r="L754" s="20" t="n">
        <v>2</v>
      </c>
      <c r="M754" s="20"/>
      <c r="N754" s="20"/>
      <c r="O754" s="20" t="n">
        <v>3</v>
      </c>
      <c r="P754" s="22" t="s">
        <v>107</v>
      </c>
    </row>
    <row r="755" customFormat="false" ht="15" hidden="false" customHeight="false" outlineLevel="0" collapsed="false">
      <c r="A755" s="19" t="n">
        <v>754</v>
      </c>
      <c r="B755" s="20" t="n">
        <v>55</v>
      </c>
      <c r="C755" s="20" t="n">
        <v>1</v>
      </c>
      <c r="D755" s="20" t="n">
        <v>3</v>
      </c>
      <c r="E755" s="23" t="n">
        <v>0</v>
      </c>
      <c r="F755" s="23" t="n">
        <v>0</v>
      </c>
      <c r="G755" s="20" t="n">
        <v>0</v>
      </c>
      <c r="H755" s="20" t="n">
        <v>0</v>
      </c>
      <c r="I755" s="20" t="n">
        <v>155</v>
      </c>
      <c r="J755" s="20" t="n">
        <v>0</v>
      </c>
      <c r="K755" s="21" t="n">
        <v>1.5</v>
      </c>
      <c r="L755" s="20" t="n">
        <v>2</v>
      </c>
      <c r="M755" s="20"/>
      <c r="N755" s="20"/>
      <c r="O755" s="20" t="n">
        <v>3</v>
      </c>
      <c r="P755" s="22" t="s">
        <v>107</v>
      </c>
    </row>
    <row r="756" customFormat="false" ht="15" hidden="false" customHeight="false" outlineLevel="0" collapsed="false">
      <c r="A756" s="19" t="n">
        <v>755</v>
      </c>
      <c r="B756" s="20" t="n">
        <v>52</v>
      </c>
      <c r="C756" s="20" t="n">
        <v>1</v>
      </c>
      <c r="D756" s="20" t="n">
        <v>3</v>
      </c>
      <c r="E756" s="20" t="n">
        <v>122</v>
      </c>
      <c r="F756" s="23" t="n">
        <v>0</v>
      </c>
      <c r="G756" s="20" t="n">
        <v>0</v>
      </c>
      <c r="H756" s="20" t="n">
        <v>0</v>
      </c>
      <c r="I756" s="20" t="n">
        <v>110</v>
      </c>
      <c r="J756" s="20" t="n">
        <v>1</v>
      </c>
      <c r="K756" s="21" t="n">
        <v>2</v>
      </c>
      <c r="L756" s="20" t="n">
        <v>3</v>
      </c>
      <c r="M756" s="20"/>
      <c r="N756" s="20"/>
      <c r="O756" s="20" t="n">
        <v>2</v>
      </c>
      <c r="P756" s="22" t="s">
        <v>107</v>
      </c>
    </row>
    <row r="757" customFormat="false" ht="15" hidden="false" customHeight="false" outlineLevel="0" collapsed="false">
      <c r="A757" s="19" t="n">
        <v>756</v>
      </c>
      <c r="B757" s="20" t="n">
        <v>64</v>
      </c>
      <c r="C757" s="20" t="n">
        <v>1</v>
      </c>
      <c r="D757" s="20" t="n">
        <v>4</v>
      </c>
      <c r="E757" s="20" t="n">
        <v>144</v>
      </c>
      <c r="F757" s="23" t="n">
        <v>0</v>
      </c>
      <c r="G757" s="20" t="n">
        <v>0</v>
      </c>
      <c r="H757" s="20" t="n">
        <v>1</v>
      </c>
      <c r="I757" s="20" t="n">
        <v>122</v>
      </c>
      <c r="J757" s="20" t="n">
        <v>1</v>
      </c>
      <c r="K757" s="21" t="n">
        <v>1</v>
      </c>
      <c r="L757" s="20" t="n">
        <v>2</v>
      </c>
      <c r="M757" s="20"/>
      <c r="N757" s="20"/>
      <c r="O757" s="20" t="n">
        <v>3</v>
      </c>
      <c r="P757" s="22" t="s">
        <v>107</v>
      </c>
    </row>
    <row r="758" customFormat="false" ht="15" hidden="false" customHeight="false" outlineLevel="0" collapsed="false">
      <c r="A758" s="19" t="n">
        <v>757</v>
      </c>
      <c r="B758" s="20" t="n">
        <v>60</v>
      </c>
      <c r="C758" s="20" t="n">
        <v>1</v>
      </c>
      <c r="D758" s="20" t="n">
        <v>4</v>
      </c>
      <c r="E758" s="20"/>
      <c r="F758" s="20" t="n">
        <v>281</v>
      </c>
      <c r="G758" s="20" t="n">
        <v>0</v>
      </c>
      <c r="H758" s="20" t="n">
        <v>1</v>
      </c>
      <c r="I758" s="20"/>
      <c r="J758" s="20"/>
      <c r="K758" s="21"/>
      <c r="L758" s="20"/>
      <c r="M758" s="20"/>
      <c r="N758" s="20"/>
      <c r="O758" s="20" t="n">
        <v>2</v>
      </c>
      <c r="P758" s="22" t="s">
        <v>107</v>
      </c>
    </row>
    <row r="759" customFormat="false" ht="15" hidden="false" customHeight="false" outlineLevel="0" collapsed="false">
      <c r="A759" s="19" t="n">
        <v>758</v>
      </c>
      <c r="B759" s="20" t="n">
        <v>60</v>
      </c>
      <c r="C759" s="20" t="n">
        <v>1</v>
      </c>
      <c r="D759" s="20" t="n">
        <v>4</v>
      </c>
      <c r="E759" s="20" t="n">
        <v>120</v>
      </c>
      <c r="F759" s="23" t="n">
        <v>0</v>
      </c>
      <c r="G759" s="20" t="n">
        <v>0</v>
      </c>
      <c r="H759" s="20" t="n">
        <v>0</v>
      </c>
      <c r="I759" s="20" t="n">
        <v>133</v>
      </c>
      <c r="J759" s="20" t="n">
        <v>1</v>
      </c>
      <c r="K759" s="21" t="n">
        <v>2</v>
      </c>
      <c r="L759" s="20" t="n">
        <v>1</v>
      </c>
      <c r="M759" s="20"/>
      <c r="N759" s="20" t="n">
        <v>7</v>
      </c>
      <c r="O759" s="20" t="n">
        <v>0</v>
      </c>
      <c r="P759" s="22" t="s">
        <v>107</v>
      </c>
    </row>
    <row r="760" customFormat="false" ht="15" hidden="false" customHeight="false" outlineLevel="0" collapsed="false">
      <c r="A760" s="19" t="n">
        <v>759</v>
      </c>
      <c r="B760" s="20" t="n">
        <v>58</v>
      </c>
      <c r="C760" s="20" t="n">
        <v>1</v>
      </c>
      <c r="D760" s="20" t="n">
        <v>4</v>
      </c>
      <c r="E760" s="20"/>
      <c r="F760" s="20" t="n">
        <v>203</v>
      </c>
      <c r="G760" s="20" t="n">
        <v>1</v>
      </c>
      <c r="H760" s="20" t="n">
        <v>0</v>
      </c>
      <c r="I760" s="20"/>
      <c r="J760" s="20"/>
      <c r="K760" s="21"/>
      <c r="L760" s="20"/>
      <c r="M760" s="20"/>
      <c r="N760" s="20"/>
      <c r="O760" s="20" t="n">
        <v>1</v>
      </c>
      <c r="P760" s="22" t="s">
        <v>107</v>
      </c>
    </row>
    <row r="761" customFormat="false" ht="15" hidden="false" customHeight="false" outlineLevel="0" collapsed="false">
      <c r="A761" s="19" t="n">
        <v>760</v>
      </c>
      <c r="B761" s="20" t="n">
        <v>59</v>
      </c>
      <c r="C761" s="20" t="n">
        <v>1</v>
      </c>
      <c r="D761" s="20" t="n">
        <v>4</v>
      </c>
      <c r="E761" s="20" t="n">
        <v>154</v>
      </c>
      <c r="F761" s="23" t="n">
        <v>0</v>
      </c>
      <c r="G761" s="20" t="n">
        <v>0</v>
      </c>
      <c r="H761" s="20" t="n">
        <v>1</v>
      </c>
      <c r="I761" s="20" t="n">
        <v>131</v>
      </c>
      <c r="J761" s="20" t="n">
        <v>1</v>
      </c>
      <c r="K761" s="21" t="n">
        <v>1.5</v>
      </c>
      <c r="L761" s="20"/>
      <c r="M761" s="20" t="n">
        <v>0</v>
      </c>
      <c r="N761" s="20"/>
      <c r="O761" s="20" t="n">
        <v>0</v>
      </c>
      <c r="P761" s="22" t="s">
        <v>107</v>
      </c>
    </row>
    <row r="762" customFormat="false" ht="15" hidden="false" customHeight="false" outlineLevel="0" collapsed="false">
      <c r="A762" s="19" t="n">
        <v>761</v>
      </c>
      <c r="B762" s="20" t="n">
        <v>61</v>
      </c>
      <c r="C762" s="20" t="n">
        <v>1</v>
      </c>
      <c r="D762" s="20" t="n">
        <v>3</v>
      </c>
      <c r="E762" s="20" t="n">
        <v>120</v>
      </c>
      <c r="F762" s="23" t="n">
        <v>0</v>
      </c>
      <c r="G762" s="20" t="n">
        <v>0</v>
      </c>
      <c r="H762" s="20" t="n">
        <v>0</v>
      </c>
      <c r="I762" s="20" t="n">
        <v>80</v>
      </c>
      <c r="J762" s="20" t="n">
        <v>1</v>
      </c>
      <c r="K762" s="21" t="n">
        <v>0</v>
      </c>
      <c r="L762" s="20" t="n">
        <v>2</v>
      </c>
      <c r="M762" s="20"/>
      <c r="N762" s="20"/>
      <c r="O762" s="20" t="n">
        <v>3</v>
      </c>
      <c r="P762" s="22" t="s">
        <v>107</v>
      </c>
    </row>
    <row r="763" customFormat="false" ht="15" hidden="false" customHeight="false" outlineLevel="0" collapsed="false">
      <c r="A763" s="19" t="n">
        <v>762</v>
      </c>
      <c r="B763" s="20" t="n">
        <v>40</v>
      </c>
      <c r="C763" s="20" t="n">
        <v>1</v>
      </c>
      <c r="D763" s="20" t="n">
        <v>4</v>
      </c>
      <c r="E763" s="20" t="n">
        <v>125</v>
      </c>
      <c r="F763" s="23" t="n">
        <v>0</v>
      </c>
      <c r="G763" s="20" t="n">
        <v>1</v>
      </c>
      <c r="H763" s="20" t="n">
        <v>0</v>
      </c>
      <c r="I763" s="20" t="n">
        <v>165</v>
      </c>
      <c r="J763" s="20" t="n">
        <v>0</v>
      </c>
      <c r="K763" s="21" t="n">
        <v>0</v>
      </c>
      <c r="L763" s="20"/>
      <c r="M763" s="20"/>
      <c r="N763" s="20" t="n">
        <v>7</v>
      </c>
      <c r="O763" s="20" t="n">
        <v>1</v>
      </c>
      <c r="P763" s="22" t="s">
        <v>107</v>
      </c>
    </row>
    <row r="764" customFormat="false" ht="15" hidden="false" customHeight="false" outlineLevel="0" collapsed="false">
      <c r="A764" s="19" t="n">
        <v>763</v>
      </c>
      <c r="B764" s="20" t="n">
        <v>61</v>
      </c>
      <c r="C764" s="20" t="n">
        <v>1</v>
      </c>
      <c r="D764" s="20" t="n">
        <v>4</v>
      </c>
      <c r="E764" s="20"/>
      <c r="F764" s="23" t="n">
        <v>0</v>
      </c>
      <c r="G764" s="20" t="n">
        <v>1</v>
      </c>
      <c r="H764" s="20" t="n">
        <v>1</v>
      </c>
      <c r="I764" s="20" t="n">
        <v>86</v>
      </c>
      <c r="J764" s="20" t="n">
        <v>0</v>
      </c>
      <c r="K764" s="21" t="n">
        <v>1.5</v>
      </c>
      <c r="L764" s="20" t="n">
        <v>2</v>
      </c>
      <c r="M764" s="20"/>
      <c r="N764" s="20" t="n">
        <v>7</v>
      </c>
      <c r="O764" s="20" t="n">
        <v>3</v>
      </c>
      <c r="P764" s="22" t="s">
        <v>107</v>
      </c>
    </row>
    <row r="765" customFormat="false" ht="15" hidden="false" customHeight="false" outlineLevel="0" collapsed="false">
      <c r="A765" s="19" t="n">
        <v>764</v>
      </c>
      <c r="B765" s="20" t="n">
        <v>41</v>
      </c>
      <c r="C765" s="20" t="n">
        <v>1</v>
      </c>
      <c r="D765" s="20" t="n">
        <v>4</v>
      </c>
      <c r="E765" s="20" t="n">
        <v>104</v>
      </c>
      <c r="F765" s="23" t="n">
        <v>0</v>
      </c>
      <c r="G765" s="20" t="n">
        <v>0</v>
      </c>
      <c r="H765" s="20" t="n">
        <v>1</v>
      </c>
      <c r="I765" s="20" t="n">
        <v>111</v>
      </c>
      <c r="J765" s="20" t="n">
        <v>0</v>
      </c>
      <c r="K765" s="21" t="n">
        <v>0</v>
      </c>
      <c r="L765" s="20"/>
      <c r="M765" s="20"/>
      <c r="N765" s="20"/>
      <c r="O765" s="20" t="n">
        <v>0</v>
      </c>
      <c r="P765" s="22" t="s">
        <v>107</v>
      </c>
    </row>
    <row r="766" customFormat="false" ht="15" hidden="false" customHeight="false" outlineLevel="0" collapsed="false">
      <c r="A766" s="19" t="n">
        <v>765</v>
      </c>
      <c r="B766" s="20" t="n">
        <v>57</v>
      </c>
      <c r="C766" s="20" t="n">
        <v>1</v>
      </c>
      <c r="D766" s="20" t="n">
        <v>4</v>
      </c>
      <c r="E766" s="20"/>
      <c r="F766" s="20" t="n">
        <v>277</v>
      </c>
      <c r="G766" s="20" t="n">
        <v>1</v>
      </c>
      <c r="H766" s="20" t="n">
        <v>1</v>
      </c>
      <c r="I766" s="20"/>
      <c r="J766" s="20"/>
      <c r="K766" s="21"/>
      <c r="L766" s="20"/>
      <c r="M766" s="20"/>
      <c r="N766" s="20"/>
      <c r="O766" s="20" t="n">
        <v>4</v>
      </c>
      <c r="P766" s="22" t="s">
        <v>107</v>
      </c>
    </row>
    <row r="767" customFormat="false" ht="15" hidden="false" customHeight="false" outlineLevel="0" collapsed="false">
      <c r="A767" s="19" t="n">
        <v>766</v>
      </c>
      <c r="B767" s="20" t="n">
        <v>63</v>
      </c>
      <c r="C767" s="20" t="n">
        <v>1</v>
      </c>
      <c r="D767" s="20" t="n">
        <v>4</v>
      </c>
      <c r="E767" s="20" t="n">
        <v>136</v>
      </c>
      <c r="F767" s="23" t="n">
        <v>0</v>
      </c>
      <c r="G767" s="20" t="n">
        <v>0</v>
      </c>
      <c r="H767" s="20" t="n">
        <v>0</v>
      </c>
      <c r="I767" s="20" t="n">
        <v>84</v>
      </c>
      <c r="J767" s="20" t="n">
        <v>1</v>
      </c>
      <c r="K767" s="21" t="n">
        <v>0</v>
      </c>
      <c r="L767" s="20"/>
      <c r="M767" s="20"/>
      <c r="N767" s="20" t="n">
        <v>7</v>
      </c>
      <c r="O767" s="20" t="n">
        <v>2</v>
      </c>
      <c r="P767" s="22" t="s">
        <v>107</v>
      </c>
    </row>
    <row r="768" customFormat="false" ht="15" hidden="false" customHeight="false" outlineLevel="0" collapsed="false">
      <c r="A768" s="19" t="n">
        <v>767</v>
      </c>
      <c r="B768" s="20" t="n">
        <v>59</v>
      </c>
      <c r="C768" s="20" t="n">
        <v>1</v>
      </c>
      <c r="D768" s="20" t="n">
        <v>4</v>
      </c>
      <c r="E768" s="20" t="n">
        <v>122</v>
      </c>
      <c r="F768" s="20" t="n">
        <v>233</v>
      </c>
      <c r="G768" s="20" t="n">
        <v>0</v>
      </c>
      <c r="H768" s="20" t="n">
        <v>0</v>
      </c>
      <c r="I768" s="20" t="n">
        <v>117</v>
      </c>
      <c r="J768" s="20" t="n">
        <v>1</v>
      </c>
      <c r="K768" s="21" t="n">
        <v>1.3</v>
      </c>
      <c r="L768" s="20" t="n">
        <v>3</v>
      </c>
      <c r="M768" s="20"/>
      <c r="N768" s="20"/>
      <c r="O768" s="20" t="n">
        <v>1</v>
      </c>
      <c r="P768" s="22" t="s">
        <v>107</v>
      </c>
    </row>
    <row r="769" customFormat="false" ht="15" hidden="false" customHeight="false" outlineLevel="0" collapsed="false">
      <c r="A769" s="19" t="n">
        <v>768</v>
      </c>
      <c r="B769" s="20" t="n">
        <v>51</v>
      </c>
      <c r="C769" s="20" t="n">
        <v>1</v>
      </c>
      <c r="D769" s="20" t="n">
        <v>4</v>
      </c>
      <c r="E769" s="20" t="n">
        <v>128</v>
      </c>
      <c r="F769" s="23" t="n">
        <v>0</v>
      </c>
      <c r="G769" s="20" t="n">
        <v>0</v>
      </c>
      <c r="H769" s="20" t="n">
        <v>0</v>
      </c>
      <c r="I769" s="20" t="n">
        <v>107</v>
      </c>
      <c r="J769" s="20" t="n">
        <v>0</v>
      </c>
      <c r="K769" s="21" t="n">
        <v>0</v>
      </c>
      <c r="L769" s="20"/>
      <c r="M769" s="20"/>
      <c r="N769" s="20"/>
      <c r="O769" s="20" t="n">
        <v>0</v>
      </c>
      <c r="P769" s="22" t="s">
        <v>107</v>
      </c>
    </row>
    <row r="770" customFormat="false" ht="15" hidden="false" customHeight="false" outlineLevel="0" collapsed="false">
      <c r="A770" s="19" t="n">
        <v>769</v>
      </c>
      <c r="B770" s="20" t="n">
        <v>59</v>
      </c>
      <c r="C770" s="20" t="n">
        <v>1</v>
      </c>
      <c r="D770" s="20" t="n">
        <v>3</v>
      </c>
      <c r="E770" s="20"/>
      <c r="F770" s="23" t="n">
        <v>0</v>
      </c>
      <c r="G770" s="20" t="n">
        <v>0</v>
      </c>
      <c r="H770" s="20" t="n">
        <v>0</v>
      </c>
      <c r="I770" s="20" t="n">
        <v>128</v>
      </c>
      <c r="J770" s="20" t="n">
        <v>1</v>
      </c>
      <c r="K770" s="21" t="n">
        <v>2</v>
      </c>
      <c r="L770" s="20" t="n">
        <v>3</v>
      </c>
      <c r="M770" s="20"/>
      <c r="N770" s="20"/>
      <c r="O770" s="20" t="n">
        <v>2</v>
      </c>
      <c r="P770" s="22" t="s">
        <v>107</v>
      </c>
    </row>
    <row r="771" customFormat="false" ht="15" hidden="false" customHeight="false" outlineLevel="0" collapsed="false">
      <c r="A771" s="19" t="n">
        <v>770</v>
      </c>
      <c r="B771" s="20" t="n">
        <v>42</v>
      </c>
      <c r="C771" s="20" t="n">
        <v>1</v>
      </c>
      <c r="D771" s="20" t="n">
        <v>3</v>
      </c>
      <c r="E771" s="20" t="n">
        <v>134</v>
      </c>
      <c r="F771" s="20" t="n">
        <v>240</v>
      </c>
      <c r="G771" s="20"/>
      <c r="H771" s="20" t="n">
        <v>0</v>
      </c>
      <c r="I771" s="20" t="n">
        <v>160</v>
      </c>
      <c r="J771" s="20" t="n">
        <v>0</v>
      </c>
      <c r="K771" s="21" t="n">
        <v>0</v>
      </c>
      <c r="L771" s="20"/>
      <c r="M771" s="20"/>
      <c r="N771" s="20"/>
      <c r="O771" s="20" t="n">
        <v>0</v>
      </c>
      <c r="P771" s="22" t="s">
        <v>107</v>
      </c>
    </row>
    <row r="772" customFormat="false" ht="15" hidden="false" customHeight="false" outlineLevel="0" collapsed="false">
      <c r="A772" s="19" t="n">
        <v>771</v>
      </c>
      <c r="B772" s="20" t="n">
        <v>55</v>
      </c>
      <c r="C772" s="20" t="n">
        <v>1</v>
      </c>
      <c r="D772" s="20" t="n">
        <v>3</v>
      </c>
      <c r="E772" s="20" t="n">
        <v>120</v>
      </c>
      <c r="F772" s="23" t="n">
        <v>0</v>
      </c>
      <c r="G772" s="20" t="n">
        <v>0</v>
      </c>
      <c r="H772" s="20" t="n">
        <v>1</v>
      </c>
      <c r="I772" s="20" t="n">
        <v>125</v>
      </c>
      <c r="J772" s="20" t="n">
        <v>1</v>
      </c>
      <c r="K772" s="21" t="n">
        <v>2.5</v>
      </c>
      <c r="L772" s="20" t="n">
        <v>2</v>
      </c>
      <c r="M772" s="20"/>
      <c r="N772" s="20" t="n">
        <v>7</v>
      </c>
      <c r="O772" s="20" t="n">
        <v>1</v>
      </c>
      <c r="P772" s="22" t="s">
        <v>107</v>
      </c>
    </row>
    <row r="773" customFormat="false" ht="15" hidden="false" customHeight="false" outlineLevel="0" collapsed="false">
      <c r="A773" s="19" t="n">
        <v>772</v>
      </c>
      <c r="B773" s="20" t="n">
        <v>63</v>
      </c>
      <c r="C773" s="20" t="n">
        <v>0</v>
      </c>
      <c r="D773" s="20" t="n">
        <v>2</v>
      </c>
      <c r="E773" s="20"/>
      <c r="F773" s="23" t="n">
        <v>0</v>
      </c>
      <c r="G773" s="20" t="n">
        <v>0</v>
      </c>
      <c r="H773" s="20" t="n">
        <v>0</v>
      </c>
      <c r="I773" s="20"/>
      <c r="J773" s="20"/>
      <c r="K773" s="21"/>
      <c r="L773" s="20"/>
      <c r="M773" s="20"/>
      <c r="N773" s="20"/>
      <c r="O773" s="20" t="n">
        <v>0</v>
      </c>
      <c r="P773" s="22" t="s">
        <v>107</v>
      </c>
    </row>
    <row r="774" customFormat="false" ht="15" hidden="false" customHeight="false" outlineLevel="0" collapsed="false">
      <c r="A774" s="19" t="n">
        <v>773</v>
      </c>
      <c r="B774" s="20" t="n">
        <v>62</v>
      </c>
      <c r="C774" s="20" t="n">
        <v>1</v>
      </c>
      <c r="D774" s="20" t="n">
        <v>4</v>
      </c>
      <c r="E774" s="20" t="n">
        <v>152</v>
      </c>
      <c r="F774" s="20" t="n">
        <v>153</v>
      </c>
      <c r="G774" s="20" t="n">
        <v>0</v>
      </c>
      <c r="H774" s="20" t="n">
        <v>1</v>
      </c>
      <c r="I774" s="20" t="n">
        <v>97</v>
      </c>
      <c r="J774" s="20" t="n">
        <v>1</v>
      </c>
      <c r="K774" s="21" t="n">
        <v>1.6</v>
      </c>
      <c r="L774" s="20" t="n">
        <v>1</v>
      </c>
      <c r="M774" s="20"/>
      <c r="N774" s="20" t="n">
        <v>7</v>
      </c>
      <c r="O774" s="20" t="n">
        <v>2</v>
      </c>
      <c r="P774" s="22" t="s">
        <v>107</v>
      </c>
    </row>
    <row r="775" customFormat="false" ht="15" hidden="false" customHeight="false" outlineLevel="0" collapsed="false">
      <c r="A775" s="19" t="n">
        <v>774</v>
      </c>
      <c r="B775" s="20" t="n">
        <v>56</v>
      </c>
      <c r="C775" s="20" t="n">
        <v>1</v>
      </c>
      <c r="D775" s="20" t="n">
        <v>2</v>
      </c>
      <c r="E775" s="20" t="n">
        <v>124</v>
      </c>
      <c r="F775" s="20" t="n">
        <v>224</v>
      </c>
      <c r="G775" s="20" t="n">
        <v>1</v>
      </c>
      <c r="H775" s="20" t="n">
        <v>0</v>
      </c>
      <c r="I775" s="20" t="n">
        <v>161</v>
      </c>
      <c r="J775" s="20" t="n">
        <v>0</v>
      </c>
      <c r="K775" s="21" t="n">
        <v>2</v>
      </c>
      <c r="L775" s="20" t="n">
        <v>2</v>
      </c>
      <c r="M775" s="20"/>
      <c r="N775" s="20"/>
      <c r="O775" s="20" t="n">
        <v>0</v>
      </c>
      <c r="P775" s="22" t="s">
        <v>107</v>
      </c>
    </row>
    <row r="776" customFormat="false" ht="15" hidden="false" customHeight="false" outlineLevel="0" collapsed="false">
      <c r="A776" s="19" t="n">
        <v>775</v>
      </c>
      <c r="B776" s="20" t="n">
        <v>53</v>
      </c>
      <c r="C776" s="20" t="n">
        <v>1</v>
      </c>
      <c r="D776" s="20" t="n">
        <v>4</v>
      </c>
      <c r="E776" s="20" t="n">
        <v>126</v>
      </c>
      <c r="F776" s="23" t="n">
        <v>0</v>
      </c>
      <c r="G776" s="20" t="n">
        <v>0</v>
      </c>
      <c r="H776" s="20" t="n">
        <v>0</v>
      </c>
      <c r="I776" s="20" t="n">
        <v>106</v>
      </c>
      <c r="J776" s="20" t="n">
        <v>0</v>
      </c>
      <c r="K776" s="21" t="n">
        <v>0</v>
      </c>
      <c r="L776" s="20"/>
      <c r="M776" s="20"/>
      <c r="N776" s="20"/>
      <c r="O776" s="20" t="n">
        <v>1</v>
      </c>
      <c r="P776" s="22" t="s">
        <v>107</v>
      </c>
    </row>
    <row r="777" customFormat="false" ht="15" hidden="false" customHeight="false" outlineLevel="0" collapsed="false">
      <c r="A777" s="19" t="n">
        <v>776</v>
      </c>
      <c r="B777" s="20" t="n">
        <v>68</v>
      </c>
      <c r="C777" s="20" t="n">
        <v>1</v>
      </c>
      <c r="D777" s="20" t="n">
        <v>4</v>
      </c>
      <c r="E777" s="20" t="n">
        <v>138</v>
      </c>
      <c r="F777" s="23" t="n">
        <v>0</v>
      </c>
      <c r="G777" s="20" t="n">
        <v>0</v>
      </c>
      <c r="H777" s="20" t="n">
        <v>0</v>
      </c>
      <c r="I777" s="20" t="n">
        <v>130</v>
      </c>
      <c r="J777" s="20" t="n">
        <v>1</v>
      </c>
      <c r="K777" s="21" t="n">
        <v>3</v>
      </c>
      <c r="L777" s="20" t="n">
        <v>2</v>
      </c>
      <c r="M777" s="20"/>
      <c r="N777" s="20"/>
      <c r="O777" s="20" t="n">
        <v>2</v>
      </c>
      <c r="P777" s="22" t="s">
        <v>107</v>
      </c>
    </row>
    <row r="778" customFormat="false" ht="15" hidden="false" customHeight="false" outlineLevel="0" collapsed="false">
      <c r="A778" s="19" t="n">
        <v>777</v>
      </c>
      <c r="B778" s="20" t="n">
        <v>53</v>
      </c>
      <c r="C778" s="20" t="n">
        <v>1</v>
      </c>
      <c r="D778" s="20" t="n">
        <v>4</v>
      </c>
      <c r="E778" s="20" t="n">
        <v>154</v>
      </c>
      <c r="F778" s="23" t="n">
        <v>0</v>
      </c>
      <c r="G778" s="20"/>
      <c r="H778" s="20" t="n">
        <v>1</v>
      </c>
      <c r="I778" s="20" t="n">
        <v>140</v>
      </c>
      <c r="J778" s="20" t="n">
        <v>1</v>
      </c>
      <c r="K778" s="21" t="n">
        <v>1.5</v>
      </c>
      <c r="L778" s="20" t="n">
        <v>2</v>
      </c>
      <c r="M778" s="20"/>
      <c r="N778" s="20"/>
      <c r="O778" s="20" t="n">
        <v>2</v>
      </c>
      <c r="P778" s="22" t="s">
        <v>107</v>
      </c>
    </row>
    <row r="779" customFormat="false" ht="15" hidden="false" customHeight="false" outlineLevel="0" collapsed="false">
      <c r="A779" s="19" t="n">
        <v>778</v>
      </c>
      <c r="B779" s="20" t="n">
        <v>60</v>
      </c>
      <c r="C779" s="20" t="n">
        <v>1</v>
      </c>
      <c r="D779" s="20" t="n">
        <v>3</v>
      </c>
      <c r="E779" s="20"/>
      <c r="F779" s="20" t="n">
        <v>316</v>
      </c>
      <c r="G779" s="20" t="n">
        <v>1</v>
      </c>
      <c r="H779" s="20" t="n">
        <v>1</v>
      </c>
      <c r="I779" s="20"/>
      <c r="J779" s="20"/>
      <c r="K779" s="21"/>
      <c r="L779" s="20"/>
      <c r="M779" s="20"/>
      <c r="N779" s="20"/>
      <c r="O779" s="20" t="n">
        <v>3</v>
      </c>
      <c r="P779" s="22" t="s">
        <v>107</v>
      </c>
    </row>
    <row r="780" customFormat="false" ht="15" hidden="false" customHeight="false" outlineLevel="0" collapsed="false">
      <c r="A780" s="19" t="n">
        <v>779</v>
      </c>
      <c r="B780" s="20" t="n">
        <v>62</v>
      </c>
      <c r="C780" s="20" t="n">
        <v>1</v>
      </c>
      <c r="D780" s="20" t="n">
        <v>2</v>
      </c>
      <c r="E780" s="20"/>
      <c r="F780" s="23" t="n">
        <v>0</v>
      </c>
      <c r="G780" s="20" t="n">
        <v>0</v>
      </c>
      <c r="H780" s="20" t="n">
        <v>0</v>
      </c>
      <c r="I780" s="20"/>
      <c r="J780" s="20"/>
      <c r="K780" s="21"/>
      <c r="L780" s="20"/>
      <c r="M780" s="20"/>
      <c r="N780" s="20"/>
      <c r="O780" s="20" t="n">
        <v>0</v>
      </c>
      <c r="P780" s="22" t="s">
        <v>107</v>
      </c>
    </row>
    <row r="781" customFormat="false" ht="15" hidden="false" customHeight="false" outlineLevel="0" collapsed="false">
      <c r="A781" s="19" t="n">
        <v>780</v>
      </c>
      <c r="B781" s="20" t="n">
        <v>59</v>
      </c>
      <c r="C781" s="20" t="n">
        <v>1</v>
      </c>
      <c r="D781" s="20" t="n">
        <v>4</v>
      </c>
      <c r="E781" s="20" t="n">
        <v>178</v>
      </c>
      <c r="F781" s="23" t="n">
        <v>0</v>
      </c>
      <c r="G781" s="20" t="n">
        <v>1</v>
      </c>
      <c r="H781" s="20" t="n">
        <v>2</v>
      </c>
      <c r="I781" s="20" t="n">
        <v>120</v>
      </c>
      <c r="J781" s="20" t="n">
        <v>1</v>
      </c>
      <c r="K781" s="21" t="n">
        <v>0</v>
      </c>
      <c r="L781" s="20"/>
      <c r="M781" s="20"/>
      <c r="N781" s="20" t="n">
        <v>7</v>
      </c>
      <c r="O781" s="20" t="n">
        <v>1</v>
      </c>
      <c r="P781" s="22" t="s">
        <v>107</v>
      </c>
    </row>
    <row r="782" customFormat="false" ht="15" hidden="false" customHeight="false" outlineLevel="0" collapsed="false">
      <c r="A782" s="19" t="n">
        <v>781</v>
      </c>
      <c r="B782" s="20" t="n">
        <v>51</v>
      </c>
      <c r="C782" s="20" t="n">
        <v>1</v>
      </c>
      <c r="D782" s="20" t="n">
        <v>4</v>
      </c>
      <c r="E782" s="20"/>
      <c r="F782" s="20" t="n">
        <v>218</v>
      </c>
      <c r="G782" s="20" t="n">
        <v>1</v>
      </c>
      <c r="H782" s="20" t="n">
        <v>2</v>
      </c>
      <c r="I782" s="20"/>
      <c r="J782" s="20"/>
      <c r="K782" s="21"/>
      <c r="L782" s="20"/>
      <c r="M782" s="20"/>
      <c r="N782" s="20"/>
      <c r="O782" s="20" t="n">
        <v>0</v>
      </c>
      <c r="P782" s="22" t="s">
        <v>107</v>
      </c>
    </row>
    <row r="783" customFormat="false" ht="15" hidden="false" customHeight="false" outlineLevel="0" collapsed="false">
      <c r="A783" s="19" t="n">
        <v>782</v>
      </c>
      <c r="B783" s="20" t="n">
        <v>61</v>
      </c>
      <c r="C783" s="20" t="n">
        <v>1</v>
      </c>
      <c r="D783" s="20" t="n">
        <v>4</v>
      </c>
      <c r="E783" s="20" t="n">
        <v>110</v>
      </c>
      <c r="F783" s="23" t="n">
        <v>0</v>
      </c>
      <c r="G783" s="20"/>
      <c r="H783" s="20" t="n">
        <v>0</v>
      </c>
      <c r="I783" s="20" t="n">
        <v>108</v>
      </c>
      <c r="J783" s="20" t="n">
        <v>1</v>
      </c>
      <c r="K783" s="21" t="n">
        <v>2</v>
      </c>
      <c r="L783" s="20" t="n">
        <v>3</v>
      </c>
      <c r="M783" s="20"/>
      <c r="N783" s="20"/>
      <c r="O783" s="20" t="n">
        <v>2</v>
      </c>
      <c r="P783" s="22" t="s">
        <v>107</v>
      </c>
    </row>
    <row r="784" customFormat="false" ht="15" hidden="false" customHeight="false" outlineLevel="0" collapsed="false">
      <c r="A784" s="19" t="n">
        <v>783</v>
      </c>
      <c r="B784" s="20" t="n">
        <v>57</v>
      </c>
      <c r="C784" s="20" t="n">
        <v>1</v>
      </c>
      <c r="D784" s="20" t="n">
        <v>4</v>
      </c>
      <c r="E784" s="20" t="n">
        <v>130</v>
      </c>
      <c r="F784" s="20" t="n">
        <v>311</v>
      </c>
      <c r="G784" s="20"/>
      <c r="H784" s="20" t="n">
        <v>1</v>
      </c>
      <c r="I784" s="20" t="n">
        <v>148</v>
      </c>
      <c r="J784" s="20" t="n">
        <v>1</v>
      </c>
      <c r="K784" s="21" t="n">
        <v>2</v>
      </c>
      <c r="L784" s="20" t="n">
        <v>2</v>
      </c>
      <c r="M784" s="20"/>
      <c r="N784" s="20"/>
      <c r="O784" s="20" t="n">
        <v>1</v>
      </c>
      <c r="P784" s="22" t="s">
        <v>107</v>
      </c>
    </row>
    <row r="785" customFormat="false" ht="15" hidden="false" customHeight="false" outlineLevel="0" collapsed="false">
      <c r="A785" s="19" t="n">
        <v>784</v>
      </c>
      <c r="B785" s="20" t="n">
        <v>56</v>
      </c>
      <c r="C785" s="20" t="n">
        <v>1</v>
      </c>
      <c r="D785" s="20" t="n">
        <v>3</v>
      </c>
      <c r="E785" s="20" t="n">
        <v>170</v>
      </c>
      <c r="F785" s="23" t="n">
        <v>0</v>
      </c>
      <c r="G785" s="20" t="n">
        <v>0</v>
      </c>
      <c r="H785" s="20" t="n">
        <v>2</v>
      </c>
      <c r="I785" s="20" t="n">
        <v>123</v>
      </c>
      <c r="J785" s="20" t="n">
        <v>1</v>
      </c>
      <c r="K785" s="21" t="n">
        <v>2.5</v>
      </c>
      <c r="L785" s="20"/>
      <c r="M785" s="20"/>
      <c r="N785" s="20"/>
      <c r="O785" s="20" t="n">
        <v>4</v>
      </c>
      <c r="P785" s="22" t="s">
        <v>107</v>
      </c>
    </row>
    <row r="786" customFormat="false" ht="15" hidden="false" customHeight="false" outlineLevel="0" collapsed="false">
      <c r="A786" s="19" t="n">
        <v>785</v>
      </c>
      <c r="B786" s="20" t="n">
        <v>58</v>
      </c>
      <c r="C786" s="20" t="n">
        <v>1</v>
      </c>
      <c r="D786" s="20" t="n">
        <v>2</v>
      </c>
      <c r="E786" s="20" t="n">
        <v>126</v>
      </c>
      <c r="F786" s="23" t="n">
        <v>0</v>
      </c>
      <c r="G786" s="20" t="n">
        <v>1</v>
      </c>
      <c r="H786" s="20" t="n">
        <v>0</v>
      </c>
      <c r="I786" s="20" t="n">
        <v>110</v>
      </c>
      <c r="J786" s="20" t="n">
        <v>1</v>
      </c>
      <c r="K786" s="21" t="n">
        <v>2</v>
      </c>
      <c r="L786" s="20" t="n">
        <v>2</v>
      </c>
      <c r="M786" s="20"/>
      <c r="N786" s="20"/>
      <c r="O786" s="20" t="n">
        <v>2</v>
      </c>
      <c r="P786" s="22" t="s">
        <v>107</v>
      </c>
    </row>
    <row r="787" customFormat="false" ht="15" hidden="false" customHeight="false" outlineLevel="0" collapsed="false">
      <c r="A787" s="19" t="n">
        <v>786</v>
      </c>
      <c r="B787" s="20" t="n">
        <v>69</v>
      </c>
      <c r="C787" s="20" t="n">
        <v>1</v>
      </c>
      <c r="D787" s="20" t="n">
        <v>3</v>
      </c>
      <c r="E787" s="20" t="n">
        <v>140</v>
      </c>
      <c r="F787" s="23" t="n">
        <v>0</v>
      </c>
      <c r="G787" s="20"/>
      <c r="H787" s="20" t="n">
        <v>1</v>
      </c>
      <c r="I787" s="20" t="n">
        <v>118</v>
      </c>
      <c r="J787" s="20" t="n">
        <v>0</v>
      </c>
      <c r="K787" s="21" t="n">
        <v>2.5</v>
      </c>
      <c r="L787" s="20" t="n">
        <v>3</v>
      </c>
      <c r="M787" s="20"/>
      <c r="N787" s="20"/>
      <c r="O787" s="20" t="n">
        <v>2</v>
      </c>
      <c r="P787" s="22" t="s">
        <v>107</v>
      </c>
    </row>
    <row r="788" customFormat="false" ht="15" hidden="false" customHeight="false" outlineLevel="0" collapsed="false">
      <c r="A788" s="19" t="n">
        <v>787</v>
      </c>
      <c r="B788" s="20" t="n">
        <v>67</v>
      </c>
      <c r="C788" s="20" t="n">
        <v>1</v>
      </c>
      <c r="D788" s="20" t="n">
        <v>1</v>
      </c>
      <c r="E788" s="20" t="n">
        <v>142</v>
      </c>
      <c r="F788" s="20" t="n">
        <v>270</v>
      </c>
      <c r="G788" s="20" t="n">
        <v>1</v>
      </c>
      <c r="H788" s="20" t="n">
        <v>0</v>
      </c>
      <c r="I788" s="20" t="n">
        <v>125</v>
      </c>
      <c r="J788" s="20" t="n">
        <v>0</v>
      </c>
      <c r="K788" s="21" t="n">
        <v>2.5</v>
      </c>
      <c r="L788" s="20" t="n">
        <v>1</v>
      </c>
      <c r="M788" s="20"/>
      <c r="N788" s="20"/>
      <c r="O788" s="20" t="n">
        <v>3</v>
      </c>
      <c r="P788" s="22" t="s">
        <v>107</v>
      </c>
    </row>
    <row r="789" customFormat="false" ht="15" hidden="false" customHeight="false" outlineLevel="0" collapsed="false">
      <c r="A789" s="19" t="n">
        <v>788</v>
      </c>
      <c r="B789" s="20" t="n">
        <v>58</v>
      </c>
      <c r="C789" s="20" t="n">
        <v>1</v>
      </c>
      <c r="D789" s="20" t="n">
        <v>4</v>
      </c>
      <c r="E789" s="20" t="n">
        <v>120</v>
      </c>
      <c r="F789" s="23" t="n">
        <v>0</v>
      </c>
      <c r="G789" s="20" t="n">
        <v>0</v>
      </c>
      <c r="H789" s="20" t="n">
        <v>2</v>
      </c>
      <c r="I789" s="20" t="n">
        <v>106</v>
      </c>
      <c r="J789" s="20" t="n">
        <v>1</v>
      </c>
      <c r="K789" s="21" t="n">
        <v>1.5</v>
      </c>
      <c r="L789" s="20" t="n">
        <v>3</v>
      </c>
      <c r="M789" s="20"/>
      <c r="N789" s="20" t="n">
        <v>7</v>
      </c>
      <c r="O789" s="20" t="n">
        <v>1</v>
      </c>
      <c r="P789" s="22" t="s">
        <v>107</v>
      </c>
    </row>
    <row r="790" customFormat="false" ht="15" hidden="false" customHeight="false" outlineLevel="0" collapsed="false">
      <c r="A790" s="19" t="n">
        <v>789</v>
      </c>
      <c r="B790" s="20" t="n">
        <v>65</v>
      </c>
      <c r="C790" s="20" t="n">
        <v>1</v>
      </c>
      <c r="D790" s="20" t="n">
        <v>4</v>
      </c>
      <c r="E790" s="20"/>
      <c r="F790" s="23" t="n">
        <v>0</v>
      </c>
      <c r="G790" s="20" t="n">
        <v>0</v>
      </c>
      <c r="H790" s="20" t="n">
        <v>0</v>
      </c>
      <c r="I790" s="20"/>
      <c r="J790" s="20"/>
      <c r="K790" s="21"/>
      <c r="L790" s="20"/>
      <c r="M790" s="20"/>
      <c r="N790" s="20"/>
      <c r="O790" s="20" t="n">
        <v>1</v>
      </c>
      <c r="P790" s="22" t="s">
        <v>107</v>
      </c>
    </row>
    <row r="791" customFormat="false" ht="15" hidden="false" customHeight="false" outlineLevel="0" collapsed="false">
      <c r="A791" s="19" t="n">
        <v>790</v>
      </c>
      <c r="B791" s="20" t="n">
        <v>63</v>
      </c>
      <c r="C791" s="20" t="n">
        <v>1</v>
      </c>
      <c r="D791" s="20" t="n">
        <v>2</v>
      </c>
      <c r="E791" s="20"/>
      <c r="F791" s="20" t="n">
        <v>217</v>
      </c>
      <c r="G791" s="20" t="n">
        <v>1</v>
      </c>
      <c r="H791" s="20" t="n">
        <v>1</v>
      </c>
      <c r="I791" s="20"/>
      <c r="J791" s="20"/>
      <c r="K791" s="21"/>
      <c r="L791" s="20"/>
      <c r="M791" s="20"/>
      <c r="N791" s="20"/>
      <c r="O791" s="20" t="n">
        <v>1</v>
      </c>
      <c r="P791" s="22" t="s">
        <v>107</v>
      </c>
    </row>
    <row r="792" customFormat="false" ht="15" hidden="false" customHeight="false" outlineLevel="0" collapsed="false">
      <c r="A792" s="19" t="n">
        <v>791</v>
      </c>
      <c r="B792" s="20" t="n">
        <v>55</v>
      </c>
      <c r="C792" s="20" t="n">
        <v>1</v>
      </c>
      <c r="D792" s="20" t="n">
        <v>2</v>
      </c>
      <c r="E792" s="20" t="n">
        <v>110</v>
      </c>
      <c r="F792" s="20" t="n">
        <v>214</v>
      </c>
      <c r="G792" s="20" t="n">
        <v>1</v>
      </c>
      <c r="H792" s="20" t="n">
        <v>1</v>
      </c>
      <c r="I792" s="20" t="n">
        <v>180</v>
      </c>
      <c r="J792" s="20" t="n">
        <v>0</v>
      </c>
      <c r="K792" s="21"/>
      <c r="L792" s="20"/>
      <c r="M792" s="20"/>
      <c r="N792" s="20"/>
      <c r="O792" s="20" t="n">
        <v>0</v>
      </c>
      <c r="P792" s="22" t="s">
        <v>107</v>
      </c>
    </row>
    <row r="793" customFormat="false" ht="15" hidden="false" customHeight="false" outlineLevel="0" collapsed="false">
      <c r="A793" s="19" t="n">
        <v>792</v>
      </c>
      <c r="B793" s="20" t="n">
        <v>57</v>
      </c>
      <c r="C793" s="20" t="n">
        <v>1</v>
      </c>
      <c r="D793" s="20" t="n">
        <v>4</v>
      </c>
      <c r="E793" s="20" t="n">
        <v>140</v>
      </c>
      <c r="F793" s="20" t="n">
        <v>214</v>
      </c>
      <c r="G793" s="20" t="n">
        <v>0</v>
      </c>
      <c r="H793" s="20" t="n">
        <v>1</v>
      </c>
      <c r="I793" s="20" t="n">
        <v>144</v>
      </c>
      <c r="J793" s="20" t="n">
        <v>1</v>
      </c>
      <c r="K793" s="21" t="n">
        <v>2</v>
      </c>
      <c r="L793" s="20" t="n">
        <v>2</v>
      </c>
      <c r="M793" s="20"/>
      <c r="N793" s="20" t="n">
        <v>6</v>
      </c>
      <c r="O793" s="20" t="n">
        <v>2</v>
      </c>
      <c r="P793" s="22" t="s">
        <v>107</v>
      </c>
    </row>
    <row r="794" customFormat="false" ht="15" hidden="false" customHeight="false" outlineLevel="0" collapsed="false">
      <c r="A794" s="19" t="n">
        <v>793</v>
      </c>
      <c r="B794" s="20" t="n">
        <v>65</v>
      </c>
      <c r="C794" s="20" t="n">
        <v>1</v>
      </c>
      <c r="D794" s="20" t="n">
        <v>1</v>
      </c>
      <c r="E794" s="20"/>
      <c r="F794" s="20" t="n">
        <v>252</v>
      </c>
      <c r="G794" s="20" t="n">
        <v>0</v>
      </c>
      <c r="H794" s="20" t="n">
        <v>0</v>
      </c>
      <c r="I794" s="20"/>
      <c r="J794" s="20"/>
      <c r="K794" s="21"/>
      <c r="L794" s="20"/>
      <c r="M794" s="20"/>
      <c r="N794" s="20"/>
      <c r="O794" s="20" t="n">
        <v>0</v>
      </c>
      <c r="P794" s="22" t="s">
        <v>107</v>
      </c>
    </row>
    <row r="795" customFormat="false" ht="15" hidden="false" customHeight="false" outlineLevel="0" collapsed="false">
      <c r="A795" s="19" t="n">
        <v>794</v>
      </c>
      <c r="B795" s="20" t="n">
        <v>54</v>
      </c>
      <c r="C795" s="20" t="n">
        <v>1</v>
      </c>
      <c r="D795" s="20" t="n">
        <v>4</v>
      </c>
      <c r="E795" s="20" t="n">
        <v>136</v>
      </c>
      <c r="F795" s="20" t="n">
        <v>220</v>
      </c>
      <c r="G795" s="20" t="n">
        <v>0</v>
      </c>
      <c r="H795" s="20" t="n">
        <v>0</v>
      </c>
      <c r="I795" s="20" t="n">
        <v>140</v>
      </c>
      <c r="J795" s="20" t="n">
        <v>1</v>
      </c>
      <c r="K795" s="21" t="n">
        <v>3</v>
      </c>
      <c r="L795" s="20" t="n">
        <v>2</v>
      </c>
      <c r="M795" s="20"/>
      <c r="N795" s="20"/>
      <c r="O795" s="20" t="n">
        <v>3</v>
      </c>
      <c r="P795" s="22" t="s">
        <v>107</v>
      </c>
    </row>
    <row r="796" customFormat="false" ht="15" hidden="false" customHeight="false" outlineLevel="0" collapsed="false">
      <c r="A796" s="19" t="n">
        <v>795</v>
      </c>
      <c r="B796" s="20" t="n">
        <v>72</v>
      </c>
      <c r="C796" s="20" t="n">
        <v>1</v>
      </c>
      <c r="D796" s="20" t="n">
        <v>3</v>
      </c>
      <c r="E796" s="20" t="n">
        <v>120</v>
      </c>
      <c r="F796" s="20" t="n">
        <v>214</v>
      </c>
      <c r="G796" s="20" t="n">
        <v>0</v>
      </c>
      <c r="H796" s="20" t="n">
        <v>0</v>
      </c>
      <c r="I796" s="20" t="n">
        <v>102</v>
      </c>
      <c r="J796" s="20" t="n">
        <v>1</v>
      </c>
      <c r="K796" s="21" t="n">
        <v>1</v>
      </c>
      <c r="L796" s="20" t="n">
        <v>2</v>
      </c>
      <c r="M796" s="20"/>
      <c r="N796" s="20"/>
      <c r="O796" s="20" t="n">
        <v>3</v>
      </c>
      <c r="P796" s="22" t="s">
        <v>107</v>
      </c>
    </row>
    <row r="797" customFormat="false" ht="15" hidden="false" customHeight="false" outlineLevel="0" collapsed="false">
      <c r="A797" s="19" t="n">
        <v>796</v>
      </c>
      <c r="B797" s="20" t="n">
        <v>75</v>
      </c>
      <c r="C797" s="20" t="n">
        <v>1</v>
      </c>
      <c r="D797" s="20" t="n">
        <v>4</v>
      </c>
      <c r="E797" s="20" t="n">
        <v>170</v>
      </c>
      <c r="F797" s="20" t="n">
        <v>203</v>
      </c>
      <c r="G797" s="20" t="n">
        <v>1</v>
      </c>
      <c r="H797" s="20" t="n">
        <v>1</v>
      </c>
      <c r="I797" s="20" t="n">
        <v>108</v>
      </c>
      <c r="J797" s="20" t="n">
        <v>0</v>
      </c>
      <c r="K797" s="21" t="n">
        <v>0</v>
      </c>
      <c r="L797" s="20"/>
      <c r="M797" s="20"/>
      <c r="N797" s="20" t="n">
        <v>7</v>
      </c>
      <c r="O797" s="20" t="n">
        <v>1</v>
      </c>
      <c r="P797" s="22" t="s">
        <v>107</v>
      </c>
    </row>
    <row r="798" customFormat="false" ht="15" hidden="false" customHeight="false" outlineLevel="0" collapsed="false">
      <c r="A798" s="19" t="n">
        <v>797</v>
      </c>
      <c r="B798" s="20" t="n">
        <v>49</v>
      </c>
      <c r="C798" s="20" t="n">
        <v>1</v>
      </c>
      <c r="D798" s="20" t="n">
        <v>1</v>
      </c>
      <c r="E798" s="20" t="n">
        <v>130</v>
      </c>
      <c r="F798" s="23" t="n">
        <v>0</v>
      </c>
      <c r="G798" s="20" t="n">
        <v>0</v>
      </c>
      <c r="H798" s="20" t="n">
        <v>1</v>
      </c>
      <c r="I798" s="20" t="n">
        <v>145</v>
      </c>
      <c r="J798" s="20" t="n">
        <v>0</v>
      </c>
      <c r="K798" s="21" t="n">
        <v>3</v>
      </c>
      <c r="L798" s="20" t="n">
        <v>2</v>
      </c>
      <c r="M798" s="20"/>
      <c r="N798" s="20"/>
      <c r="O798" s="20" t="n">
        <v>2</v>
      </c>
      <c r="P798" s="22" t="s">
        <v>107</v>
      </c>
    </row>
    <row r="799" customFormat="false" ht="15" hidden="false" customHeight="false" outlineLevel="0" collapsed="false">
      <c r="A799" s="19" t="n">
        <v>798</v>
      </c>
      <c r="B799" s="20" t="n">
        <v>51</v>
      </c>
      <c r="C799" s="20" t="n">
        <v>1</v>
      </c>
      <c r="D799" s="20" t="n">
        <v>3</v>
      </c>
      <c r="E799" s="20"/>
      <c r="F799" s="20" t="n">
        <v>339</v>
      </c>
      <c r="G799" s="20" t="n">
        <v>0</v>
      </c>
      <c r="H799" s="20" t="n">
        <v>0</v>
      </c>
      <c r="I799" s="20"/>
      <c r="J799" s="20"/>
      <c r="K799" s="21"/>
      <c r="L799" s="20"/>
      <c r="M799" s="20"/>
      <c r="N799" s="20"/>
      <c r="O799" s="20" t="n">
        <v>3</v>
      </c>
      <c r="P799" s="22" t="s">
        <v>107</v>
      </c>
    </row>
    <row r="800" customFormat="false" ht="15" hidden="false" customHeight="false" outlineLevel="0" collapsed="false">
      <c r="A800" s="19" t="n">
        <v>799</v>
      </c>
      <c r="B800" s="20" t="n">
        <v>60</v>
      </c>
      <c r="C800" s="20" t="n">
        <v>1</v>
      </c>
      <c r="D800" s="20" t="n">
        <v>4</v>
      </c>
      <c r="E800" s="20" t="n">
        <v>142</v>
      </c>
      <c r="F800" s="20" t="n">
        <v>216</v>
      </c>
      <c r="G800" s="20" t="n">
        <v>0</v>
      </c>
      <c r="H800" s="20" t="n">
        <v>0</v>
      </c>
      <c r="I800" s="20" t="n">
        <v>110</v>
      </c>
      <c r="J800" s="20" t="n">
        <v>1</v>
      </c>
      <c r="K800" s="21" t="n">
        <v>2.5</v>
      </c>
      <c r="L800" s="20" t="n">
        <v>2</v>
      </c>
      <c r="M800" s="20"/>
      <c r="N800" s="20"/>
      <c r="O800" s="20" t="n">
        <v>2</v>
      </c>
      <c r="P800" s="22" t="s">
        <v>107</v>
      </c>
    </row>
    <row r="801" customFormat="false" ht="15" hidden="false" customHeight="false" outlineLevel="0" collapsed="false">
      <c r="A801" s="19" t="n">
        <v>800</v>
      </c>
      <c r="B801" s="20" t="n">
        <v>64</v>
      </c>
      <c r="C801" s="20" t="n">
        <v>0</v>
      </c>
      <c r="D801" s="20" t="n">
        <v>4</v>
      </c>
      <c r="E801" s="20" t="n">
        <v>142</v>
      </c>
      <c r="F801" s="20" t="n">
        <v>276</v>
      </c>
      <c r="G801" s="20" t="n">
        <v>0</v>
      </c>
      <c r="H801" s="20" t="n">
        <v>0</v>
      </c>
      <c r="I801" s="20" t="n">
        <v>140</v>
      </c>
      <c r="J801" s="20" t="n">
        <v>1</v>
      </c>
      <c r="K801" s="21" t="n">
        <v>1</v>
      </c>
      <c r="L801" s="20" t="n">
        <v>2</v>
      </c>
      <c r="M801" s="20"/>
      <c r="N801" s="20" t="n">
        <v>7</v>
      </c>
      <c r="O801" s="20" t="n">
        <v>1</v>
      </c>
      <c r="P801" s="22" t="s">
        <v>107</v>
      </c>
    </row>
    <row r="802" customFormat="false" ht="15" hidden="false" customHeight="false" outlineLevel="0" collapsed="false">
      <c r="A802" s="19" t="n">
        <v>801</v>
      </c>
      <c r="B802" s="20" t="n">
        <v>58</v>
      </c>
      <c r="C802" s="20" t="n">
        <v>1</v>
      </c>
      <c r="D802" s="20" t="n">
        <v>4</v>
      </c>
      <c r="E802" s="20" t="n">
        <v>132</v>
      </c>
      <c r="F802" s="20" t="n">
        <v>458</v>
      </c>
      <c r="G802" s="20" t="n">
        <v>1</v>
      </c>
      <c r="H802" s="20" t="n">
        <v>0</v>
      </c>
      <c r="I802" s="20" t="n">
        <v>69</v>
      </c>
      <c r="J802" s="20" t="n">
        <v>0</v>
      </c>
      <c r="K802" s="21" t="n">
        <v>1</v>
      </c>
      <c r="L802" s="20" t="n">
        <v>3</v>
      </c>
      <c r="M802" s="20"/>
      <c r="N802" s="20"/>
      <c r="O802" s="20" t="n">
        <v>0</v>
      </c>
      <c r="P802" s="22" t="s">
        <v>107</v>
      </c>
    </row>
    <row r="803" customFormat="false" ht="15" hidden="false" customHeight="false" outlineLevel="0" collapsed="false">
      <c r="A803" s="19" t="n">
        <v>802</v>
      </c>
      <c r="B803" s="20" t="n">
        <v>61</v>
      </c>
      <c r="C803" s="20" t="n">
        <v>1</v>
      </c>
      <c r="D803" s="20" t="n">
        <v>4</v>
      </c>
      <c r="E803" s="20" t="n">
        <v>146</v>
      </c>
      <c r="F803" s="20" t="n">
        <v>241</v>
      </c>
      <c r="G803" s="20" t="n">
        <v>0</v>
      </c>
      <c r="H803" s="20" t="n">
        <v>0</v>
      </c>
      <c r="I803" s="20" t="n">
        <v>148</v>
      </c>
      <c r="J803" s="20" t="n">
        <v>1</v>
      </c>
      <c r="K803" s="21" t="n">
        <v>3</v>
      </c>
      <c r="L803" s="20" t="n">
        <v>3</v>
      </c>
      <c r="M803" s="20"/>
      <c r="N803" s="20"/>
      <c r="O803" s="20" t="n">
        <v>2</v>
      </c>
      <c r="P803" s="22" t="s">
        <v>107</v>
      </c>
    </row>
    <row r="804" customFormat="false" ht="15" hidden="false" customHeight="false" outlineLevel="0" collapsed="false">
      <c r="A804" s="19" t="n">
        <v>803</v>
      </c>
      <c r="B804" s="20" t="n">
        <v>67</v>
      </c>
      <c r="C804" s="20" t="n">
        <v>1</v>
      </c>
      <c r="D804" s="20" t="n">
        <v>4</v>
      </c>
      <c r="E804" s="20" t="n">
        <v>160</v>
      </c>
      <c r="F804" s="20" t="n">
        <v>384</v>
      </c>
      <c r="G804" s="20" t="n">
        <v>1</v>
      </c>
      <c r="H804" s="20" t="n">
        <v>1</v>
      </c>
      <c r="I804" s="20" t="n">
        <v>130</v>
      </c>
      <c r="J804" s="20" t="n">
        <v>1</v>
      </c>
      <c r="K804" s="21" t="n">
        <v>0</v>
      </c>
      <c r="L804" s="20" t="n">
        <v>2</v>
      </c>
      <c r="M804" s="20"/>
      <c r="N804" s="20"/>
      <c r="O804" s="20" t="n">
        <v>2</v>
      </c>
      <c r="P804" s="22" t="s">
        <v>107</v>
      </c>
    </row>
    <row r="805" customFormat="false" ht="15" hidden="false" customHeight="false" outlineLevel="0" collapsed="false">
      <c r="A805" s="19" t="n">
        <v>804</v>
      </c>
      <c r="B805" s="20" t="n">
        <v>62</v>
      </c>
      <c r="C805" s="20" t="n">
        <v>1</v>
      </c>
      <c r="D805" s="20" t="n">
        <v>4</v>
      </c>
      <c r="E805" s="20" t="n">
        <v>135</v>
      </c>
      <c r="F805" s="20" t="n">
        <v>297</v>
      </c>
      <c r="G805" s="20" t="n">
        <v>0</v>
      </c>
      <c r="H805" s="20" t="n">
        <v>0</v>
      </c>
      <c r="I805" s="20" t="n">
        <v>130</v>
      </c>
      <c r="J805" s="20" t="n">
        <v>1</v>
      </c>
      <c r="K805" s="21" t="n">
        <v>1</v>
      </c>
      <c r="L805" s="20" t="n">
        <v>2</v>
      </c>
      <c r="M805" s="20"/>
      <c r="N805" s="20"/>
      <c r="O805" s="20" t="n">
        <v>2</v>
      </c>
      <c r="P805" s="22" t="s">
        <v>107</v>
      </c>
    </row>
    <row r="806" customFormat="false" ht="15" hidden="false" customHeight="false" outlineLevel="0" collapsed="false">
      <c r="A806" s="19" t="n">
        <v>805</v>
      </c>
      <c r="B806" s="20" t="n">
        <v>65</v>
      </c>
      <c r="C806" s="20" t="n">
        <v>1</v>
      </c>
      <c r="D806" s="20" t="n">
        <v>4</v>
      </c>
      <c r="E806" s="20" t="n">
        <v>136</v>
      </c>
      <c r="F806" s="20" t="n">
        <v>248</v>
      </c>
      <c r="G806" s="20" t="n">
        <v>0</v>
      </c>
      <c r="H806" s="20" t="n">
        <v>0</v>
      </c>
      <c r="I806" s="20" t="n">
        <v>140</v>
      </c>
      <c r="J806" s="20" t="n">
        <v>1</v>
      </c>
      <c r="K806" s="21" t="n">
        <v>4</v>
      </c>
      <c r="L806" s="20" t="n">
        <v>3</v>
      </c>
      <c r="M806" s="20"/>
      <c r="N806" s="20"/>
      <c r="O806" s="20" t="n">
        <v>4</v>
      </c>
      <c r="P806" s="22" t="s">
        <v>107</v>
      </c>
    </row>
    <row r="807" customFormat="false" ht="15" hidden="false" customHeight="false" outlineLevel="0" collapsed="false">
      <c r="A807" s="19" t="n">
        <v>806</v>
      </c>
      <c r="B807" s="20" t="n">
        <v>63</v>
      </c>
      <c r="C807" s="20" t="n">
        <v>1</v>
      </c>
      <c r="D807" s="20" t="n">
        <v>4</v>
      </c>
      <c r="E807" s="20" t="n">
        <v>130</v>
      </c>
      <c r="F807" s="20" t="n">
        <v>308</v>
      </c>
      <c r="G807" s="20" t="n">
        <v>0</v>
      </c>
      <c r="H807" s="20" t="n">
        <v>0</v>
      </c>
      <c r="I807" s="20" t="n">
        <v>138</v>
      </c>
      <c r="J807" s="20" t="n">
        <v>1</v>
      </c>
      <c r="K807" s="21" t="n">
        <v>2</v>
      </c>
      <c r="L807" s="20" t="n">
        <v>2</v>
      </c>
      <c r="M807" s="20"/>
      <c r="N807" s="20"/>
      <c r="O807" s="20" t="n">
        <v>2</v>
      </c>
      <c r="P807" s="22" t="s">
        <v>107</v>
      </c>
    </row>
    <row r="808" customFormat="false" ht="15" hidden="false" customHeight="false" outlineLevel="0" collapsed="false">
      <c r="A808" s="19" t="n">
        <v>807</v>
      </c>
      <c r="B808" s="20" t="n">
        <v>69</v>
      </c>
      <c r="C808" s="20" t="n">
        <v>1</v>
      </c>
      <c r="D808" s="20" t="n">
        <v>4</v>
      </c>
      <c r="E808" s="20" t="n">
        <v>140</v>
      </c>
      <c r="F808" s="20" t="n">
        <v>208</v>
      </c>
      <c r="G808" s="20" t="n">
        <v>0</v>
      </c>
      <c r="H808" s="20" t="n">
        <v>1</v>
      </c>
      <c r="I808" s="20" t="n">
        <v>140</v>
      </c>
      <c r="J808" s="20" t="n">
        <v>1</v>
      </c>
      <c r="K808" s="21" t="n">
        <v>2</v>
      </c>
      <c r="L808" s="20"/>
      <c r="M808" s="20"/>
      <c r="N808" s="20"/>
      <c r="O808" s="20" t="n">
        <v>3</v>
      </c>
      <c r="P808" s="22" t="s">
        <v>107</v>
      </c>
    </row>
    <row r="809" customFormat="false" ht="15" hidden="false" customHeight="false" outlineLevel="0" collapsed="false">
      <c r="A809" s="19" t="n">
        <v>808</v>
      </c>
      <c r="B809" s="20" t="n">
        <v>51</v>
      </c>
      <c r="C809" s="20" t="n">
        <v>1</v>
      </c>
      <c r="D809" s="20" t="n">
        <v>4</v>
      </c>
      <c r="E809" s="20"/>
      <c r="F809" s="20" t="n">
        <v>227</v>
      </c>
      <c r="G809" s="20" t="n">
        <v>1</v>
      </c>
      <c r="H809" s="20" t="n">
        <v>1</v>
      </c>
      <c r="I809" s="20"/>
      <c r="J809" s="20"/>
      <c r="K809" s="21"/>
      <c r="L809" s="20"/>
      <c r="M809" s="20"/>
      <c r="N809" s="20"/>
      <c r="O809" s="20" t="n">
        <v>0</v>
      </c>
      <c r="P809" s="22" t="s">
        <v>107</v>
      </c>
    </row>
    <row r="810" customFormat="false" ht="15" hidden="false" customHeight="false" outlineLevel="0" collapsed="false">
      <c r="A810" s="19" t="n">
        <v>809</v>
      </c>
      <c r="B810" s="20" t="n">
        <v>62</v>
      </c>
      <c r="C810" s="20" t="n">
        <v>1</v>
      </c>
      <c r="D810" s="20" t="n">
        <v>4</v>
      </c>
      <c r="E810" s="20" t="n">
        <v>158</v>
      </c>
      <c r="F810" s="20" t="n">
        <v>210</v>
      </c>
      <c r="G810" s="20" t="n">
        <v>1</v>
      </c>
      <c r="H810" s="20" t="n">
        <v>0</v>
      </c>
      <c r="I810" s="20" t="n">
        <v>112</v>
      </c>
      <c r="J810" s="20" t="n">
        <v>1</v>
      </c>
      <c r="K810" s="21" t="n">
        <v>3</v>
      </c>
      <c r="L810" s="20" t="n">
        <v>3</v>
      </c>
      <c r="M810" s="20"/>
      <c r="N810" s="20"/>
      <c r="O810" s="20" t="n">
        <v>1</v>
      </c>
      <c r="P810" s="22" t="s">
        <v>107</v>
      </c>
    </row>
    <row r="811" customFormat="false" ht="15" hidden="false" customHeight="false" outlineLevel="0" collapsed="false">
      <c r="A811" s="19" t="n">
        <v>810</v>
      </c>
      <c r="B811" s="20" t="n">
        <v>55</v>
      </c>
      <c r="C811" s="20" t="n">
        <v>1</v>
      </c>
      <c r="D811" s="20" t="n">
        <v>3</v>
      </c>
      <c r="E811" s="20"/>
      <c r="F811" s="20" t="n">
        <v>245</v>
      </c>
      <c r="G811" s="20" t="n">
        <v>1</v>
      </c>
      <c r="H811" s="20" t="n">
        <v>1</v>
      </c>
      <c r="I811" s="20"/>
      <c r="J811" s="20"/>
      <c r="K811" s="21"/>
      <c r="L811" s="20"/>
      <c r="M811" s="20"/>
      <c r="N811" s="20"/>
      <c r="O811" s="20" t="n">
        <v>1</v>
      </c>
      <c r="P811" s="22" t="s">
        <v>107</v>
      </c>
    </row>
    <row r="812" customFormat="false" ht="15" hidden="false" customHeight="false" outlineLevel="0" collapsed="false">
      <c r="A812" s="19" t="n">
        <v>811</v>
      </c>
      <c r="B812" s="20" t="n">
        <v>75</v>
      </c>
      <c r="C812" s="20" t="n">
        <v>1</v>
      </c>
      <c r="D812" s="20" t="n">
        <v>4</v>
      </c>
      <c r="E812" s="20" t="n">
        <v>136</v>
      </c>
      <c r="F812" s="20" t="n">
        <v>225</v>
      </c>
      <c r="G812" s="20" t="n">
        <v>0</v>
      </c>
      <c r="H812" s="20" t="n">
        <v>0</v>
      </c>
      <c r="I812" s="20" t="n">
        <v>112</v>
      </c>
      <c r="J812" s="20" t="n">
        <v>1</v>
      </c>
      <c r="K812" s="21" t="n">
        <v>3</v>
      </c>
      <c r="L812" s="20" t="n">
        <v>2</v>
      </c>
      <c r="M812" s="20"/>
      <c r="N812" s="20"/>
      <c r="O812" s="20" t="n">
        <v>3</v>
      </c>
      <c r="P812" s="22" t="s">
        <v>107</v>
      </c>
    </row>
    <row r="813" customFormat="false" ht="15" hidden="false" customHeight="false" outlineLevel="0" collapsed="false">
      <c r="A813" s="19" t="n">
        <v>812</v>
      </c>
      <c r="B813" s="20" t="n">
        <v>40</v>
      </c>
      <c r="C813" s="20" t="n">
        <v>1</v>
      </c>
      <c r="D813" s="20" t="n">
        <v>3</v>
      </c>
      <c r="E813" s="20" t="n">
        <v>106</v>
      </c>
      <c r="F813" s="20" t="n">
        <v>240</v>
      </c>
      <c r="G813" s="20" t="n">
        <v>0</v>
      </c>
      <c r="H813" s="20" t="n">
        <v>0</v>
      </c>
      <c r="I813" s="20" t="n">
        <v>80</v>
      </c>
      <c r="J813" s="20" t="n">
        <v>1</v>
      </c>
      <c r="K813" s="21" t="n">
        <v>0</v>
      </c>
      <c r="L813" s="20"/>
      <c r="M813" s="20"/>
      <c r="N813" s="20" t="n">
        <v>7</v>
      </c>
      <c r="O813" s="20" t="n">
        <v>0</v>
      </c>
      <c r="P813" s="22" t="s">
        <v>107</v>
      </c>
    </row>
    <row r="814" customFormat="false" ht="15" hidden="false" customHeight="false" outlineLevel="0" collapsed="false">
      <c r="A814" s="19" t="n">
        <v>813</v>
      </c>
      <c r="B814" s="20" t="n">
        <v>67</v>
      </c>
      <c r="C814" s="20" t="n">
        <v>1</v>
      </c>
      <c r="D814" s="20" t="n">
        <v>4</v>
      </c>
      <c r="E814" s="20" t="n">
        <v>120</v>
      </c>
      <c r="F814" s="23" t="n">
        <v>0</v>
      </c>
      <c r="G814" s="20" t="n">
        <v>1</v>
      </c>
      <c r="H814" s="20" t="n">
        <v>0</v>
      </c>
      <c r="I814" s="20" t="n">
        <v>150</v>
      </c>
      <c r="J814" s="20" t="n">
        <v>0</v>
      </c>
      <c r="K814" s="21" t="n">
        <v>1.5</v>
      </c>
      <c r="L814" s="20" t="n">
        <v>3</v>
      </c>
      <c r="M814" s="20"/>
      <c r="N814" s="20"/>
      <c r="O814" s="20" t="n">
        <v>3</v>
      </c>
      <c r="P814" s="22" t="s">
        <v>107</v>
      </c>
    </row>
    <row r="815" customFormat="false" ht="15" hidden="false" customHeight="false" outlineLevel="0" collapsed="false">
      <c r="A815" s="19" t="n">
        <v>814</v>
      </c>
      <c r="B815" s="20" t="n">
        <v>58</v>
      </c>
      <c r="C815" s="20" t="n">
        <v>1</v>
      </c>
      <c r="D815" s="20" t="n">
        <v>4</v>
      </c>
      <c r="E815" s="20" t="n">
        <v>110</v>
      </c>
      <c r="F815" s="20" t="n">
        <v>198</v>
      </c>
      <c r="G815" s="20" t="n">
        <v>0</v>
      </c>
      <c r="H815" s="20" t="n">
        <v>0</v>
      </c>
      <c r="I815" s="20" t="n">
        <v>110</v>
      </c>
      <c r="J815" s="20" t="n">
        <v>0</v>
      </c>
      <c r="K815" s="21" t="n">
        <v>0</v>
      </c>
      <c r="L815" s="20"/>
      <c r="M815" s="20"/>
      <c r="N815" s="20"/>
      <c r="O815" s="20" t="n">
        <v>1</v>
      </c>
      <c r="P815" s="22" t="s">
        <v>107</v>
      </c>
    </row>
    <row r="816" customFormat="false" ht="15" hidden="false" customHeight="false" outlineLevel="0" collapsed="false">
      <c r="A816" s="19" t="n">
        <v>815</v>
      </c>
      <c r="B816" s="20" t="n">
        <v>60</v>
      </c>
      <c r="C816" s="20" t="n">
        <v>1</v>
      </c>
      <c r="D816" s="20" t="n">
        <v>4</v>
      </c>
      <c r="E816" s="20"/>
      <c r="F816" s="20" t="n">
        <v>195</v>
      </c>
      <c r="G816" s="20" t="n">
        <v>0</v>
      </c>
      <c r="H816" s="20" t="n">
        <v>0</v>
      </c>
      <c r="I816" s="20"/>
      <c r="J816" s="20"/>
      <c r="K816" s="21"/>
      <c r="L816" s="20"/>
      <c r="M816" s="20"/>
      <c r="N816" s="20"/>
      <c r="O816" s="20" t="n">
        <v>0</v>
      </c>
      <c r="P816" s="22" t="s">
        <v>107</v>
      </c>
    </row>
    <row r="817" customFormat="false" ht="15" hidden="false" customHeight="false" outlineLevel="0" collapsed="false">
      <c r="A817" s="19" t="n">
        <v>816</v>
      </c>
      <c r="B817" s="20" t="n">
        <v>63</v>
      </c>
      <c r="C817" s="20" t="n">
        <v>1</v>
      </c>
      <c r="D817" s="20" t="n">
        <v>4</v>
      </c>
      <c r="E817" s="20" t="n">
        <v>160</v>
      </c>
      <c r="F817" s="20" t="n">
        <v>267</v>
      </c>
      <c r="G817" s="20" t="n">
        <v>1</v>
      </c>
      <c r="H817" s="20" t="n">
        <v>1</v>
      </c>
      <c r="I817" s="20" t="n">
        <v>88</v>
      </c>
      <c r="J817" s="20" t="n">
        <v>1</v>
      </c>
      <c r="K817" s="21" t="n">
        <v>2</v>
      </c>
      <c r="L817" s="20"/>
      <c r="M817" s="20"/>
      <c r="N817" s="20"/>
      <c r="O817" s="20" t="n">
        <v>3</v>
      </c>
      <c r="P817" s="22" t="s">
        <v>107</v>
      </c>
    </row>
    <row r="818" customFormat="false" ht="15" hidden="false" customHeight="false" outlineLevel="0" collapsed="false">
      <c r="A818" s="19" t="n">
        <v>817</v>
      </c>
      <c r="B818" s="20" t="n">
        <v>35</v>
      </c>
      <c r="C818" s="20" t="n">
        <v>1</v>
      </c>
      <c r="D818" s="20" t="n">
        <v>3</v>
      </c>
      <c r="E818" s="20"/>
      <c r="F818" s="20" t="n">
        <v>161</v>
      </c>
      <c r="G818" s="20" t="n">
        <v>0</v>
      </c>
      <c r="H818" s="20" t="n">
        <v>1</v>
      </c>
      <c r="I818" s="20"/>
      <c r="J818" s="20"/>
      <c r="K818" s="21"/>
      <c r="L818" s="20"/>
      <c r="M818" s="20"/>
      <c r="N818" s="20"/>
      <c r="O818" s="20" t="n">
        <v>0</v>
      </c>
      <c r="P818" s="22" t="s">
        <v>107</v>
      </c>
    </row>
    <row r="819" customFormat="false" ht="15" hidden="false" customHeight="false" outlineLevel="0" collapsed="false">
      <c r="A819" s="19" t="n">
        <v>818</v>
      </c>
      <c r="B819" s="20" t="n">
        <v>62</v>
      </c>
      <c r="C819" s="20" t="n">
        <v>1</v>
      </c>
      <c r="D819" s="20" t="n">
        <v>1</v>
      </c>
      <c r="E819" s="20" t="n">
        <v>112</v>
      </c>
      <c r="F819" s="20" t="n">
        <v>258</v>
      </c>
      <c r="G819" s="20" t="n">
        <v>0</v>
      </c>
      <c r="H819" s="20" t="n">
        <v>1</v>
      </c>
      <c r="I819" s="20" t="n">
        <v>150</v>
      </c>
      <c r="J819" s="20" t="n">
        <v>1</v>
      </c>
      <c r="K819" s="21"/>
      <c r="L819" s="20"/>
      <c r="M819" s="20"/>
      <c r="N819" s="20"/>
      <c r="O819" s="20" t="n">
        <v>1</v>
      </c>
      <c r="P819" s="22" t="s">
        <v>107</v>
      </c>
    </row>
    <row r="820" customFormat="false" ht="15" hidden="false" customHeight="false" outlineLevel="0" collapsed="false">
      <c r="A820" s="19" t="n">
        <v>819</v>
      </c>
      <c r="B820" s="20" t="n">
        <v>43</v>
      </c>
      <c r="C820" s="20" t="n">
        <v>1</v>
      </c>
      <c r="D820" s="20" t="n">
        <v>4</v>
      </c>
      <c r="E820" s="20" t="n">
        <v>122</v>
      </c>
      <c r="F820" s="23" t="n">
        <v>0</v>
      </c>
      <c r="G820" s="20" t="n">
        <v>0</v>
      </c>
      <c r="H820" s="20" t="n">
        <v>0</v>
      </c>
      <c r="I820" s="20" t="n">
        <v>120</v>
      </c>
      <c r="J820" s="20" t="n">
        <v>0</v>
      </c>
      <c r="K820" s="21" t="n">
        <v>0.5</v>
      </c>
      <c r="L820" s="20" t="n">
        <v>1</v>
      </c>
      <c r="M820" s="20"/>
      <c r="N820" s="20"/>
      <c r="O820" s="20" t="n">
        <v>1</v>
      </c>
      <c r="P820" s="22" t="s">
        <v>107</v>
      </c>
    </row>
    <row r="821" customFormat="false" ht="15" hidden="false" customHeight="false" outlineLevel="0" collapsed="false">
      <c r="A821" s="19" t="n">
        <v>820</v>
      </c>
      <c r="B821" s="20" t="n">
        <v>63</v>
      </c>
      <c r="C821" s="20" t="n">
        <v>1</v>
      </c>
      <c r="D821" s="20" t="n">
        <v>3</v>
      </c>
      <c r="E821" s="20" t="n">
        <v>130</v>
      </c>
      <c r="F821" s="23" t="n">
        <v>0</v>
      </c>
      <c r="G821" s="20" t="n">
        <v>1</v>
      </c>
      <c r="H821" s="20" t="n">
        <v>1</v>
      </c>
      <c r="I821" s="20" t="n">
        <v>160</v>
      </c>
      <c r="J821" s="20" t="n">
        <v>0</v>
      </c>
      <c r="K821" s="21" t="n">
        <v>3</v>
      </c>
      <c r="L821" s="20" t="n">
        <v>2</v>
      </c>
      <c r="M821" s="20"/>
      <c r="N821" s="20"/>
      <c r="O821" s="20" t="n">
        <v>0</v>
      </c>
      <c r="P821" s="22" t="s">
        <v>107</v>
      </c>
    </row>
    <row r="822" customFormat="false" ht="15" hidden="false" customHeight="false" outlineLevel="0" collapsed="false">
      <c r="A822" s="19" t="n">
        <v>821</v>
      </c>
      <c r="B822" s="20" t="n">
        <v>68</v>
      </c>
      <c r="C822" s="20" t="n">
        <v>1</v>
      </c>
      <c r="D822" s="20" t="n">
        <v>3</v>
      </c>
      <c r="E822" s="20" t="n">
        <v>150</v>
      </c>
      <c r="F822" s="20" t="n">
        <v>195</v>
      </c>
      <c r="G822" s="20" t="n">
        <v>1</v>
      </c>
      <c r="H822" s="20" t="n">
        <v>0</v>
      </c>
      <c r="I822" s="20" t="n">
        <v>132</v>
      </c>
      <c r="J822" s="20" t="n">
        <v>0</v>
      </c>
      <c r="K822" s="21" t="n">
        <v>0</v>
      </c>
      <c r="L822" s="20"/>
      <c r="M822" s="20"/>
      <c r="N822" s="20" t="n">
        <v>6</v>
      </c>
      <c r="O822" s="20" t="n">
        <v>1</v>
      </c>
      <c r="P822" s="22" t="s">
        <v>107</v>
      </c>
    </row>
    <row r="823" customFormat="false" ht="15" hidden="false" customHeight="false" outlineLevel="0" collapsed="false">
      <c r="A823" s="19" t="n">
        <v>822</v>
      </c>
      <c r="B823" s="20" t="n">
        <v>65</v>
      </c>
      <c r="C823" s="20" t="n">
        <v>1</v>
      </c>
      <c r="D823" s="20" t="n">
        <v>4</v>
      </c>
      <c r="E823" s="20" t="n">
        <v>150</v>
      </c>
      <c r="F823" s="20" t="n">
        <v>235</v>
      </c>
      <c r="G823" s="20" t="n">
        <v>0</v>
      </c>
      <c r="H823" s="20" t="n">
        <v>0</v>
      </c>
      <c r="I823" s="20" t="n">
        <v>120</v>
      </c>
      <c r="J823" s="20" t="n">
        <v>1</v>
      </c>
      <c r="K823" s="21" t="n">
        <v>1.5</v>
      </c>
      <c r="L823" s="20" t="n">
        <v>2</v>
      </c>
      <c r="M823" s="20"/>
      <c r="N823" s="20"/>
      <c r="O823" s="20" t="n">
        <v>3</v>
      </c>
      <c r="P823" s="22" t="s">
        <v>107</v>
      </c>
    </row>
    <row r="824" customFormat="false" ht="15" hidden="false" customHeight="false" outlineLevel="0" collapsed="false">
      <c r="A824" s="19" t="n">
        <v>823</v>
      </c>
      <c r="B824" s="20" t="n">
        <v>48</v>
      </c>
      <c r="C824" s="20" t="n">
        <v>1</v>
      </c>
      <c r="D824" s="20" t="n">
        <v>3</v>
      </c>
      <c r="E824" s="20" t="n">
        <v>102</v>
      </c>
      <c r="F824" s="23" t="n">
        <v>0</v>
      </c>
      <c r="G824" s="20"/>
      <c r="H824" s="20" t="n">
        <v>1</v>
      </c>
      <c r="I824" s="20" t="n">
        <v>110</v>
      </c>
      <c r="J824" s="20" t="n">
        <v>1</v>
      </c>
      <c r="K824" s="21" t="n">
        <v>1</v>
      </c>
      <c r="L824" s="20" t="n">
        <v>3</v>
      </c>
      <c r="M824" s="20"/>
      <c r="N824" s="20"/>
      <c r="O824" s="20" t="n">
        <v>1</v>
      </c>
      <c r="P824" s="22" t="s">
        <v>107</v>
      </c>
    </row>
    <row r="825" customFormat="false" ht="15" hidden="false" customHeight="false" outlineLevel="0" collapsed="false">
      <c r="A825" s="19" t="n">
        <v>824</v>
      </c>
      <c r="B825" s="20" t="n">
        <v>63</v>
      </c>
      <c r="C825" s="20" t="n">
        <v>1</v>
      </c>
      <c r="D825" s="20" t="n">
        <v>4</v>
      </c>
      <c r="E825" s="20" t="n">
        <v>96</v>
      </c>
      <c r="F825" s="20" t="n">
        <v>305</v>
      </c>
      <c r="G825" s="20" t="n">
        <v>0</v>
      </c>
      <c r="H825" s="20" t="n">
        <v>1</v>
      </c>
      <c r="I825" s="20" t="n">
        <v>121</v>
      </c>
      <c r="J825" s="20" t="n">
        <v>1</v>
      </c>
      <c r="K825" s="21" t="n">
        <v>1</v>
      </c>
      <c r="L825" s="20" t="n">
        <v>1</v>
      </c>
      <c r="M825" s="20"/>
      <c r="N825" s="20"/>
      <c r="O825" s="20" t="n">
        <v>1</v>
      </c>
      <c r="P825" s="22" t="s">
        <v>107</v>
      </c>
    </row>
    <row r="826" customFormat="false" ht="15" hidden="false" customHeight="false" outlineLevel="0" collapsed="false">
      <c r="A826" s="19" t="n">
        <v>825</v>
      </c>
      <c r="B826" s="20" t="n">
        <v>64</v>
      </c>
      <c r="C826" s="20" t="n">
        <v>1</v>
      </c>
      <c r="D826" s="20" t="n">
        <v>4</v>
      </c>
      <c r="E826" s="20" t="n">
        <v>130</v>
      </c>
      <c r="F826" s="20" t="n">
        <v>223</v>
      </c>
      <c r="G826" s="20" t="n">
        <v>0</v>
      </c>
      <c r="H826" s="20" t="n">
        <v>1</v>
      </c>
      <c r="I826" s="20" t="n">
        <v>128</v>
      </c>
      <c r="J826" s="20" t="n">
        <v>0</v>
      </c>
      <c r="K826" s="21" t="n">
        <v>0.5</v>
      </c>
      <c r="L826" s="20" t="n">
        <v>2</v>
      </c>
      <c r="M826" s="20"/>
      <c r="N826" s="20"/>
      <c r="O826" s="20" t="n">
        <v>0</v>
      </c>
      <c r="P826" s="22" t="s">
        <v>107</v>
      </c>
    </row>
    <row r="827" customFormat="false" ht="15" hidden="false" customHeight="false" outlineLevel="0" collapsed="false">
      <c r="A827" s="19" t="n">
        <v>826</v>
      </c>
      <c r="B827" s="20" t="n">
        <v>61</v>
      </c>
      <c r="C827" s="20" t="n">
        <v>1</v>
      </c>
      <c r="D827" s="20" t="n">
        <v>4</v>
      </c>
      <c r="E827" s="20" t="n">
        <v>120</v>
      </c>
      <c r="F827" s="20" t="n">
        <v>282</v>
      </c>
      <c r="G827" s="20" t="n">
        <v>0</v>
      </c>
      <c r="H827" s="20" t="n">
        <v>1</v>
      </c>
      <c r="I827" s="20" t="n">
        <v>135</v>
      </c>
      <c r="J827" s="20" t="n">
        <v>1</v>
      </c>
      <c r="K827" s="21" t="n">
        <v>4</v>
      </c>
      <c r="L827" s="20" t="n">
        <v>3</v>
      </c>
      <c r="M827" s="20"/>
      <c r="N827" s="20" t="n">
        <v>6</v>
      </c>
      <c r="O827" s="20" t="n">
        <v>3</v>
      </c>
      <c r="P827" s="22" t="s">
        <v>107</v>
      </c>
    </row>
    <row r="828" customFormat="false" ht="15" hidden="false" customHeight="false" outlineLevel="0" collapsed="false">
      <c r="A828" s="19" t="n">
        <v>827</v>
      </c>
      <c r="B828" s="20" t="n">
        <v>50</v>
      </c>
      <c r="C828" s="20" t="n">
        <v>1</v>
      </c>
      <c r="D828" s="20" t="n">
        <v>4</v>
      </c>
      <c r="E828" s="20" t="n">
        <v>144</v>
      </c>
      <c r="F828" s="20" t="n">
        <v>349</v>
      </c>
      <c r="G828" s="20" t="n">
        <v>0</v>
      </c>
      <c r="H828" s="20" t="n">
        <v>2</v>
      </c>
      <c r="I828" s="20" t="n">
        <v>120</v>
      </c>
      <c r="J828" s="20" t="n">
        <v>1</v>
      </c>
      <c r="K828" s="21" t="n">
        <v>1</v>
      </c>
      <c r="L828" s="20" t="n">
        <v>1</v>
      </c>
      <c r="M828" s="20"/>
      <c r="N828" s="20" t="n">
        <v>7</v>
      </c>
      <c r="O828" s="20" t="n">
        <v>1</v>
      </c>
      <c r="P828" s="22" t="s">
        <v>107</v>
      </c>
    </row>
    <row r="829" customFormat="false" ht="15" hidden="false" customHeight="false" outlineLevel="0" collapsed="false">
      <c r="A829" s="19" t="n">
        <v>828</v>
      </c>
      <c r="B829" s="20" t="n">
        <v>59</v>
      </c>
      <c r="C829" s="20" t="n">
        <v>1</v>
      </c>
      <c r="D829" s="20" t="n">
        <v>4</v>
      </c>
      <c r="E829" s="20" t="n">
        <v>124</v>
      </c>
      <c r="F829" s="20"/>
      <c r="G829" s="20" t="n">
        <v>0</v>
      </c>
      <c r="H829" s="20" t="n">
        <v>0</v>
      </c>
      <c r="I829" s="20" t="n">
        <v>117</v>
      </c>
      <c r="J829" s="20" t="n">
        <v>1</v>
      </c>
      <c r="K829" s="21" t="n">
        <v>1</v>
      </c>
      <c r="L829" s="20" t="n">
        <v>2</v>
      </c>
      <c r="M829" s="20"/>
      <c r="N829" s="20"/>
      <c r="O829" s="20" t="n">
        <v>1</v>
      </c>
      <c r="P829" s="22" t="s">
        <v>107</v>
      </c>
    </row>
    <row r="830" customFormat="false" ht="15" hidden="false" customHeight="false" outlineLevel="0" collapsed="false">
      <c r="A830" s="19" t="n">
        <v>829</v>
      </c>
      <c r="B830" s="20" t="n">
        <v>55</v>
      </c>
      <c r="C830" s="20" t="n">
        <v>1</v>
      </c>
      <c r="D830" s="20" t="n">
        <v>4</v>
      </c>
      <c r="E830" s="20" t="n">
        <v>150</v>
      </c>
      <c r="F830" s="20" t="n">
        <v>160</v>
      </c>
      <c r="G830" s="20" t="n">
        <v>0</v>
      </c>
      <c r="H830" s="20" t="n">
        <v>1</v>
      </c>
      <c r="I830" s="20" t="n">
        <v>150</v>
      </c>
      <c r="J830" s="20" t="n">
        <v>0</v>
      </c>
      <c r="K830" s="21" t="n">
        <v>0</v>
      </c>
      <c r="L830" s="20"/>
      <c r="M830" s="20"/>
      <c r="N830" s="20"/>
      <c r="O830" s="20" t="n">
        <v>0</v>
      </c>
      <c r="P830" s="22" t="s">
        <v>107</v>
      </c>
    </row>
    <row r="831" customFormat="false" ht="15" hidden="false" customHeight="false" outlineLevel="0" collapsed="false">
      <c r="A831" s="19" t="n">
        <v>830</v>
      </c>
      <c r="B831" s="20" t="n">
        <v>45</v>
      </c>
      <c r="C831" s="20" t="n">
        <v>1</v>
      </c>
      <c r="D831" s="20" t="n">
        <v>3</v>
      </c>
      <c r="E831" s="20"/>
      <c r="F831" s="20" t="n">
        <v>236</v>
      </c>
      <c r="G831" s="20" t="n">
        <v>0</v>
      </c>
      <c r="H831" s="20" t="n">
        <v>0</v>
      </c>
      <c r="I831" s="20"/>
      <c r="J831" s="20"/>
      <c r="K831" s="21"/>
      <c r="L831" s="20"/>
      <c r="M831" s="20"/>
      <c r="N831" s="20"/>
      <c r="O831" s="20" t="n">
        <v>0</v>
      </c>
      <c r="P831" s="22" t="s">
        <v>107</v>
      </c>
    </row>
    <row r="832" customFormat="false" ht="15" hidden="false" customHeight="false" outlineLevel="0" collapsed="false">
      <c r="A832" s="19" t="n">
        <v>831</v>
      </c>
      <c r="B832" s="20" t="n">
        <v>65</v>
      </c>
      <c r="C832" s="20" t="n">
        <v>1</v>
      </c>
      <c r="D832" s="20" t="n">
        <v>4</v>
      </c>
      <c r="E832" s="20"/>
      <c r="F832" s="20" t="n">
        <v>312</v>
      </c>
      <c r="G832" s="20" t="n">
        <v>0</v>
      </c>
      <c r="H832" s="20" t="n">
        <v>2</v>
      </c>
      <c r="I832" s="20"/>
      <c r="J832" s="20"/>
      <c r="K832" s="21"/>
      <c r="L832" s="20"/>
      <c r="M832" s="20"/>
      <c r="N832" s="20"/>
      <c r="O832" s="20" t="n">
        <v>3</v>
      </c>
      <c r="P832" s="22" t="s">
        <v>107</v>
      </c>
    </row>
    <row r="833" customFormat="false" ht="15" hidden="false" customHeight="false" outlineLevel="0" collapsed="false">
      <c r="A833" s="19" t="n">
        <v>832</v>
      </c>
      <c r="B833" s="20" t="n">
        <v>61</v>
      </c>
      <c r="C833" s="20" t="n">
        <v>1</v>
      </c>
      <c r="D833" s="20" t="n">
        <v>2</v>
      </c>
      <c r="E833" s="20"/>
      <c r="F833" s="20" t="n">
        <v>283</v>
      </c>
      <c r="G833" s="20" t="n">
        <v>0</v>
      </c>
      <c r="H833" s="20" t="n">
        <v>0</v>
      </c>
      <c r="I833" s="20"/>
      <c r="J833" s="20"/>
      <c r="K833" s="21"/>
      <c r="L833" s="20"/>
      <c r="M833" s="20"/>
      <c r="N833" s="20"/>
      <c r="O833" s="20" t="n">
        <v>0</v>
      </c>
      <c r="P833" s="22" t="s">
        <v>107</v>
      </c>
    </row>
    <row r="834" customFormat="false" ht="15" hidden="false" customHeight="false" outlineLevel="0" collapsed="false">
      <c r="A834" s="19" t="n">
        <v>833</v>
      </c>
      <c r="B834" s="20" t="n">
        <v>49</v>
      </c>
      <c r="C834" s="20" t="n">
        <v>1</v>
      </c>
      <c r="D834" s="20" t="n">
        <v>3</v>
      </c>
      <c r="E834" s="20"/>
      <c r="F834" s="20" t="n">
        <v>142</v>
      </c>
      <c r="G834" s="20" t="n">
        <v>0</v>
      </c>
      <c r="H834" s="20" t="n">
        <v>0</v>
      </c>
      <c r="I834" s="20"/>
      <c r="J834" s="20"/>
      <c r="K834" s="21"/>
      <c r="L834" s="20"/>
      <c r="M834" s="20"/>
      <c r="N834" s="20"/>
      <c r="O834" s="20" t="n">
        <v>3</v>
      </c>
      <c r="P834" s="22" t="s">
        <v>107</v>
      </c>
    </row>
    <row r="835" customFormat="false" ht="15" hidden="false" customHeight="false" outlineLevel="0" collapsed="false">
      <c r="A835" s="19" t="n">
        <v>834</v>
      </c>
      <c r="B835" s="20" t="n">
        <v>72</v>
      </c>
      <c r="C835" s="20" t="n">
        <v>1</v>
      </c>
      <c r="D835" s="20" t="n">
        <v>4</v>
      </c>
      <c r="E835" s="20"/>
      <c r="F835" s="20" t="n">
        <v>211</v>
      </c>
      <c r="G835" s="20" t="n">
        <v>0</v>
      </c>
      <c r="H835" s="20" t="n">
        <v>0</v>
      </c>
      <c r="I835" s="20"/>
      <c r="J835" s="20"/>
      <c r="K835" s="21"/>
      <c r="L835" s="20"/>
      <c r="M835" s="20"/>
      <c r="N835" s="20"/>
      <c r="O835" s="20" t="n">
        <v>1</v>
      </c>
      <c r="P835" s="22" t="s">
        <v>107</v>
      </c>
    </row>
    <row r="836" customFormat="false" ht="15" hidden="false" customHeight="false" outlineLevel="0" collapsed="false">
      <c r="A836" s="19" t="n">
        <v>835</v>
      </c>
      <c r="B836" s="20" t="n">
        <v>50</v>
      </c>
      <c r="C836" s="20" t="n">
        <v>1</v>
      </c>
      <c r="D836" s="20" t="n">
        <v>4</v>
      </c>
      <c r="E836" s="20"/>
      <c r="F836" s="20" t="n">
        <v>218</v>
      </c>
      <c r="G836" s="20" t="n">
        <v>0</v>
      </c>
      <c r="H836" s="20" t="n">
        <v>0</v>
      </c>
      <c r="I836" s="20"/>
      <c r="J836" s="20"/>
      <c r="K836" s="21"/>
      <c r="L836" s="20"/>
      <c r="M836" s="20"/>
      <c r="N836" s="20"/>
      <c r="O836" s="20" t="n">
        <v>1</v>
      </c>
      <c r="P836" s="22" t="s">
        <v>107</v>
      </c>
    </row>
    <row r="837" customFormat="false" ht="15" hidden="false" customHeight="false" outlineLevel="0" collapsed="false">
      <c r="A837" s="19" t="n">
        <v>836</v>
      </c>
      <c r="B837" s="20" t="n">
        <v>64</v>
      </c>
      <c r="C837" s="20" t="n">
        <v>1</v>
      </c>
      <c r="D837" s="20" t="n">
        <v>4</v>
      </c>
      <c r="E837" s="20"/>
      <c r="F837" s="20" t="n">
        <v>306</v>
      </c>
      <c r="G837" s="20" t="n">
        <v>1</v>
      </c>
      <c r="H837" s="20" t="n">
        <v>1</v>
      </c>
      <c r="I837" s="20"/>
      <c r="J837" s="20"/>
      <c r="K837" s="21"/>
      <c r="L837" s="20"/>
      <c r="M837" s="20"/>
      <c r="N837" s="20"/>
      <c r="O837" s="20" t="n">
        <v>3</v>
      </c>
      <c r="P837" s="22" t="s">
        <v>107</v>
      </c>
    </row>
    <row r="838" customFormat="false" ht="15" hidden="false" customHeight="false" outlineLevel="0" collapsed="false">
      <c r="A838" s="19" t="n">
        <v>837</v>
      </c>
      <c r="B838" s="20" t="n">
        <v>55</v>
      </c>
      <c r="C838" s="20" t="n">
        <v>1</v>
      </c>
      <c r="D838" s="20" t="n">
        <v>4</v>
      </c>
      <c r="E838" s="20" t="n">
        <v>116</v>
      </c>
      <c r="F838" s="20" t="n">
        <v>186</v>
      </c>
      <c r="G838" s="20" t="n">
        <v>1</v>
      </c>
      <c r="H838" s="20" t="n">
        <v>1</v>
      </c>
      <c r="I838" s="20" t="n">
        <v>102</v>
      </c>
      <c r="J838" s="20" t="n">
        <v>0</v>
      </c>
      <c r="K838" s="21" t="n">
        <v>0</v>
      </c>
      <c r="L838" s="20"/>
      <c r="M838" s="20"/>
      <c r="N838" s="20"/>
      <c r="O838" s="20" t="n">
        <v>2</v>
      </c>
      <c r="P838" s="22" t="s">
        <v>107</v>
      </c>
    </row>
    <row r="839" customFormat="false" ht="15" hidden="false" customHeight="false" outlineLevel="0" collapsed="false">
      <c r="A839" s="19" t="n">
        <v>838</v>
      </c>
      <c r="B839" s="20" t="n">
        <v>63</v>
      </c>
      <c r="C839" s="20" t="n">
        <v>1</v>
      </c>
      <c r="D839" s="20" t="n">
        <v>4</v>
      </c>
      <c r="E839" s="20" t="n">
        <v>110</v>
      </c>
      <c r="F839" s="20" t="n">
        <v>252</v>
      </c>
      <c r="G839" s="20" t="n">
        <v>0</v>
      </c>
      <c r="H839" s="20" t="n">
        <v>1</v>
      </c>
      <c r="I839" s="20" t="n">
        <v>140</v>
      </c>
      <c r="J839" s="20" t="n">
        <v>1</v>
      </c>
      <c r="K839" s="21" t="n">
        <v>2</v>
      </c>
      <c r="L839" s="20" t="n">
        <v>2</v>
      </c>
      <c r="M839" s="20"/>
      <c r="N839" s="20"/>
      <c r="O839" s="20" t="n">
        <v>2</v>
      </c>
      <c r="P839" s="22" t="s">
        <v>107</v>
      </c>
    </row>
    <row r="840" customFormat="false" ht="15" hidden="false" customHeight="false" outlineLevel="0" collapsed="false">
      <c r="A840" s="19" t="n">
        <v>839</v>
      </c>
      <c r="B840" s="20" t="n">
        <v>59</v>
      </c>
      <c r="C840" s="20" t="n">
        <v>1</v>
      </c>
      <c r="D840" s="20" t="n">
        <v>4</v>
      </c>
      <c r="E840" s="20" t="n">
        <v>125</v>
      </c>
      <c r="F840" s="20" t="n">
        <v>222</v>
      </c>
      <c r="G840" s="20" t="n">
        <v>0</v>
      </c>
      <c r="H840" s="20" t="n">
        <v>0</v>
      </c>
      <c r="I840" s="20" t="n">
        <v>135</v>
      </c>
      <c r="J840" s="20" t="n">
        <v>1</v>
      </c>
      <c r="K840" s="21" t="n">
        <v>2.5</v>
      </c>
      <c r="L840" s="20" t="n">
        <v>3</v>
      </c>
      <c r="M840" s="20"/>
      <c r="N840" s="20"/>
      <c r="O840" s="20" t="n">
        <v>3</v>
      </c>
      <c r="P840" s="22" t="s">
        <v>107</v>
      </c>
    </row>
    <row r="841" customFormat="false" ht="15" hidden="false" customHeight="false" outlineLevel="0" collapsed="false">
      <c r="A841" s="19" t="n">
        <v>840</v>
      </c>
      <c r="B841" s="20" t="n">
        <v>56</v>
      </c>
      <c r="C841" s="20" t="n">
        <v>1</v>
      </c>
      <c r="D841" s="20" t="n">
        <v>4</v>
      </c>
      <c r="E841" s="20"/>
      <c r="F841" s="23" t="n">
        <v>0</v>
      </c>
      <c r="G841" s="20" t="n">
        <v>0</v>
      </c>
      <c r="H841" s="20" t="n">
        <v>2</v>
      </c>
      <c r="I841" s="20"/>
      <c r="J841" s="20"/>
      <c r="K841" s="21"/>
      <c r="L841" s="20"/>
      <c r="M841" s="20"/>
      <c r="N841" s="20"/>
      <c r="O841" s="20" t="n">
        <v>1</v>
      </c>
      <c r="P841" s="22" t="s">
        <v>107</v>
      </c>
    </row>
    <row r="842" customFormat="false" ht="15" hidden="false" customHeight="false" outlineLevel="0" collapsed="false">
      <c r="A842" s="19" t="n">
        <v>841</v>
      </c>
      <c r="B842" s="20" t="n">
        <v>62</v>
      </c>
      <c r="C842" s="20" t="n">
        <v>1</v>
      </c>
      <c r="D842" s="20" t="n">
        <v>3</v>
      </c>
      <c r="E842" s="20"/>
      <c r="F842" s="23" t="n">
        <v>0</v>
      </c>
      <c r="G842" s="20" t="n">
        <v>1</v>
      </c>
      <c r="H842" s="20" t="n">
        <v>1</v>
      </c>
      <c r="I842" s="20"/>
      <c r="J842" s="20"/>
      <c r="K842" s="21"/>
      <c r="L842" s="20"/>
      <c r="M842" s="20"/>
      <c r="N842" s="20"/>
      <c r="O842" s="20" t="n">
        <v>2</v>
      </c>
      <c r="P842" s="22" t="s">
        <v>107</v>
      </c>
    </row>
    <row r="843" customFormat="false" ht="15" hidden="false" customHeight="false" outlineLevel="0" collapsed="false">
      <c r="A843" s="19" t="n">
        <v>842</v>
      </c>
      <c r="B843" s="20" t="n">
        <v>74</v>
      </c>
      <c r="C843" s="20" t="n">
        <v>1</v>
      </c>
      <c r="D843" s="20" t="n">
        <v>4</v>
      </c>
      <c r="E843" s="20" t="n">
        <v>150</v>
      </c>
      <c r="F843" s="20" t="n">
        <v>258</v>
      </c>
      <c r="G843" s="20" t="n">
        <v>1</v>
      </c>
      <c r="H843" s="20" t="n">
        <v>1</v>
      </c>
      <c r="I843" s="20" t="n">
        <v>130</v>
      </c>
      <c r="J843" s="20" t="n">
        <v>1</v>
      </c>
      <c r="K843" s="21" t="n">
        <v>4</v>
      </c>
      <c r="L843" s="20" t="n">
        <v>3</v>
      </c>
      <c r="M843" s="20"/>
      <c r="N843" s="20"/>
      <c r="O843" s="20" t="n">
        <v>3</v>
      </c>
      <c r="P843" s="22" t="s">
        <v>107</v>
      </c>
    </row>
    <row r="844" customFormat="false" ht="15" hidden="false" customHeight="false" outlineLevel="0" collapsed="false">
      <c r="A844" s="19" t="n">
        <v>843</v>
      </c>
      <c r="B844" s="20" t="n">
        <v>54</v>
      </c>
      <c r="C844" s="20" t="n">
        <v>1</v>
      </c>
      <c r="D844" s="20" t="n">
        <v>4</v>
      </c>
      <c r="E844" s="20" t="n">
        <v>130</v>
      </c>
      <c r="F844" s="20" t="n">
        <v>202</v>
      </c>
      <c r="G844" s="20" t="n">
        <v>1</v>
      </c>
      <c r="H844" s="20" t="n">
        <v>0</v>
      </c>
      <c r="I844" s="20" t="n">
        <v>112</v>
      </c>
      <c r="J844" s="20" t="n">
        <v>1</v>
      </c>
      <c r="K844" s="21" t="n">
        <v>2</v>
      </c>
      <c r="L844" s="20" t="n">
        <v>2</v>
      </c>
      <c r="M844" s="20"/>
      <c r="N844" s="20"/>
      <c r="O844" s="20" t="n">
        <v>1</v>
      </c>
      <c r="P844" s="22" t="s">
        <v>107</v>
      </c>
    </row>
    <row r="845" customFormat="false" ht="15" hidden="false" customHeight="false" outlineLevel="0" collapsed="false">
      <c r="A845" s="19" t="n">
        <v>844</v>
      </c>
      <c r="B845" s="20" t="n">
        <v>57</v>
      </c>
      <c r="C845" s="20" t="n">
        <v>1</v>
      </c>
      <c r="D845" s="20" t="n">
        <v>4</v>
      </c>
      <c r="E845" s="20" t="n">
        <v>110</v>
      </c>
      <c r="F845" s="20" t="n">
        <v>197</v>
      </c>
      <c r="G845" s="20" t="n">
        <v>0</v>
      </c>
      <c r="H845" s="20" t="n">
        <v>2</v>
      </c>
      <c r="I845" s="20" t="n">
        <v>100</v>
      </c>
      <c r="J845" s="20" t="n">
        <v>0</v>
      </c>
      <c r="K845" s="21" t="n">
        <v>0</v>
      </c>
      <c r="L845" s="20"/>
      <c r="M845" s="20"/>
      <c r="N845" s="20"/>
      <c r="O845" s="20" t="n">
        <v>0</v>
      </c>
      <c r="P845" s="22" t="s">
        <v>107</v>
      </c>
    </row>
    <row r="846" customFormat="false" ht="15" hidden="false" customHeight="false" outlineLevel="0" collapsed="false">
      <c r="A846" s="19" t="n">
        <v>845</v>
      </c>
      <c r="B846" s="20" t="n">
        <v>62</v>
      </c>
      <c r="C846" s="20" t="n">
        <v>1</v>
      </c>
      <c r="D846" s="20" t="n">
        <v>3</v>
      </c>
      <c r="E846" s="20"/>
      <c r="F846" s="20" t="n">
        <v>204</v>
      </c>
      <c r="G846" s="20" t="n">
        <v>0</v>
      </c>
      <c r="H846" s="20" t="n">
        <v>1</v>
      </c>
      <c r="I846" s="20"/>
      <c r="J846" s="20"/>
      <c r="K846" s="21"/>
      <c r="L846" s="20"/>
      <c r="M846" s="20"/>
      <c r="N846" s="20"/>
      <c r="O846" s="20" t="n">
        <v>1</v>
      </c>
      <c r="P846" s="22" t="s">
        <v>107</v>
      </c>
    </row>
    <row r="847" customFormat="false" ht="15" hidden="false" customHeight="false" outlineLevel="0" collapsed="false">
      <c r="A847" s="19" t="n">
        <v>846</v>
      </c>
      <c r="B847" s="20" t="n">
        <v>76</v>
      </c>
      <c r="C847" s="20" t="n">
        <v>1</v>
      </c>
      <c r="D847" s="20" t="n">
        <v>3</v>
      </c>
      <c r="E847" s="20" t="n">
        <v>104</v>
      </c>
      <c r="F847" s="20"/>
      <c r="G847" s="20" t="n">
        <v>0</v>
      </c>
      <c r="H847" s="20" t="n">
        <v>2</v>
      </c>
      <c r="I847" s="20" t="n">
        <v>120</v>
      </c>
      <c r="J847" s="20" t="n">
        <v>0</v>
      </c>
      <c r="K847" s="21" t="n">
        <v>3.5</v>
      </c>
      <c r="L847" s="20" t="n">
        <v>3</v>
      </c>
      <c r="M847" s="20"/>
      <c r="N847" s="20"/>
      <c r="O847" s="20" t="n">
        <v>4</v>
      </c>
      <c r="P847" s="22" t="s">
        <v>107</v>
      </c>
    </row>
    <row r="848" customFormat="false" ht="15" hidden="false" customHeight="false" outlineLevel="0" collapsed="false">
      <c r="A848" s="19" t="n">
        <v>847</v>
      </c>
      <c r="B848" s="20" t="n">
        <v>54</v>
      </c>
      <c r="C848" s="20" t="n">
        <v>0</v>
      </c>
      <c r="D848" s="20" t="n">
        <v>4</v>
      </c>
      <c r="E848" s="20" t="n">
        <v>138</v>
      </c>
      <c r="F848" s="20" t="n">
        <v>274</v>
      </c>
      <c r="G848" s="20" t="n">
        <v>0</v>
      </c>
      <c r="H848" s="20" t="n">
        <v>0</v>
      </c>
      <c r="I848" s="20" t="n">
        <v>105</v>
      </c>
      <c r="J848" s="20" t="n">
        <v>1</v>
      </c>
      <c r="K848" s="21" t="n">
        <v>1.5</v>
      </c>
      <c r="L848" s="20" t="n">
        <v>2</v>
      </c>
      <c r="M848" s="20"/>
      <c r="N848" s="20"/>
      <c r="O848" s="20" t="n">
        <v>1</v>
      </c>
      <c r="P848" s="22" t="s">
        <v>107</v>
      </c>
    </row>
    <row r="849" customFormat="false" ht="15" hidden="false" customHeight="false" outlineLevel="0" collapsed="false">
      <c r="A849" s="19" t="n">
        <v>848</v>
      </c>
      <c r="B849" s="20" t="n">
        <v>70</v>
      </c>
      <c r="C849" s="20" t="n">
        <v>1</v>
      </c>
      <c r="D849" s="20" t="n">
        <v>4</v>
      </c>
      <c r="E849" s="20" t="n">
        <v>170</v>
      </c>
      <c r="F849" s="20" t="n">
        <v>192</v>
      </c>
      <c r="G849" s="20" t="n">
        <v>0</v>
      </c>
      <c r="H849" s="20" t="n">
        <v>1</v>
      </c>
      <c r="I849" s="20" t="n">
        <v>129</v>
      </c>
      <c r="J849" s="20" t="n">
        <v>1</v>
      </c>
      <c r="K849" s="21" t="n">
        <v>3</v>
      </c>
      <c r="L849" s="20" t="n">
        <v>3</v>
      </c>
      <c r="M849" s="20"/>
      <c r="N849" s="20"/>
      <c r="O849" s="20" t="n">
        <v>2</v>
      </c>
      <c r="P849" s="22" t="s">
        <v>107</v>
      </c>
    </row>
    <row r="850" customFormat="false" ht="15" hidden="false" customHeight="false" outlineLevel="0" collapsed="false">
      <c r="A850" s="19" t="n">
        <v>849</v>
      </c>
      <c r="B850" s="20" t="n">
        <v>61</v>
      </c>
      <c r="C850" s="20" t="n">
        <v>0</v>
      </c>
      <c r="D850" s="20" t="n">
        <v>2</v>
      </c>
      <c r="E850" s="20" t="n">
        <v>140</v>
      </c>
      <c r="F850" s="20" t="n">
        <v>298</v>
      </c>
      <c r="G850" s="20" t="n">
        <v>1</v>
      </c>
      <c r="H850" s="20" t="n">
        <v>0</v>
      </c>
      <c r="I850" s="20" t="n">
        <v>120</v>
      </c>
      <c r="J850" s="20" t="n">
        <v>1</v>
      </c>
      <c r="K850" s="21" t="n">
        <v>0</v>
      </c>
      <c r="L850" s="20"/>
      <c r="M850" s="20"/>
      <c r="N850" s="20" t="n">
        <v>7</v>
      </c>
      <c r="O850" s="20" t="n">
        <v>0</v>
      </c>
      <c r="P850" s="22" t="s">
        <v>107</v>
      </c>
    </row>
    <row r="851" customFormat="false" ht="15" hidden="false" customHeight="false" outlineLevel="0" collapsed="false">
      <c r="A851" s="19" t="n">
        <v>850</v>
      </c>
      <c r="B851" s="20" t="n">
        <v>48</v>
      </c>
      <c r="C851" s="20" t="n">
        <v>1</v>
      </c>
      <c r="D851" s="20" t="n">
        <v>4</v>
      </c>
      <c r="E851" s="20"/>
      <c r="F851" s="20" t="n">
        <v>272</v>
      </c>
      <c r="G851" s="20" t="n">
        <v>0</v>
      </c>
      <c r="H851" s="20" t="n">
        <v>1</v>
      </c>
      <c r="I851" s="20"/>
      <c r="J851" s="20"/>
      <c r="K851" s="21"/>
      <c r="L851" s="20"/>
      <c r="M851" s="20"/>
      <c r="N851" s="20"/>
      <c r="O851" s="20" t="n">
        <v>0</v>
      </c>
      <c r="P851" s="22" t="s">
        <v>107</v>
      </c>
    </row>
    <row r="852" customFormat="false" ht="15" hidden="false" customHeight="false" outlineLevel="0" collapsed="false">
      <c r="A852" s="19" t="n">
        <v>851</v>
      </c>
      <c r="B852" s="20" t="n">
        <v>48</v>
      </c>
      <c r="C852" s="20" t="n">
        <v>1</v>
      </c>
      <c r="D852" s="20" t="n">
        <v>3</v>
      </c>
      <c r="E852" s="20" t="n">
        <v>132</v>
      </c>
      <c r="F852" s="20" t="n">
        <v>220</v>
      </c>
      <c r="G852" s="20" t="n">
        <v>1</v>
      </c>
      <c r="H852" s="20" t="n">
        <v>1</v>
      </c>
      <c r="I852" s="20" t="n">
        <v>162</v>
      </c>
      <c r="J852" s="20" t="n">
        <v>0</v>
      </c>
      <c r="K852" s="21" t="n">
        <v>0</v>
      </c>
      <c r="L852" s="20"/>
      <c r="M852" s="20"/>
      <c r="N852" s="20" t="n">
        <v>6</v>
      </c>
      <c r="O852" s="20" t="n">
        <v>1</v>
      </c>
      <c r="P852" s="22" t="s">
        <v>107</v>
      </c>
    </row>
    <row r="853" customFormat="false" ht="15" hidden="false" customHeight="false" outlineLevel="0" collapsed="false">
      <c r="A853" s="19" t="n">
        <v>852</v>
      </c>
      <c r="B853" s="20" t="n">
        <v>61</v>
      </c>
      <c r="C853" s="20" t="n">
        <v>1</v>
      </c>
      <c r="D853" s="20" t="n">
        <v>1</v>
      </c>
      <c r="E853" s="20" t="n">
        <v>142</v>
      </c>
      <c r="F853" s="20" t="n">
        <v>200</v>
      </c>
      <c r="G853" s="20" t="n">
        <v>1</v>
      </c>
      <c r="H853" s="20" t="n">
        <v>1</v>
      </c>
      <c r="I853" s="20" t="n">
        <v>100</v>
      </c>
      <c r="J853" s="20" t="n">
        <v>0</v>
      </c>
      <c r="K853" s="21" t="n">
        <v>1.5</v>
      </c>
      <c r="L853" s="20" t="n">
        <v>3</v>
      </c>
      <c r="M853" s="20"/>
      <c r="N853" s="20"/>
      <c r="O853" s="20" t="n">
        <v>3</v>
      </c>
      <c r="P853" s="22" t="s">
        <v>107</v>
      </c>
    </row>
    <row r="854" customFormat="false" ht="15" hidden="false" customHeight="false" outlineLevel="0" collapsed="false">
      <c r="A854" s="19" t="n">
        <v>853</v>
      </c>
      <c r="B854" s="20" t="n">
        <v>66</v>
      </c>
      <c r="C854" s="20" t="n">
        <v>1</v>
      </c>
      <c r="D854" s="20" t="n">
        <v>4</v>
      </c>
      <c r="E854" s="20" t="n">
        <v>112</v>
      </c>
      <c r="F854" s="20" t="n">
        <v>261</v>
      </c>
      <c r="G854" s="20" t="n">
        <v>0</v>
      </c>
      <c r="H854" s="20" t="n">
        <v>0</v>
      </c>
      <c r="I854" s="20" t="n">
        <v>140</v>
      </c>
      <c r="J854" s="20" t="n">
        <v>0</v>
      </c>
      <c r="K854" s="21" t="n">
        <v>1.5</v>
      </c>
      <c r="L854" s="20" t="n">
        <v>1</v>
      </c>
      <c r="M854" s="20"/>
      <c r="N854" s="20"/>
      <c r="O854" s="20" t="n">
        <v>1</v>
      </c>
      <c r="P854" s="22" t="s">
        <v>107</v>
      </c>
    </row>
    <row r="855" customFormat="false" ht="15" hidden="false" customHeight="false" outlineLevel="0" collapsed="false">
      <c r="A855" s="19" t="n">
        <v>854</v>
      </c>
      <c r="B855" s="20" t="n">
        <v>68</v>
      </c>
      <c r="C855" s="20" t="n">
        <v>1</v>
      </c>
      <c r="D855" s="20" t="n">
        <v>1</v>
      </c>
      <c r="E855" s="20"/>
      <c r="F855" s="20" t="n">
        <v>181</v>
      </c>
      <c r="G855" s="20" t="n">
        <v>1</v>
      </c>
      <c r="H855" s="20" t="n">
        <v>1</v>
      </c>
      <c r="I855" s="20"/>
      <c r="J855" s="20"/>
      <c r="K855" s="21"/>
      <c r="L855" s="20"/>
      <c r="M855" s="20"/>
      <c r="N855" s="20"/>
      <c r="O855" s="20" t="n">
        <v>0</v>
      </c>
      <c r="P855" s="22" t="s">
        <v>107</v>
      </c>
    </row>
    <row r="856" customFormat="false" ht="15" hidden="false" customHeight="false" outlineLevel="0" collapsed="false">
      <c r="A856" s="19" t="n">
        <v>855</v>
      </c>
      <c r="B856" s="20" t="n">
        <v>55</v>
      </c>
      <c r="C856" s="20" t="n">
        <v>1</v>
      </c>
      <c r="D856" s="20" t="n">
        <v>4</v>
      </c>
      <c r="E856" s="20" t="n">
        <v>172</v>
      </c>
      <c r="F856" s="20" t="n">
        <v>260</v>
      </c>
      <c r="G856" s="20" t="n">
        <v>0</v>
      </c>
      <c r="H856" s="20" t="n">
        <v>0</v>
      </c>
      <c r="I856" s="20" t="n">
        <v>73</v>
      </c>
      <c r="J856" s="20" t="n">
        <v>0</v>
      </c>
      <c r="K856" s="21" t="n">
        <v>2</v>
      </c>
      <c r="L856" s="20"/>
      <c r="M856" s="20"/>
      <c r="N856" s="20"/>
      <c r="O856" s="20" t="n">
        <v>3</v>
      </c>
      <c r="P856" s="22" t="s">
        <v>107</v>
      </c>
    </row>
    <row r="857" customFormat="false" ht="15" hidden="false" customHeight="false" outlineLevel="0" collapsed="false">
      <c r="A857" s="19" t="n">
        <v>856</v>
      </c>
      <c r="B857" s="20" t="n">
        <v>62</v>
      </c>
      <c r="C857" s="20" t="n">
        <v>1</v>
      </c>
      <c r="D857" s="20" t="n">
        <v>3</v>
      </c>
      <c r="E857" s="20" t="n">
        <v>120</v>
      </c>
      <c r="F857" s="20" t="n">
        <v>220</v>
      </c>
      <c r="G857" s="20" t="n">
        <v>0</v>
      </c>
      <c r="H857" s="20" t="n">
        <v>2</v>
      </c>
      <c r="I857" s="20" t="n">
        <v>86</v>
      </c>
      <c r="J857" s="20" t="n">
        <v>0</v>
      </c>
      <c r="K857" s="21" t="n">
        <v>0</v>
      </c>
      <c r="L857" s="20"/>
      <c r="M857" s="20"/>
      <c r="N857" s="20"/>
      <c r="O857" s="20" t="n">
        <v>0</v>
      </c>
      <c r="P857" s="22" t="s">
        <v>107</v>
      </c>
    </row>
    <row r="858" customFormat="false" ht="15" hidden="false" customHeight="false" outlineLevel="0" collapsed="false">
      <c r="A858" s="19" t="n">
        <v>857</v>
      </c>
      <c r="B858" s="20" t="n">
        <v>71</v>
      </c>
      <c r="C858" s="20" t="n">
        <v>1</v>
      </c>
      <c r="D858" s="20" t="n">
        <v>3</v>
      </c>
      <c r="E858" s="20"/>
      <c r="F858" s="20" t="n">
        <v>221</v>
      </c>
      <c r="G858" s="20" t="n">
        <v>0</v>
      </c>
      <c r="H858" s="20" t="n">
        <v>0</v>
      </c>
      <c r="I858" s="20"/>
      <c r="J858" s="20"/>
      <c r="K858" s="21"/>
      <c r="L858" s="20"/>
      <c r="M858" s="20"/>
      <c r="N858" s="20"/>
      <c r="O858" s="20" t="n">
        <v>3</v>
      </c>
      <c r="P858" s="22" t="s">
        <v>107</v>
      </c>
    </row>
    <row r="859" customFormat="false" ht="15" hidden="false" customHeight="false" outlineLevel="0" collapsed="false">
      <c r="A859" s="19" t="n">
        <v>858</v>
      </c>
      <c r="B859" s="20" t="n">
        <v>74</v>
      </c>
      <c r="C859" s="20" t="n">
        <v>1</v>
      </c>
      <c r="D859" s="20" t="n">
        <v>1</v>
      </c>
      <c r="E859" s="20"/>
      <c r="F859" s="20" t="n">
        <v>216</v>
      </c>
      <c r="G859" s="20" t="n">
        <v>1</v>
      </c>
      <c r="H859" s="20" t="n">
        <v>0</v>
      </c>
      <c r="I859" s="20"/>
      <c r="J859" s="20"/>
      <c r="K859" s="21"/>
      <c r="L859" s="20"/>
      <c r="M859" s="20"/>
      <c r="N859" s="20"/>
      <c r="O859" s="20" t="n">
        <v>3</v>
      </c>
      <c r="P859" s="22" t="s">
        <v>107</v>
      </c>
    </row>
    <row r="860" customFormat="false" ht="15" hidden="false" customHeight="false" outlineLevel="0" collapsed="false">
      <c r="A860" s="19" t="n">
        <v>859</v>
      </c>
      <c r="B860" s="20" t="n">
        <v>53</v>
      </c>
      <c r="C860" s="20" t="n">
        <v>1</v>
      </c>
      <c r="D860" s="20" t="n">
        <v>3</v>
      </c>
      <c r="E860" s="20" t="n">
        <v>155</v>
      </c>
      <c r="F860" s="20" t="n">
        <v>175</v>
      </c>
      <c r="G860" s="20" t="n">
        <v>1</v>
      </c>
      <c r="H860" s="20" t="n">
        <v>1</v>
      </c>
      <c r="I860" s="20" t="n">
        <v>160</v>
      </c>
      <c r="J860" s="20" t="n">
        <v>0</v>
      </c>
      <c r="K860" s="21"/>
      <c r="L860" s="20"/>
      <c r="M860" s="20"/>
      <c r="N860" s="20" t="n">
        <v>6</v>
      </c>
      <c r="O860" s="20" t="n">
        <v>0</v>
      </c>
      <c r="P860" s="22" t="s">
        <v>107</v>
      </c>
    </row>
    <row r="861" customFormat="false" ht="15" hidden="false" customHeight="false" outlineLevel="0" collapsed="false">
      <c r="A861" s="24" t="n">
        <v>860</v>
      </c>
      <c r="B861" s="20" t="n">
        <v>58</v>
      </c>
      <c r="C861" s="20" t="n">
        <v>1</v>
      </c>
      <c r="D861" s="20" t="n">
        <v>3</v>
      </c>
      <c r="E861" s="20" t="n">
        <v>150</v>
      </c>
      <c r="F861" s="20" t="n">
        <v>219</v>
      </c>
      <c r="G861" s="20" t="n">
        <v>0</v>
      </c>
      <c r="H861" s="20" t="n">
        <v>1</v>
      </c>
      <c r="I861" s="20" t="n">
        <v>118</v>
      </c>
      <c r="J861" s="20" t="n">
        <v>1</v>
      </c>
      <c r="K861" s="21" t="n">
        <v>0</v>
      </c>
      <c r="L861" s="20"/>
      <c r="M861" s="20"/>
      <c r="N861" s="20"/>
      <c r="O861" s="20" t="n">
        <v>2</v>
      </c>
      <c r="P861" s="22" t="s">
        <v>107</v>
      </c>
    </row>
    <row r="862" customFormat="false" ht="15" hidden="false" customHeight="false" outlineLevel="0" collapsed="false">
      <c r="A862" s="19" t="n">
        <v>861</v>
      </c>
      <c r="B862" s="20" t="n">
        <v>75</v>
      </c>
      <c r="C862" s="20" t="n">
        <v>1</v>
      </c>
      <c r="D862" s="20" t="n">
        <v>4</v>
      </c>
      <c r="E862" s="20" t="n">
        <v>160</v>
      </c>
      <c r="F862" s="20" t="n">
        <v>310</v>
      </c>
      <c r="G862" s="20" t="n">
        <v>1</v>
      </c>
      <c r="H862" s="20" t="n">
        <v>0</v>
      </c>
      <c r="I862" s="20" t="n">
        <v>112</v>
      </c>
      <c r="J862" s="20" t="n">
        <v>1</v>
      </c>
      <c r="K862" s="21" t="n">
        <v>2</v>
      </c>
      <c r="L862" s="20" t="n">
        <v>3</v>
      </c>
      <c r="M862" s="20"/>
      <c r="N862" s="20" t="n">
        <v>7</v>
      </c>
      <c r="O862" s="20" t="n">
        <v>0</v>
      </c>
      <c r="P862" s="22" t="s">
        <v>107</v>
      </c>
    </row>
    <row r="863" customFormat="false" ht="15" hidden="false" customHeight="false" outlineLevel="0" collapsed="false">
      <c r="A863" s="19" t="n">
        <v>862</v>
      </c>
      <c r="B863" s="20" t="n">
        <v>56</v>
      </c>
      <c r="C863" s="20" t="n">
        <v>1</v>
      </c>
      <c r="D863" s="20" t="n">
        <v>3</v>
      </c>
      <c r="E863" s="20"/>
      <c r="F863" s="20" t="n">
        <v>208</v>
      </c>
      <c r="G863" s="20" t="n">
        <v>1</v>
      </c>
      <c r="H863" s="20" t="n">
        <v>1</v>
      </c>
      <c r="I863" s="20"/>
      <c r="J863" s="20"/>
      <c r="K863" s="21"/>
      <c r="L863" s="20"/>
      <c r="M863" s="20"/>
      <c r="N863" s="20"/>
      <c r="O863" s="20" t="n">
        <v>4</v>
      </c>
      <c r="P863" s="22" t="s">
        <v>107</v>
      </c>
    </row>
    <row r="864" customFormat="false" ht="15" hidden="false" customHeight="false" outlineLevel="0" collapsed="false">
      <c r="A864" s="19" t="n">
        <v>863</v>
      </c>
      <c r="B864" s="20" t="n">
        <v>58</v>
      </c>
      <c r="C864" s="20" t="n">
        <v>1</v>
      </c>
      <c r="D864" s="20" t="n">
        <v>3</v>
      </c>
      <c r="E864" s="20"/>
      <c r="F864" s="20" t="n">
        <v>232</v>
      </c>
      <c r="G864" s="20" t="n">
        <v>0</v>
      </c>
      <c r="H864" s="20" t="n">
        <v>1</v>
      </c>
      <c r="I864" s="20"/>
      <c r="J864" s="20"/>
      <c r="K864" s="21"/>
      <c r="L864" s="20"/>
      <c r="M864" s="20"/>
      <c r="N864" s="20"/>
      <c r="O864" s="20" t="n">
        <v>2</v>
      </c>
      <c r="P864" s="22" t="s">
        <v>107</v>
      </c>
    </row>
    <row r="865" customFormat="false" ht="15" hidden="false" customHeight="false" outlineLevel="0" collapsed="false">
      <c r="A865" s="19" t="n">
        <v>864</v>
      </c>
      <c r="B865" s="20" t="n">
        <v>64</v>
      </c>
      <c r="C865" s="20" t="n">
        <v>1</v>
      </c>
      <c r="D865" s="20" t="n">
        <v>4</v>
      </c>
      <c r="E865" s="20" t="n">
        <v>134</v>
      </c>
      <c r="F865" s="20" t="n">
        <v>273</v>
      </c>
      <c r="G865" s="20" t="n">
        <v>0</v>
      </c>
      <c r="H865" s="20" t="n">
        <v>0</v>
      </c>
      <c r="I865" s="20" t="n">
        <v>102</v>
      </c>
      <c r="J865" s="20" t="n">
        <v>1</v>
      </c>
      <c r="K865" s="21" t="n">
        <v>4</v>
      </c>
      <c r="L865" s="20" t="n">
        <v>3</v>
      </c>
      <c r="M865" s="20"/>
      <c r="N865" s="20"/>
      <c r="O865" s="20" t="n">
        <v>4</v>
      </c>
      <c r="P865" s="22" t="s">
        <v>107</v>
      </c>
    </row>
    <row r="866" customFormat="false" ht="15" hidden="false" customHeight="false" outlineLevel="0" collapsed="false">
      <c r="A866" s="19" t="n">
        <v>865</v>
      </c>
      <c r="B866" s="20" t="n">
        <v>54</v>
      </c>
      <c r="C866" s="20" t="n">
        <v>1</v>
      </c>
      <c r="D866" s="20" t="n">
        <v>3</v>
      </c>
      <c r="E866" s="20"/>
      <c r="F866" s="20" t="n">
        <v>203</v>
      </c>
      <c r="G866" s="20" t="n">
        <v>0</v>
      </c>
      <c r="H866" s="20" t="n">
        <v>1</v>
      </c>
      <c r="I866" s="20"/>
      <c r="J866" s="20"/>
      <c r="K866" s="21"/>
      <c r="L866" s="20"/>
      <c r="M866" s="20"/>
      <c r="N866" s="20"/>
      <c r="O866" s="20" t="n">
        <v>0</v>
      </c>
      <c r="P866" s="22" t="s">
        <v>107</v>
      </c>
    </row>
    <row r="867" customFormat="false" ht="15" hidden="false" customHeight="false" outlineLevel="0" collapsed="false">
      <c r="A867" s="19" t="n">
        <v>866</v>
      </c>
      <c r="B867" s="20" t="n">
        <v>54</v>
      </c>
      <c r="C867" s="20" t="n">
        <v>1</v>
      </c>
      <c r="D867" s="20" t="n">
        <v>2</v>
      </c>
      <c r="E867" s="20"/>
      <c r="F867" s="20" t="n">
        <v>182</v>
      </c>
      <c r="G867" s="20" t="n">
        <v>0</v>
      </c>
      <c r="H867" s="20" t="n">
        <v>1</v>
      </c>
      <c r="I867" s="20"/>
      <c r="J867" s="20"/>
      <c r="K867" s="21"/>
      <c r="L867" s="20"/>
      <c r="M867" s="20"/>
      <c r="N867" s="20"/>
      <c r="O867" s="20" t="n">
        <v>0</v>
      </c>
      <c r="P867" s="22" t="s">
        <v>107</v>
      </c>
    </row>
    <row r="868" customFormat="false" ht="15" hidden="false" customHeight="false" outlineLevel="0" collapsed="false">
      <c r="A868" s="19" t="n">
        <v>867</v>
      </c>
      <c r="B868" s="20" t="n">
        <v>59</v>
      </c>
      <c r="C868" s="20" t="n">
        <v>1</v>
      </c>
      <c r="D868" s="20" t="n">
        <v>4</v>
      </c>
      <c r="E868" s="20" t="n">
        <v>140</v>
      </c>
      <c r="F868" s="20" t="n">
        <v>274</v>
      </c>
      <c r="G868" s="20" t="n">
        <v>0</v>
      </c>
      <c r="H868" s="20" t="n">
        <v>0</v>
      </c>
      <c r="I868" s="20" t="n">
        <v>154</v>
      </c>
      <c r="J868" s="20" t="n">
        <v>1</v>
      </c>
      <c r="K868" s="21" t="n">
        <v>2</v>
      </c>
      <c r="L868" s="20" t="n">
        <v>2</v>
      </c>
      <c r="M868" s="20"/>
      <c r="N868" s="20"/>
      <c r="O868" s="20" t="n">
        <v>0</v>
      </c>
      <c r="P868" s="22" t="s">
        <v>107</v>
      </c>
    </row>
    <row r="869" customFormat="false" ht="15" hidden="false" customHeight="false" outlineLevel="0" collapsed="false">
      <c r="A869" s="19" t="n">
        <v>868</v>
      </c>
      <c r="B869" s="20" t="n">
        <v>55</v>
      </c>
      <c r="C869" s="20" t="n">
        <v>1</v>
      </c>
      <c r="D869" s="20" t="n">
        <v>4</v>
      </c>
      <c r="E869" s="20"/>
      <c r="F869" s="20" t="n">
        <v>204</v>
      </c>
      <c r="G869" s="20" t="n">
        <v>1</v>
      </c>
      <c r="H869" s="20" t="n">
        <v>1</v>
      </c>
      <c r="I869" s="20"/>
      <c r="J869" s="20"/>
      <c r="K869" s="21"/>
      <c r="L869" s="20"/>
      <c r="M869" s="20"/>
      <c r="N869" s="20"/>
      <c r="O869" s="20" t="n">
        <v>1</v>
      </c>
      <c r="P869" s="22" t="s">
        <v>107</v>
      </c>
    </row>
    <row r="870" customFormat="false" ht="15" hidden="false" customHeight="false" outlineLevel="0" collapsed="false">
      <c r="A870" s="19" t="n">
        <v>869</v>
      </c>
      <c r="B870" s="20" t="n">
        <v>57</v>
      </c>
      <c r="C870" s="20" t="n">
        <v>1</v>
      </c>
      <c r="D870" s="20" t="n">
        <v>4</v>
      </c>
      <c r="E870" s="20" t="n">
        <v>144</v>
      </c>
      <c r="F870" s="20" t="n">
        <v>270</v>
      </c>
      <c r="G870" s="20" t="n">
        <v>1</v>
      </c>
      <c r="H870" s="20" t="n">
        <v>1</v>
      </c>
      <c r="I870" s="20" t="n">
        <v>160</v>
      </c>
      <c r="J870" s="20" t="n">
        <v>1</v>
      </c>
      <c r="K870" s="21" t="n">
        <v>2</v>
      </c>
      <c r="L870" s="20" t="n">
        <v>2</v>
      </c>
      <c r="M870" s="20"/>
      <c r="N870" s="20"/>
      <c r="O870" s="20" t="n">
        <v>3</v>
      </c>
      <c r="P870" s="22" t="s">
        <v>107</v>
      </c>
    </row>
    <row r="871" customFormat="false" ht="15" hidden="false" customHeight="false" outlineLevel="0" collapsed="false">
      <c r="A871" s="19" t="n">
        <v>870</v>
      </c>
      <c r="B871" s="20" t="n">
        <v>61</v>
      </c>
      <c r="C871" s="20" t="n">
        <v>1</v>
      </c>
      <c r="D871" s="20" t="n">
        <v>4</v>
      </c>
      <c r="E871" s="20"/>
      <c r="F871" s="20" t="n">
        <v>292</v>
      </c>
      <c r="G871" s="20" t="n">
        <v>0</v>
      </c>
      <c r="H871" s="20" t="n">
        <v>1</v>
      </c>
      <c r="I871" s="20"/>
      <c r="J871" s="20"/>
      <c r="K871" s="21"/>
      <c r="L871" s="20"/>
      <c r="M871" s="20"/>
      <c r="N871" s="20"/>
      <c r="O871" s="20" t="n">
        <v>3</v>
      </c>
      <c r="P871" s="22" t="s">
        <v>107</v>
      </c>
    </row>
    <row r="872" customFormat="false" ht="15" hidden="false" customHeight="false" outlineLevel="0" collapsed="false">
      <c r="A872" s="19" t="n">
        <v>871</v>
      </c>
      <c r="B872" s="20" t="n">
        <v>41</v>
      </c>
      <c r="C872" s="20" t="n">
        <v>1</v>
      </c>
      <c r="D872" s="20" t="n">
        <v>4</v>
      </c>
      <c r="E872" s="20" t="n">
        <v>150</v>
      </c>
      <c r="F872" s="20" t="n">
        <v>171</v>
      </c>
      <c r="G872" s="20" t="n">
        <v>0</v>
      </c>
      <c r="H872" s="20" t="n">
        <v>0</v>
      </c>
      <c r="I872" s="20" t="n">
        <v>128</v>
      </c>
      <c r="J872" s="20" t="n">
        <v>1</v>
      </c>
      <c r="K872" s="21" t="n">
        <v>1.5</v>
      </c>
      <c r="L872" s="20" t="n">
        <v>2</v>
      </c>
      <c r="M872" s="20"/>
      <c r="N872" s="20"/>
      <c r="O872" s="20" t="n">
        <v>0</v>
      </c>
      <c r="P872" s="22" t="s">
        <v>107</v>
      </c>
    </row>
    <row r="873" customFormat="false" ht="15" hidden="false" customHeight="false" outlineLevel="0" collapsed="false">
      <c r="A873" s="19" t="n">
        <v>872</v>
      </c>
      <c r="B873" s="20" t="n">
        <v>71</v>
      </c>
      <c r="C873" s="20" t="n">
        <v>1</v>
      </c>
      <c r="D873" s="20" t="n">
        <v>4</v>
      </c>
      <c r="E873" s="20" t="n">
        <v>130</v>
      </c>
      <c r="F873" s="20" t="n">
        <v>221</v>
      </c>
      <c r="G873" s="20" t="n">
        <v>0</v>
      </c>
      <c r="H873" s="20" t="n">
        <v>1</v>
      </c>
      <c r="I873" s="20" t="n">
        <v>115</v>
      </c>
      <c r="J873" s="20" t="n">
        <v>1</v>
      </c>
      <c r="K873" s="21" t="n">
        <v>0</v>
      </c>
      <c r="L873" s="20"/>
      <c r="M873" s="20"/>
      <c r="N873" s="20"/>
      <c r="O873" s="20" t="n">
        <v>3</v>
      </c>
      <c r="P873" s="22" t="s">
        <v>107</v>
      </c>
    </row>
    <row r="874" customFormat="false" ht="15" hidden="false" customHeight="false" outlineLevel="0" collapsed="false">
      <c r="A874" s="19" t="n">
        <v>873</v>
      </c>
      <c r="B874" s="20" t="n">
        <v>38</v>
      </c>
      <c r="C874" s="20" t="n">
        <v>1</v>
      </c>
      <c r="D874" s="20" t="n">
        <v>4</v>
      </c>
      <c r="E874" s="20" t="n">
        <v>110</v>
      </c>
      <c r="F874" s="20" t="n">
        <v>289</v>
      </c>
      <c r="G874" s="20" t="n">
        <v>0</v>
      </c>
      <c r="H874" s="20" t="n">
        <v>0</v>
      </c>
      <c r="I874" s="20" t="n">
        <v>105</v>
      </c>
      <c r="J874" s="20" t="n">
        <v>1</v>
      </c>
      <c r="K874" s="21" t="n">
        <v>1.5</v>
      </c>
      <c r="L874" s="20" t="n">
        <v>3</v>
      </c>
      <c r="M874" s="20"/>
      <c r="N874" s="20"/>
      <c r="O874" s="20" t="n">
        <v>1</v>
      </c>
      <c r="P874" s="22" t="s">
        <v>107</v>
      </c>
    </row>
    <row r="875" customFormat="false" ht="15" hidden="false" customHeight="false" outlineLevel="0" collapsed="false">
      <c r="A875" s="19" t="n">
        <v>874</v>
      </c>
      <c r="B875" s="20" t="n">
        <v>55</v>
      </c>
      <c r="C875" s="20" t="n">
        <v>1</v>
      </c>
      <c r="D875" s="20" t="n">
        <v>4</v>
      </c>
      <c r="E875" s="20" t="n">
        <v>158</v>
      </c>
      <c r="F875" s="20" t="n">
        <v>217</v>
      </c>
      <c r="G875" s="20" t="n">
        <v>0</v>
      </c>
      <c r="H875" s="20" t="n">
        <v>0</v>
      </c>
      <c r="I875" s="20" t="n">
        <v>110</v>
      </c>
      <c r="J875" s="20" t="n">
        <v>1</v>
      </c>
      <c r="K875" s="21" t="n">
        <v>2.5</v>
      </c>
      <c r="L875" s="20" t="n">
        <v>2</v>
      </c>
      <c r="M875" s="20"/>
      <c r="N875" s="20"/>
      <c r="O875" s="20" t="n">
        <v>1</v>
      </c>
      <c r="P875" s="22" t="s">
        <v>107</v>
      </c>
    </row>
    <row r="876" customFormat="false" ht="15" hidden="false" customHeight="false" outlineLevel="0" collapsed="false">
      <c r="A876" s="19" t="n">
        <v>875</v>
      </c>
      <c r="B876" s="20" t="n">
        <v>56</v>
      </c>
      <c r="C876" s="20" t="n">
        <v>1</v>
      </c>
      <c r="D876" s="20" t="n">
        <v>4</v>
      </c>
      <c r="E876" s="20" t="n">
        <v>128</v>
      </c>
      <c r="F876" s="20" t="n">
        <v>223</v>
      </c>
      <c r="G876" s="20" t="n">
        <v>0</v>
      </c>
      <c r="H876" s="20" t="n">
        <v>1</v>
      </c>
      <c r="I876" s="20" t="n">
        <v>119</v>
      </c>
      <c r="J876" s="20" t="n">
        <v>1</v>
      </c>
      <c r="K876" s="21" t="n">
        <v>2</v>
      </c>
      <c r="L876" s="20" t="n">
        <v>3</v>
      </c>
      <c r="M876" s="20"/>
      <c r="N876" s="20"/>
      <c r="O876" s="20" t="n">
        <v>2</v>
      </c>
      <c r="P876" s="22" t="s">
        <v>107</v>
      </c>
    </row>
    <row r="877" customFormat="false" ht="15" hidden="false" customHeight="false" outlineLevel="0" collapsed="false">
      <c r="A877" s="19" t="n">
        <v>876</v>
      </c>
      <c r="B877" s="20" t="n">
        <v>69</v>
      </c>
      <c r="C877" s="20" t="n">
        <v>1</v>
      </c>
      <c r="D877" s="20" t="n">
        <v>4</v>
      </c>
      <c r="E877" s="20"/>
      <c r="F877" s="20"/>
      <c r="G877" s="20" t="n">
        <v>1</v>
      </c>
      <c r="H877" s="20" t="n">
        <v>0</v>
      </c>
      <c r="I877" s="20"/>
      <c r="J877" s="20"/>
      <c r="K877" s="21"/>
      <c r="L877" s="20"/>
      <c r="M877" s="20"/>
      <c r="N877" s="20"/>
      <c r="O877" s="20" t="n">
        <v>2</v>
      </c>
      <c r="P877" s="22" t="s">
        <v>107</v>
      </c>
    </row>
    <row r="878" customFormat="false" ht="15" hidden="false" customHeight="false" outlineLevel="0" collapsed="false">
      <c r="A878" s="19" t="n">
        <v>877</v>
      </c>
      <c r="B878" s="20" t="n">
        <v>64</v>
      </c>
      <c r="C878" s="20" t="n">
        <v>1</v>
      </c>
      <c r="D878" s="20" t="n">
        <v>4</v>
      </c>
      <c r="E878" s="20" t="n">
        <v>150</v>
      </c>
      <c r="F878" s="20" t="n">
        <v>193</v>
      </c>
      <c r="G878" s="20" t="n">
        <v>0</v>
      </c>
      <c r="H878" s="20" t="n">
        <v>1</v>
      </c>
      <c r="I878" s="20" t="n">
        <v>135</v>
      </c>
      <c r="J878" s="20" t="n">
        <v>1</v>
      </c>
      <c r="K878" s="21" t="n">
        <v>0.5</v>
      </c>
      <c r="L878" s="20" t="n">
        <v>2</v>
      </c>
      <c r="M878" s="20"/>
      <c r="N878" s="20"/>
      <c r="O878" s="20" t="n">
        <v>2</v>
      </c>
      <c r="P878" s="22" t="s">
        <v>107</v>
      </c>
    </row>
    <row r="879" customFormat="false" ht="15" hidden="false" customHeight="false" outlineLevel="0" collapsed="false">
      <c r="A879" s="19" t="n">
        <v>878</v>
      </c>
      <c r="B879" s="20" t="n">
        <v>72</v>
      </c>
      <c r="C879" s="20" t="n">
        <v>1</v>
      </c>
      <c r="D879" s="20" t="n">
        <v>4</v>
      </c>
      <c r="E879" s="20" t="n">
        <v>160</v>
      </c>
      <c r="F879" s="20"/>
      <c r="G879" s="20" t="n">
        <v>1</v>
      </c>
      <c r="H879" s="20" t="n">
        <v>2</v>
      </c>
      <c r="I879" s="20" t="n">
        <v>130</v>
      </c>
      <c r="J879" s="20" t="n">
        <v>0</v>
      </c>
      <c r="K879" s="21" t="n">
        <v>1.5</v>
      </c>
      <c r="L879" s="20"/>
      <c r="M879" s="20"/>
      <c r="N879" s="20"/>
      <c r="O879" s="20" t="n">
        <v>2</v>
      </c>
      <c r="P879" s="22" t="s">
        <v>107</v>
      </c>
    </row>
    <row r="880" customFormat="false" ht="15" hidden="false" customHeight="false" outlineLevel="0" collapsed="false">
      <c r="A880" s="19" t="n">
        <v>879</v>
      </c>
      <c r="B880" s="20" t="n">
        <v>69</v>
      </c>
      <c r="C880" s="20" t="n">
        <v>1</v>
      </c>
      <c r="D880" s="20" t="n">
        <v>4</v>
      </c>
      <c r="E880" s="20"/>
      <c r="F880" s="20" t="n">
        <v>210</v>
      </c>
      <c r="G880" s="20" t="n">
        <v>1</v>
      </c>
      <c r="H880" s="20" t="n">
        <v>1</v>
      </c>
      <c r="I880" s="20"/>
      <c r="J880" s="20"/>
      <c r="K880" s="21"/>
      <c r="L880" s="20"/>
      <c r="M880" s="20"/>
      <c r="N880" s="20"/>
      <c r="O880" s="20" t="n">
        <v>2</v>
      </c>
      <c r="P880" s="22" t="s">
        <v>107</v>
      </c>
    </row>
    <row r="881" customFormat="false" ht="15" hidden="false" customHeight="false" outlineLevel="0" collapsed="false">
      <c r="A881" s="19" t="n">
        <v>880</v>
      </c>
      <c r="B881" s="20" t="n">
        <v>56</v>
      </c>
      <c r="C881" s="20" t="n">
        <v>1</v>
      </c>
      <c r="D881" s="20" t="n">
        <v>4</v>
      </c>
      <c r="E881" s="20"/>
      <c r="F881" s="20" t="n">
        <v>282</v>
      </c>
      <c r="G881" s="20" t="n">
        <v>1</v>
      </c>
      <c r="H881" s="20" t="n">
        <v>0</v>
      </c>
      <c r="I881" s="20"/>
      <c r="J881" s="20"/>
      <c r="K881" s="21"/>
      <c r="L881" s="20"/>
      <c r="M881" s="20"/>
      <c r="N881" s="20"/>
      <c r="O881" s="20" t="n">
        <v>1</v>
      </c>
      <c r="P881" s="22" t="s">
        <v>107</v>
      </c>
    </row>
    <row r="882" customFormat="false" ht="15" hidden="false" customHeight="false" outlineLevel="0" collapsed="false">
      <c r="A882" s="19" t="n">
        <v>881</v>
      </c>
      <c r="B882" s="20" t="n">
        <v>62</v>
      </c>
      <c r="C882" s="20" t="n">
        <v>1</v>
      </c>
      <c r="D882" s="20" t="n">
        <v>4</v>
      </c>
      <c r="E882" s="20"/>
      <c r="F882" s="20" t="n">
        <v>170</v>
      </c>
      <c r="G882" s="20" t="n">
        <v>0</v>
      </c>
      <c r="H882" s="20" t="n">
        <v>1</v>
      </c>
      <c r="I882" s="20" t="n">
        <v>120</v>
      </c>
      <c r="J882" s="20" t="n">
        <v>1</v>
      </c>
      <c r="K882" s="21" t="n">
        <v>3</v>
      </c>
      <c r="L882" s="20"/>
      <c r="M882" s="20"/>
      <c r="N882" s="20"/>
      <c r="O882" s="20" t="n">
        <v>4</v>
      </c>
      <c r="P882" s="22" t="s">
        <v>107</v>
      </c>
    </row>
    <row r="883" customFormat="false" ht="15" hidden="false" customHeight="false" outlineLevel="0" collapsed="false">
      <c r="A883" s="19" t="n">
        <v>882</v>
      </c>
      <c r="B883" s="20" t="n">
        <v>67</v>
      </c>
      <c r="C883" s="20" t="n">
        <v>1</v>
      </c>
      <c r="D883" s="20" t="n">
        <v>4</v>
      </c>
      <c r="E883" s="20"/>
      <c r="F883" s="20" t="n">
        <v>369</v>
      </c>
      <c r="G883" s="20" t="n">
        <v>0</v>
      </c>
      <c r="H883" s="20" t="n">
        <v>0</v>
      </c>
      <c r="I883" s="20"/>
      <c r="J883" s="20"/>
      <c r="K883" s="21"/>
      <c r="L883" s="20"/>
      <c r="M883" s="20"/>
      <c r="N883" s="20"/>
      <c r="O883" s="20" t="n">
        <v>3</v>
      </c>
      <c r="P883" s="22" t="s">
        <v>107</v>
      </c>
    </row>
    <row r="884" customFormat="false" ht="15" hidden="false" customHeight="false" outlineLevel="0" collapsed="false">
      <c r="A884" s="19" t="n">
        <v>883</v>
      </c>
      <c r="B884" s="20" t="n">
        <v>57</v>
      </c>
      <c r="C884" s="20" t="n">
        <v>1</v>
      </c>
      <c r="D884" s="20" t="n">
        <v>4</v>
      </c>
      <c r="E884" s="20" t="n">
        <v>156</v>
      </c>
      <c r="F884" s="20" t="n">
        <v>173</v>
      </c>
      <c r="G884" s="20" t="n">
        <v>0</v>
      </c>
      <c r="H884" s="20" t="n">
        <v>2</v>
      </c>
      <c r="I884" s="20" t="n">
        <v>119</v>
      </c>
      <c r="J884" s="20" t="n">
        <v>1</v>
      </c>
      <c r="K884" s="21" t="n">
        <v>3</v>
      </c>
      <c r="L884" s="20" t="n">
        <v>3</v>
      </c>
      <c r="M884" s="20"/>
      <c r="N884" s="20"/>
      <c r="O884" s="20" t="n">
        <v>3</v>
      </c>
      <c r="P884" s="22" t="s">
        <v>107</v>
      </c>
    </row>
    <row r="885" customFormat="false" ht="15" hidden="false" customHeight="false" outlineLevel="0" collapsed="false">
      <c r="A885" s="19" t="n">
        <v>884</v>
      </c>
      <c r="B885" s="20" t="n">
        <v>69</v>
      </c>
      <c r="C885" s="20" t="n">
        <v>1</v>
      </c>
      <c r="D885" s="20" t="n">
        <v>4</v>
      </c>
      <c r="E885" s="20"/>
      <c r="F885" s="20" t="n">
        <v>289</v>
      </c>
      <c r="G885" s="20" t="n">
        <v>1</v>
      </c>
      <c r="H885" s="20" t="n">
        <v>1</v>
      </c>
      <c r="I885" s="20"/>
      <c r="J885" s="20"/>
      <c r="K885" s="21"/>
      <c r="L885" s="20"/>
      <c r="M885" s="20"/>
      <c r="N885" s="20"/>
      <c r="O885" s="20" t="n">
        <v>3</v>
      </c>
      <c r="P885" s="22" t="s">
        <v>107</v>
      </c>
    </row>
    <row r="886" customFormat="false" ht="15" hidden="false" customHeight="false" outlineLevel="0" collapsed="false">
      <c r="A886" s="19" t="n">
        <v>885</v>
      </c>
      <c r="B886" s="20" t="n">
        <v>51</v>
      </c>
      <c r="C886" s="20" t="n">
        <v>1</v>
      </c>
      <c r="D886" s="20" t="n">
        <v>4</v>
      </c>
      <c r="E886" s="20"/>
      <c r="F886" s="20"/>
      <c r="G886" s="20" t="n">
        <v>1</v>
      </c>
      <c r="H886" s="20" t="n">
        <v>2</v>
      </c>
      <c r="I886" s="20"/>
      <c r="J886" s="20"/>
      <c r="K886" s="21"/>
      <c r="L886" s="20"/>
      <c r="M886" s="20"/>
      <c r="N886" s="20" t="n">
        <v>7</v>
      </c>
      <c r="O886" s="20" t="n">
        <v>1</v>
      </c>
      <c r="P886" s="22" t="s">
        <v>107</v>
      </c>
    </row>
    <row r="887" customFormat="false" ht="15" hidden="false" customHeight="false" outlineLevel="0" collapsed="false">
      <c r="A887" s="19" t="n">
        <v>886</v>
      </c>
      <c r="B887" s="20" t="n">
        <v>48</v>
      </c>
      <c r="C887" s="20" t="n">
        <v>1</v>
      </c>
      <c r="D887" s="20" t="n">
        <v>4</v>
      </c>
      <c r="E887" s="20" t="n">
        <v>140</v>
      </c>
      <c r="F887" s="20"/>
      <c r="G887" s="20" t="n">
        <v>0</v>
      </c>
      <c r="H887" s="20" t="n">
        <v>0</v>
      </c>
      <c r="I887" s="20" t="n">
        <v>159</v>
      </c>
      <c r="J887" s="20" t="n">
        <v>1</v>
      </c>
      <c r="K887" s="21" t="n">
        <v>1.5</v>
      </c>
      <c r="L887" s="20" t="n">
        <v>1</v>
      </c>
      <c r="M887" s="20"/>
      <c r="N887" s="20"/>
      <c r="O887" s="20" t="n">
        <v>3</v>
      </c>
      <c r="P887" s="22" t="s">
        <v>107</v>
      </c>
    </row>
    <row r="888" customFormat="false" ht="15" hidden="false" customHeight="false" outlineLevel="0" collapsed="false">
      <c r="A888" s="19" t="n">
        <v>887</v>
      </c>
      <c r="B888" s="20" t="n">
        <v>69</v>
      </c>
      <c r="C888" s="20" t="n">
        <v>1</v>
      </c>
      <c r="D888" s="20" t="n">
        <v>4</v>
      </c>
      <c r="E888" s="20" t="n">
        <v>122</v>
      </c>
      <c r="F888" s="20" t="n">
        <v>216</v>
      </c>
      <c r="G888" s="20" t="n">
        <v>1</v>
      </c>
      <c r="H888" s="20" t="n">
        <v>2</v>
      </c>
      <c r="I888" s="20" t="n">
        <v>84</v>
      </c>
      <c r="J888" s="20" t="n">
        <v>1</v>
      </c>
      <c r="K888" s="21" t="n">
        <v>0</v>
      </c>
      <c r="L888" s="20"/>
      <c r="M888" s="20"/>
      <c r="N888" s="20" t="n">
        <v>7</v>
      </c>
      <c r="O888" s="20" t="n">
        <v>2</v>
      </c>
      <c r="P888" s="22" t="s">
        <v>107</v>
      </c>
    </row>
    <row r="889" customFormat="false" ht="15" hidden="false" customHeight="false" outlineLevel="0" collapsed="false">
      <c r="A889" s="19" t="n">
        <v>888</v>
      </c>
      <c r="B889" s="20" t="n">
        <v>69</v>
      </c>
      <c r="C889" s="20" t="n">
        <v>1</v>
      </c>
      <c r="D889" s="20" t="n">
        <v>3</v>
      </c>
      <c r="E889" s="20"/>
      <c r="F889" s="20" t="n">
        <v>271</v>
      </c>
      <c r="G889" s="20" t="n">
        <v>0</v>
      </c>
      <c r="H889" s="20" t="n">
        <v>2</v>
      </c>
      <c r="I889" s="20"/>
      <c r="J889" s="20"/>
      <c r="K889" s="21"/>
      <c r="L889" s="20"/>
      <c r="M889" s="20"/>
      <c r="N889" s="20"/>
      <c r="O889" s="20" t="n">
        <v>0</v>
      </c>
      <c r="P889" s="22" t="s">
        <v>107</v>
      </c>
    </row>
    <row r="890" customFormat="false" ht="15" hidden="false" customHeight="false" outlineLevel="0" collapsed="false">
      <c r="A890" s="19" t="n">
        <v>889</v>
      </c>
      <c r="B890" s="20" t="n">
        <v>64</v>
      </c>
      <c r="C890" s="20" t="n">
        <v>1</v>
      </c>
      <c r="D890" s="20" t="n">
        <v>4</v>
      </c>
      <c r="E890" s="20"/>
      <c r="F890" s="20" t="n">
        <v>244</v>
      </c>
      <c r="G890" s="20" t="n">
        <v>1</v>
      </c>
      <c r="H890" s="20" t="n">
        <v>1</v>
      </c>
      <c r="I890" s="20"/>
      <c r="J890" s="20"/>
      <c r="K890" s="21"/>
      <c r="L890" s="20"/>
      <c r="M890" s="20"/>
      <c r="N890" s="20"/>
      <c r="O890" s="20" t="n">
        <v>2</v>
      </c>
      <c r="P890" s="22" t="s">
        <v>107</v>
      </c>
    </row>
    <row r="891" customFormat="false" ht="15" hidden="false" customHeight="false" outlineLevel="0" collapsed="false">
      <c r="A891" s="19" t="n">
        <v>890</v>
      </c>
      <c r="B891" s="20" t="n">
        <v>57</v>
      </c>
      <c r="C891" s="20" t="n">
        <v>1</v>
      </c>
      <c r="D891" s="20" t="n">
        <v>2</v>
      </c>
      <c r="E891" s="20" t="n">
        <v>180</v>
      </c>
      <c r="F891" s="20" t="n">
        <v>285</v>
      </c>
      <c r="G891" s="20" t="n">
        <v>1</v>
      </c>
      <c r="H891" s="20" t="n">
        <v>1</v>
      </c>
      <c r="I891" s="20" t="n">
        <v>120</v>
      </c>
      <c r="J891" s="20" t="n">
        <v>0</v>
      </c>
      <c r="K891" s="21" t="n">
        <v>0.8</v>
      </c>
      <c r="L891" s="20"/>
      <c r="M891" s="20"/>
      <c r="N891" s="20"/>
      <c r="O891" s="20" t="n">
        <v>1</v>
      </c>
      <c r="P891" s="22" t="s">
        <v>107</v>
      </c>
    </row>
    <row r="892" customFormat="false" ht="15" hidden="false" customHeight="false" outlineLevel="0" collapsed="false">
      <c r="A892" s="19" t="n">
        <v>891</v>
      </c>
      <c r="B892" s="20" t="n">
        <v>53</v>
      </c>
      <c r="C892" s="20" t="n">
        <v>1</v>
      </c>
      <c r="D892" s="20" t="n">
        <v>4</v>
      </c>
      <c r="E892" s="20" t="n">
        <v>124</v>
      </c>
      <c r="F892" s="20" t="n">
        <v>243</v>
      </c>
      <c r="G892" s="20" t="n">
        <v>0</v>
      </c>
      <c r="H892" s="20" t="n">
        <v>0</v>
      </c>
      <c r="I892" s="20" t="n">
        <v>122</v>
      </c>
      <c r="J892" s="20" t="n">
        <v>1</v>
      </c>
      <c r="K892" s="21" t="n">
        <v>2</v>
      </c>
      <c r="L892" s="20" t="n">
        <v>2</v>
      </c>
      <c r="M892" s="20"/>
      <c r="N892" s="20" t="n">
        <v>7</v>
      </c>
      <c r="O892" s="20" t="n">
        <v>1</v>
      </c>
      <c r="P892" s="22" t="s">
        <v>107</v>
      </c>
    </row>
    <row r="893" customFormat="false" ht="15" hidden="false" customHeight="false" outlineLevel="0" collapsed="false">
      <c r="A893" s="19" t="n">
        <v>892</v>
      </c>
      <c r="B893" s="20" t="n">
        <v>37</v>
      </c>
      <c r="C893" s="20" t="n">
        <v>1</v>
      </c>
      <c r="D893" s="20" t="n">
        <v>3</v>
      </c>
      <c r="E893" s="20" t="n">
        <v>118</v>
      </c>
      <c r="F893" s="20" t="n">
        <v>240</v>
      </c>
      <c r="G893" s="20" t="n">
        <v>0</v>
      </c>
      <c r="H893" s="20" t="n">
        <v>2</v>
      </c>
      <c r="I893" s="20" t="n">
        <v>165</v>
      </c>
      <c r="J893" s="20" t="n">
        <v>0</v>
      </c>
      <c r="K893" s="21" t="n">
        <v>1</v>
      </c>
      <c r="L893" s="20" t="n">
        <v>2</v>
      </c>
      <c r="M893" s="20"/>
      <c r="N893" s="20" t="n">
        <v>3</v>
      </c>
      <c r="O893" s="20" t="n">
        <v>0</v>
      </c>
      <c r="P893" s="22" t="s">
        <v>107</v>
      </c>
    </row>
    <row r="894" customFormat="false" ht="15" hidden="false" customHeight="false" outlineLevel="0" collapsed="false">
      <c r="A894" s="19" t="n">
        <v>893</v>
      </c>
      <c r="B894" s="20" t="n">
        <v>67</v>
      </c>
      <c r="C894" s="20" t="n">
        <v>1</v>
      </c>
      <c r="D894" s="20" t="n">
        <v>4</v>
      </c>
      <c r="E894" s="20" t="n">
        <v>140</v>
      </c>
      <c r="F894" s="20" t="n">
        <v>219</v>
      </c>
      <c r="G894" s="20" t="n">
        <v>0</v>
      </c>
      <c r="H894" s="20" t="n">
        <v>1</v>
      </c>
      <c r="I894" s="20" t="n">
        <v>122</v>
      </c>
      <c r="J894" s="20" t="n">
        <v>1</v>
      </c>
      <c r="K894" s="21" t="n">
        <v>2</v>
      </c>
      <c r="L894" s="20" t="n">
        <v>2</v>
      </c>
      <c r="M894" s="20"/>
      <c r="N894" s="20" t="n">
        <v>7</v>
      </c>
      <c r="O894" s="20" t="n">
        <v>3</v>
      </c>
      <c r="P894" s="22" t="s">
        <v>107</v>
      </c>
    </row>
    <row r="895" customFormat="false" ht="15" hidden="false" customHeight="false" outlineLevel="0" collapsed="false">
      <c r="A895" s="19" t="n">
        <v>894</v>
      </c>
      <c r="B895" s="20" t="n">
        <v>74</v>
      </c>
      <c r="C895" s="20" t="n">
        <v>1</v>
      </c>
      <c r="D895" s="20" t="n">
        <v>3</v>
      </c>
      <c r="E895" s="20" t="n">
        <v>140</v>
      </c>
      <c r="F895" s="20" t="n">
        <v>237</v>
      </c>
      <c r="G895" s="20" t="n">
        <v>1</v>
      </c>
      <c r="H895" s="20" t="n">
        <v>0</v>
      </c>
      <c r="I895" s="20" t="n">
        <v>94</v>
      </c>
      <c r="J895" s="20" t="n">
        <v>0</v>
      </c>
      <c r="K895" s="21" t="n">
        <v>0</v>
      </c>
      <c r="L895" s="20"/>
      <c r="M895" s="20"/>
      <c r="N895" s="20"/>
      <c r="O895" s="20" t="n">
        <v>1</v>
      </c>
      <c r="P895" s="22" t="s">
        <v>107</v>
      </c>
    </row>
    <row r="896" customFormat="false" ht="15" hidden="false" customHeight="false" outlineLevel="0" collapsed="false">
      <c r="A896" s="19" t="n">
        <v>895</v>
      </c>
      <c r="B896" s="20" t="n">
        <v>63</v>
      </c>
      <c r="C896" s="20" t="n">
        <v>1</v>
      </c>
      <c r="D896" s="20" t="n">
        <v>2</v>
      </c>
      <c r="E896" s="20"/>
      <c r="F896" s="20" t="n">
        <v>165</v>
      </c>
      <c r="G896" s="20" t="n">
        <v>0</v>
      </c>
      <c r="H896" s="20" t="n">
        <v>1</v>
      </c>
      <c r="I896" s="20"/>
      <c r="J896" s="20"/>
      <c r="K896" s="21"/>
      <c r="L896" s="20"/>
      <c r="M896" s="20"/>
      <c r="N896" s="20"/>
      <c r="O896" s="20" t="n">
        <v>0</v>
      </c>
      <c r="P896" s="22" t="s">
        <v>107</v>
      </c>
    </row>
    <row r="897" customFormat="false" ht="15" hidden="false" customHeight="false" outlineLevel="0" collapsed="false">
      <c r="A897" s="19" t="n">
        <v>896</v>
      </c>
      <c r="B897" s="20" t="n">
        <v>58</v>
      </c>
      <c r="C897" s="20" t="n">
        <v>1</v>
      </c>
      <c r="D897" s="20" t="n">
        <v>4</v>
      </c>
      <c r="E897" s="20" t="n">
        <v>100</v>
      </c>
      <c r="F897" s="20" t="n">
        <v>213</v>
      </c>
      <c r="G897" s="20" t="n">
        <v>0</v>
      </c>
      <c r="H897" s="20" t="n">
        <v>1</v>
      </c>
      <c r="I897" s="20" t="n">
        <v>110</v>
      </c>
      <c r="J897" s="20" t="n">
        <v>0</v>
      </c>
      <c r="K897" s="21" t="n">
        <v>0</v>
      </c>
      <c r="L897" s="20"/>
      <c r="M897" s="20"/>
      <c r="N897" s="20"/>
      <c r="O897" s="20" t="n">
        <v>0</v>
      </c>
      <c r="P897" s="22" t="s">
        <v>107</v>
      </c>
    </row>
    <row r="898" customFormat="false" ht="15" hidden="false" customHeight="false" outlineLevel="0" collapsed="false">
      <c r="A898" s="19" t="n">
        <v>897</v>
      </c>
      <c r="B898" s="20" t="n">
        <v>61</v>
      </c>
      <c r="C898" s="20" t="n">
        <v>1</v>
      </c>
      <c r="D898" s="20" t="n">
        <v>4</v>
      </c>
      <c r="E898" s="20" t="n">
        <v>190</v>
      </c>
      <c r="F898" s="20" t="n">
        <v>287</v>
      </c>
      <c r="G898" s="20" t="n">
        <v>1</v>
      </c>
      <c r="H898" s="20" t="n">
        <v>2</v>
      </c>
      <c r="I898" s="20" t="n">
        <v>150</v>
      </c>
      <c r="J898" s="20" t="n">
        <v>1</v>
      </c>
      <c r="K898" s="21" t="n">
        <v>2</v>
      </c>
      <c r="L898" s="20" t="n">
        <v>3</v>
      </c>
      <c r="M898" s="20"/>
      <c r="N898" s="20"/>
      <c r="O898" s="20" t="n">
        <v>4</v>
      </c>
      <c r="P898" s="22" t="s">
        <v>107</v>
      </c>
    </row>
    <row r="899" customFormat="false" ht="15" hidden="false" customHeight="false" outlineLevel="0" collapsed="false">
      <c r="A899" s="19" t="n">
        <v>898</v>
      </c>
      <c r="B899" s="20" t="n">
        <v>64</v>
      </c>
      <c r="C899" s="20" t="n">
        <v>1</v>
      </c>
      <c r="D899" s="20" t="n">
        <v>4</v>
      </c>
      <c r="E899" s="20" t="n">
        <v>130</v>
      </c>
      <c r="F899" s="20" t="n">
        <v>258</v>
      </c>
      <c r="G899" s="20" t="n">
        <v>1</v>
      </c>
      <c r="H899" s="20" t="n">
        <v>2</v>
      </c>
      <c r="I899" s="20" t="n">
        <v>130</v>
      </c>
      <c r="J899" s="20" t="n">
        <v>0</v>
      </c>
      <c r="K899" s="21" t="n">
        <v>0</v>
      </c>
      <c r="L899" s="20"/>
      <c r="M899" s="20"/>
      <c r="N899" s="20" t="n">
        <v>6</v>
      </c>
      <c r="O899" s="20" t="n">
        <v>2</v>
      </c>
      <c r="P899" s="22" t="s">
        <v>107</v>
      </c>
    </row>
    <row r="900" customFormat="false" ht="15" hidden="false" customHeight="false" outlineLevel="0" collapsed="false">
      <c r="A900" s="19" t="n">
        <v>899</v>
      </c>
      <c r="B900" s="20" t="n">
        <v>58</v>
      </c>
      <c r="C900" s="20" t="n">
        <v>1</v>
      </c>
      <c r="D900" s="20" t="n">
        <v>4</v>
      </c>
      <c r="E900" s="20" t="n">
        <v>160</v>
      </c>
      <c r="F900" s="20" t="n">
        <v>256</v>
      </c>
      <c r="G900" s="20" t="n">
        <v>1</v>
      </c>
      <c r="H900" s="20" t="n">
        <v>2</v>
      </c>
      <c r="I900" s="20" t="n">
        <v>113</v>
      </c>
      <c r="J900" s="20" t="n">
        <v>1</v>
      </c>
      <c r="K900" s="21" t="n">
        <v>1</v>
      </c>
      <c r="L900" s="20" t="n">
        <v>1</v>
      </c>
      <c r="M900" s="20"/>
      <c r="N900" s="20"/>
      <c r="O900" s="20" t="n">
        <v>3</v>
      </c>
      <c r="P900" s="22" t="s">
        <v>107</v>
      </c>
    </row>
    <row r="901" customFormat="false" ht="15" hidden="false" customHeight="false" outlineLevel="0" collapsed="false">
      <c r="A901" s="19" t="n">
        <v>900</v>
      </c>
      <c r="B901" s="20" t="n">
        <v>60</v>
      </c>
      <c r="C901" s="20" t="n">
        <v>1</v>
      </c>
      <c r="D901" s="20" t="n">
        <v>4</v>
      </c>
      <c r="E901" s="20" t="n">
        <v>130</v>
      </c>
      <c r="F901" s="20" t="n">
        <v>186</v>
      </c>
      <c r="G901" s="20" t="n">
        <v>1</v>
      </c>
      <c r="H901" s="20" t="n">
        <v>2</v>
      </c>
      <c r="I901" s="20" t="n">
        <v>140</v>
      </c>
      <c r="J901" s="20" t="n">
        <v>1</v>
      </c>
      <c r="K901" s="21" t="n">
        <v>0.5</v>
      </c>
      <c r="L901" s="20" t="n">
        <v>2</v>
      </c>
      <c r="M901" s="20"/>
      <c r="N901" s="20"/>
      <c r="O901" s="20" t="n">
        <v>1</v>
      </c>
      <c r="P901" s="22" t="s">
        <v>107</v>
      </c>
    </row>
    <row r="902" customFormat="false" ht="15" hidden="false" customHeight="false" outlineLevel="0" collapsed="false">
      <c r="A902" s="19" t="n">
        <v>901</v>
      </c>
      <c r="B902" s="20" t="n">
        <v>57</v>
      </c>
      <c r="C902" s="20" t="n">
        <v>1</v>
      </c>
      <c r="D902" s="20" t="n">
        <v>4</v>
      </c>
      <c r="E902" s="20" t="n">
        <v>122</v>
      </c>
      <c r="F902" s="20" t="n">
        <v>264</v>
      </c>
      <c r="G902" s="20" t="n">
        <v>0</v>
      </c>
      <c r="H902" s="20" t="n">
        <v>2</v>
      </c>
      <c r="I902" s="20" t="n">
        <v>100</v>
      </c>
      <c r="J902" s="20" t="n">
        <v>0</v>
      </c>
      <c r="K902" s="21" t="n">
        <v>0</v>
      </c>
      <c r="L902" s="20"/>
      <c r="M902" s="20"/>
      <c r="N902" s="20"/>
      <c r="O902" s="20" t="n">
        <v>1</v>
      </c>
      <c r="P902" s="22" t="s">
        <v>107</v>
      </c>
    </row>
    <row r="903" customFormat="false" ht="15" hidden="false" customHeight="false" outlineLevel="0" collapsed="false">
      <c r="A903" s="19" t="n">
        <v>902</v>
      </c>
      <c r="B903" s="20" t="n">
        <v>55</v>
      </c>
      <c r="C903" s="20" t="n">
        <v>1</v>
      </c>
      <c r="D903" s="20" t="n">
        <v>3</v>
      </c>
      <c r="E903" s="20"/>
      <c r="F903" s="20"/>
      <c r="G903" s="20" t="n">
        <v>0</v>
      </c>
      <c r="H903" s="20" t="n">
        <v>1</v>
      </c>
      <c r="I903" s="20"/>
      <c r="J903" s="20"/>
      <c r="K903" s="21"/>
      <c r="L903" s="20"/>
      <c r="M903" s="20"/>
      <c r="N903" s="20"/>
      <c r="O903" s="20" t="n">
        <v>0</v>
      </c>
      <c r="P903" s="22" t="s">
        <v>107</v>
      </c>
    </row>
    <row r="904" customFormat="false" ht="15" hidden="false" customHeight="false" outlineLevel="0" collapsed="false">
      <c r="A904" s="19" t="n">
        <v>903</v>
      </c>
      <c r="B904" s="20" t="n">
        <v>55</v>
      </c>
      <c r="C904" s="20" t="n">
        <v>1</v>
      </c>
      <c r="D904" s="20" t="n">
        <v>4</v>
      </c>
      <c r="E904" s="20" t="n">
        <v>120</v>
      </c>
      <c r="F904" s="20" t="n">
        <v>226</v>
      </c>
      <c r="G904" s="20" t="n">
        <v>0</v>
      </c>
      <c r="H904" s="20" t="n">
        <v>2</v>
      </c>
      <c r="I904" s="20" t="n">
        <v>127</v>
      </c>
      <c r="J904" s="20" t="n">
        <v>1</v>
      </c>
      <c r="K904" s="21" t="n">
        <v>1.7</v>
      </c>
      <c r="L904" s="20" t="n">
        <v>3</v>
      </c>
      <c r="M904" s="20"/>
      <c r="N904" s="20" t="n">
        <v>7</v>
      </c>
      <c r="O904" s="20" t="n">
        <v>1</v>
      </c>
      <c r="P904" s="22" t="s">
        <v>107</v>
      </c>
    </row>
    <row r="905" customFormat="false" ht="15" hidden="false" customHeight="false" outlineLevel="0" collapsed="false">
      <c r="A905" s="19" t="n">
        <v>904</v>
      </c>
      <c r="B905" s="20" t="n">
        <v>56</v>
      </c>
      <c r="C905" s="20" t="n">
        <v>1</v>
      </c>
      <c r="D905" s="20" t="n">
        <v>4</v>
      </c>
      <c r="E905" s="20" t="n">
        <v>130</v>
      </c>
      <c r="F905" s="20" t="n">
        <v>203</v>
      </c>
      <c r="G905" s="20" t="n">
        <v>1</v>
      </c>
      <c r="H905" s="20" t="n">
        <v>0</v>
      </c>
      <c r="I905" s="20" t="n">
        <v>98</v>
      </c>
      <c r="J905" s="20" t="n">
        <v>0</v>
      </c>
      <c r="K905" s="21" t="n">
        <v>1.5</v>
      </c>
      <c r="L905" s="20" t="n">
        <v>2</v>
      </c>
      <c r="M905" s="20"/>
      <c r="N905" s="20" t="n">
        <v>7</v>
      </c>
      <c r="O905" s="20" t="n">
        <v>1</v>
      </c>
      <c r="P905" s="22" t="s">
        <v>107</v>
      </c>
    </row>
    <row r="906" customFormat="false" ht="15" hidden="false" customHeight="false" outlineLevel="0" collapsed="false">
      <c r="A906" s="19" t="n">
        <v>905</v>
      </c>
      <c r="B906" s="20" t="n">
        <v>57</v>
      </c>
      <c r="C906" s="20" t="n">
        <v>1</v>
      </c>
      <c r="D906" s="20" t="n">
        <v>4</v>
      </c>
      <c r="E906" s="20" t="n">
        <v>130</v>
      </c>
      <c r="F906" s="20" t="n">
        <v>207</v>
      </c>
      <c r="G906" s="20" t="n">
        <v>0</v>
      </c>
      <c r="H906" s="20" t="n">
        <v>1</v>
      </c>
      <c r="I906" s="20" t="n">
        <v>96</v>
      </c>
      <c r="J906" s="20" t="n">
        <v>1</v>
      </c>
      <c r="K906" s="21" t="n">
        <v>1</v>
      </c>
      <c r="L906" s="20" t="n">
        <v>2</v>
      </c>
      <c r="M906" s="20"/>
      <c r="N906" s="20"/>
      <c r="O906" s="20" t="n">
        <v>0</v>
      </c>
      <c r="P906" s="22" t="s">
        <v>107</v>
      </c>
    </row>
    <row r="907" customFormat="false" ht="15" hidden="false" customHeight="false" outlineLevel="0" collapsed="false">
      <c r="A907" s="19" t="n">
        <v>906</v>
      </c>
      <c r="B907" s="20" t="n">
        <v>61</v>
      </c>
      <c r="C907" s="20" t="n">
        <v>1</v>
      </c>
      <c r="D907" s="20" t="n">
        <v>3</v>
      </c>
      <c r="E907" s="20"/>
      <c r="F907" s="20" t="n">
        <v>284</v>
      </c>
      <c r="G907" s="20" t="n">
        <v>0</v>
      </c>
      <c r="H907" s="20" t="n">
        <v>0</v>
      </c>
      <c r="I907" s="20"/>
      <c r="J907" s="20"/>
      <c r="K907" s="21"/>
      <c r="L907" s="20"/>
      <c r="M907" s="20"/>
      <c r="N907" s="20"/>
      <c r="O907" s="20" t="n">
        <v>1</v>
      </c>
      <c r="P907" s="22" t="s">
        <v>107</v>
      </c>
    </row>
    <row r="908" customFormat="false" ht="15" hidden="false" customHeight="false" outlineLevel="0" collapsed="false">
      <c r="A908" s="19" t="n">
        <v>907</v>
      </c>
      <c r="B908" s="20" t="n">
        <v>61</v>
      </c>
      <c r="C908" s="20" t="n">
        <v>1</v>
      </c>
      <c r="D908" s="20" t="n">
        <v>3</v>
      </c>
      <c r="E908" s="20" t="n">
        <v>120</v>
      </c>
      <c r="F908" s="20" t="n">
        <v>337</v>
      </c>
      <c r="G908" s="20" t="n">
        <v>0</v>
      </c>
      <c r="H908" s="20" t="n">
        <v>0</v>
      </c>
      <c r="I908" s="20" t="n">
        <v>98</v>
      </c>
      <c r="J908" s="20" t="n">
        <v>1</v>
      </c>
      <c r="K908" s="21" t="n">
        <v>0</v>
      </c>
      <c r="L908" s="20"/>
      <c r="M908" s="20"/>
      <c r="N908" s="20"/>
      <c r="O908" s="20" t="n">
        <v>3</v>
      </c>
      <c r="P908" s="22" t="s">
        <v>107</v>
      </c>
    </row>
    <row r="909" customFormat="false" ht="15" hidden="false" customHeight="false" outlineLevel="0" collapsed="false">
      <c r="A909" s="24" t="n">
        <v>908</v>
      </c>
      <c r="B909" s="20" t="n">
        <v>58</v>
      </c>
      <c r="C909" s="20" t="n">
        <v>1</v>
      </c>
      <c r="D909" s="20" t="n">
        <v>3</v>
      </c>
      <c r="E909" s="20" t="n">
        <v>150</v>
      </c>
      <c r="F909" s="20" t="n">
        <v>219</v>
      </c>
      <c r="G909" s="20" t="n">
        <v>0</v>
      </c>
      <c r="H909" s="20" t="n">
        <v>1</v>
      </c>
      <c r="I909" s="20" t="n">
        <v>118</v>
      </c>
      <c r="J909" s="20" t="n">
        <v>1</v>
      </c>
      <c r="K909" s="21" t="n">
        <v>0</v>
      </c>
      <c r="L909" s="20"/>
      <c r="M909" s="20"/>
      <c r="N909" s="20"/>
      <c r="O909" s="20" t="n">
        <v>2</v>
      </c>
      <c r="P909" s="22" t="s">
        <v>107</v>
      </c>
    </row>
    <row r="910" customFormat="false" ht="15" hidden="false" customHeight="false" outlineLevel="0" collapsed="false">
      <c r="A910" s="19" t="n">
        <v>909</v>
      </c>
      <c r="B910" s="20" t="n">
        <v>74</v>
      </c>
      <c r="C910" s="20" t="n">
        <v>1</v>
      </c>
      <c r="D910" s="20" t="n">
        <v>4</v>
      </c>
      <c r="E910" s="20" t="n">
        <v>155</v>
      </c>
      <c r="F910" s="20" t="n">
        <v>310</v>
      </c>
      <c r="G910" s="20" t="n">
        <v>0</v>
      </c>
      <c r="H910" s="20" t="n">
        <v>0</v>
      </c>
      <c r="I910" s="20" t="n">
        <v>112</v>
      </c>
      <c r="J910" s="20" t="n">
        <v>1</v>
      </c>
      <c r="K910" s="21" t="n">
        <v>1.5</v>
      </c>
      <c r="L910" s="20" t="n">
        <v>3</v>
      </c>
      <c r="M910" s="20"/>
      <c r="N910" s="20"/>
      <c r="O910" s="20" t="n">
        <v>2</v>
      </c>
      <c r="P910" s="22" t="s">
        <v>107</v>
      </c>
    </row>
    <row r="911" customFormat="false" ht="15" hidden="false" customHeight="false" outlineLevel="0" collapsed="false">
      <c r="A911" s="19" t="n">
        <v>910</v>
      </c>
      <c r="B911" s="20" t="n">
        <v>68</v>
      </c>
      <c r="C911" s="20" t="n">
        <v>1</v>
      </c>
      <c r="D911" s="20" t="n">
        <v>3</v>
      </c>
      <c r="E911" s="20" t="n">
        <v>134</v>
      </c>
      <c r="F911" s="20" t="n">
        <v>254</v>
      </c>
      <c r="G911" s="20" t="n">
        <v>1</v>
      </c>
      <c r="H911" s="20" t="n">
        <v>0</v>
      </c>
      <c r="I911" s="20" t="n">
        <v>151</v>
      </c>
      <c r="J911" s="20" t="n">
        <v>1</v>
      </c>
      <c r="K911" s="21" t="n">
        <v>0</v>
      </c>
      <c r="L911" s="20"/>
      <c r="M911" s="20"/>
      <c r="N911" s="20" t="n">
        <v>3</v>
      </c>
      <c r="O911" s="20" t="n">
        <v>0</v>
      </c>
      <c r="P911" s="22" t="s">
        <v>107</v>
      </c>
    </row>
    <row r="912" customFormat="false" ht="15" hidden="false" customHeight="false" outlineLevel="0" collapsed="false">
      <c r="A912" s="19" t="n">
        <v>911</v>
      </c>
      <c r="B912" s="20" t="n">
        <v>51</v>
      </c>
      <c r="C912" s="20" t="n">
        <v>0</v>
      </c>
      <c r="D912" s="20" t="n">
        <v>4</v>
      </c>
      <c r="E912" s="20" t="n">
        <v>114</v>
      </c>
      <c r="F912" s="20" t="n">
        <v>258</v>
      </c>
      <c r="G912" s="20" t="n">
        <v>1</v>
      </c>
      <c r="H912" s="20" t="n">
        <v>2</v>
      </c>
      <c r="I912" s="20" t="n">
        <v>96</v>
      </c>
      <c r="J912" s="20" t="n">
        <v>0</v>
      </c>
      <c r="K912" s="21" t="n">
        <v>1</v>
      </c>
      <c r="L912" s="20" t="n">
        <v>1</v>
      </c>
      <c r="M912" s="20"/>
      <c r="N912" s="20"/>
      <c r="O912" s="20" t="n">
        <v>0</v>
      </c>
      <c r="P912" s="22" t="s">
        <v>107</v>
      </c>
    </row>
    <row r="913" customFormat="false" ht="15" hidden="false" customHeight="false" outlineLevel="0" collapsed="false">
      <c r="A913" s="19" t="n">
        <v>912</v>
      </c>
      <c r="B913" s="20" t="n">
        <v>62</v>
      </c>
      <c r="C913" s="20" t="n">
        <v>1</v>
      </c>
      <c r="D913" s="20" t="n">
        <v>4</v>
      </c>
      <c r="E913" s="20" t="n">
        <v>160</v>
      </c>
      <c r="F913" s="20" t="n">
        <v>254</v>
      </c>
      <c r="G913" s="20" t="n">
        <v>1</v>
      </c>
      <c r="H913" s="20" t="n">
        <v>1</v>
      </c>
      <c r="I913" s="20" t="n">
        <v>108</v>
      </c>
      <c r="J913" s="20" t="n">
        <v>1</v>
      </c>
      <c r="K913" s="21" t="n">
        <v>3</v>
      </c>
      <c r="L913" s="20" t="n">
        <v>2</v>
      </c>
      <c r="M913" s="20"/>
      <c r="N913" s="20"/>
      <c r="O913" s="20" t="n">
        <v>4</v>
      </c>
      <c r="P913" s="22" t="s">
        <v>107</v>
      </c>
    </row>
    <row r="914" customFormat="false" ht="15" hidden="false" customHeight="false" outlineLevel="0" collapsed="false">
      <c r="A914" s="19" t="n">
        <v>913</v>
      </c>
      <c r="B914" s="20" t="n">
        <v>53</v>
      </c>
      <c r="C914" s="20" t="n">
        <v>1</v>
      </c>
      <c r="D914" s="20" t="n">
        <v>4</v>
      </c>
      <c r="E914" s="20" t="n">
        <v>144</v>
      </c>
      <c r="F914" s="20" t="n">
        <v>300</v>
      </c>
      <c r="G914" s="20" t="n">
        <v>1</v>
      </c>
      <c r="H914" s="20" t="n">
        <v>1</v>
      </c>
      <c r="I914" s="20" t="n">
        <v>128</v>
      </c>
      <c r="J914" s="20" t="n">
        <v>1</v>
      </c>
      <c r="K914" s="21" t="n">
        <v>1.5</v>
      </c>
      <c r="L914" s="20" t="n">
        <v>2</v>
      </c>
      <c r="M914" s="20"/>
      <c r="N914" s="20"/>
      <c r="O914" s="20" t="n">
        <v>3</v>
      </c>
      <c r="P914" s="22" t="s">
        <v>107</v>
      </c>
    </row>
    <row r="915" customFormat="false" ht="15" hidden="false" customHeight="false" outlineLevel="0" collapsed="false">
      <c r="A915" s="19" t="n">
        <v>914</v>
      </c>
      <c r="B915" s="20" t="n">
        <v>62</v>
      </c>
      <c r="C915" s="20" t="n">
        <v>1</v>
      </c>
      <c r="D915" s="20" t="n">
        <v>4</v>
      </c>
      <c r="E915" s="20" t="n">
        <v>158</v>
      </c>
      <c r="F915" s="20" t="n">
        <v>170</v>
      </c>
      <c r="G915" s="20" t="n">
        <v>0</v>
      </c>
      <c r="H915" s="20" t="n">
        <v>1</v>
      </c>
      <c r="I915" s="20" t="n">
        <v>138</v>
      </c>
      <c r="J915" s="20" t="n">
        <v>1</v>
      </c>
      <c r="K915" s="21" t="n">
        <v>0</v>
      </c>
      <c r="L915" s="20"/>
      <c r="M915" s="20"/>
      <c r="N915" s="20"/>
      <c r="O915" s="20" t="n">
        <v>1</v>
      </c>
      <c r="P915" s="22" t="s">
        <v>107</v>
      </c>
    </row>
    <row r="916" customFormat="false" ht="15" hidden="false" customHeight="false" outlineLevel="0" collapsed="false">
      <c r="A916" s="19" t="n">
        <v>915</v>
      </c>
      <c r="B916" s="20" t="n">
        <v>46</v>
      </c>
      <c r="C916" s="20" t="n">
        <v>1</v>
      </c>
      <c r="D916" s="20" t="n">
        <v>4</v>
      </c>
      <c r="E916" s="20" t="n">
        <v>134</v>
      </c>
      <c r="F916" s="20" t="n">
        <v>310</v>
      </c>
      <c r="G916" s="20" t="n">
        <v>0</v>
      </c>
      <c r="H916" s="20" t="n">
        <v>0</v>
      </c>
      <c r="I916" s="20" t="n">
        <v>126</v>
      </c>
      <c r="J916" s="20" t="n">
        <v>0</v>
      </c>
      <c r="K916" s="21" t="n">
        <v>0</v>
      </c>
      <c r="L916" s="20"/>
      <c r="M916" s="20"/>
      <c r="N916" s="20" t="n">
        <v>3</v>
      </c>
      <c r="O916" s="20" t="n">
        <v>2</v>
      </c>
      <c r="P916" s="22" t="s">
        <v>107</v>
      </c>
    </row>
    <row r="917" customFormat="false" ht="15" hidden="false" customHeight="false" outlineLevel="0" collapsed="false">
      <c r="A917" s="19" t="n">
        <v>916</v>
      </c>
      <c r="B917" s="20" t="n">
        <v>54</v>
      </c>
      <c r="C917" s="20" t="n">
        <v>0</v>
      </c>
      <c r="D917" s="20" t="n">
        <v>4</v>
      </c>
      <c r="E917" s="20" t="n">
        <v>127</v>
      </c>
      <c r="F917" s="20" t="n">
        <v>333</v>
      </c>
      <c r="G917" s="20" t="n">
        <v>1</v>
      </c>
      <c r="H917" s="20" t="n">
        <v>1</v>
      </c>
      <c r="I917" s="20" t="n">
        <v>154</v>
      </c>
      <c r="J917" s="20" t="n">
        <v>0</v>
      </c>
      <c r="K917" s="21" t="n">
        <v>0</v>
      </c>
      <c r="L917" s="20"/>
      <c r="M917" s="20"/>
      <c r="N917" s="20"/>
      <c r="O917" s="20" t="n">
        <v>1</v>
      </c>
      <c r="P917" s="22" t="s">
        <v>107</v>
      </c>
    </row>
    <row r="918" customFormat="false" ht="15" hidden="false" customHeight="false" outlineLevel="0" collapsed="false">
      <c r="A918" s="19" t="n">
        <v>917</v>
      </c>
      <c r="B918" s="20" t="n">
        <v>62</v>
      </c>
      <c r="C918" s="20" t="n">
        <v>1</v>
      </c>
      <c r="D918" s="20" t="n">
        <v>1</v>
      </c>
      <c r="E918" s="20"/>
      <c r="F918" s="20" t="n">
        <v>139</v>
      </c>
      <c r="G918" s="20" t="n">
        <v>0</v>
      </c>
      <c r="H918" s="20" t="n">
        <v>1</v>
      </c>
      <c r="I918" s="20"/>
      <c r="J918" s="20"/>
      <c r="K918" s="21"/>
      <c r="L918" s="20"/>
      <c r="M918" s="20"/>
      <c r="N918" s="20"/>
      <c r="O918" s="20" t="n">
        <v>0</v>
      </c>
      <c r="P918" s="22" t="s">
        <v>107</v>
      </c>
    </row>
    <row r="919" customFormat="false" ht="15" hidden="false" customHeight="false" outlineLevel="0" collapsed="false">
      <c r="A919" s="19" t="n">
        <v>918</v>
      </c>
      <c r="B919" s="20" t="n">
        <v>55</v>
      </c>
      <c r="C919" s="20" t="n">
        <v>1</v>
      </c>
      <c r="D919" s="20" t="n">
        <v>4</v>
      </c>
      <c r="E919" s="20" t="n">
        <v>122</v>
      </c>
      <c r="F919" s="20" t="n">
        <v>223</v>
      </c>
      <c r="G919" s="20" t="n">
        <v>1</v>
      </c>
      <c r="H919" s="20" t="n">
        <v>1</v>
      </c>
      <c r="I919" s="20" t="n">
        <v>100</v>
      </c>
      <c r="J919" s="20" t="n">
        <v>0</v>
      </c>
      <c r="K919" s="21" t="n">
        <v>0</v>
      </c>
      <c r="L919" s="20"/>
      <c r="M919" s="20"/>
      <c r="N919" s="20" t="n">
        <v>6</v>
      </c>
      <c r="O919" s="20" t="n">
        <v>2</v>
      </c>
      <c r="P919" s="22" t="s">
        <v>107</v>
      </c>
    </row>
    <row r="920" customFormat="false" ht="15" hidden="false" customHeight="false" outlineLevel="0" collapsed="false">
      <c r="A920" s="19" t="n">
        <v>919</v>
      </c>
      <c r="B920" s="20" t="n">
        <v>58</v>
      </c>
      <c r="C920" s="20" t="n">
        <v>1</v>
      </c>
      <c r="D920" s="20" t="n">
        <v>4</v>
      </c>
      <c r="E920" s="20"/>
      <c r="F920" s="20" t="n">
        <v>385</v>
      </c>
      <c r="G920" s="20" t="n">
        <v>1</v>
      </c>
      <c r="H920" s="20" t="n">
        <v>2</v>
      </c>
      <c r="I920" s="20"/>
      <c r="J920" s="20"/>
      <c r="K920" s="21"/>
      <c r="L920" s="20"/>
      <c r="M920" s="20"/>
      <c r="N920" s="20"/>
      <c r="O920" s="20" t="n">
        <v>0</v>
      </c>
      <c r="P920" s="22" t="s">
        <v>107</v>
      </c>
    </row>
    <row r="921" customFormat="false" ht="15" hidden="false" customHeight="false" outlineLevel="0" collapsed="false">
      <c r="A921" s="19" t="n">
        <v>920</v>
      </c>
      <c r="B921" s="20" t="n">
        <v>62</v>
      </c>
      <c r="C921" s="20" t="n">
        <v>1</v>
      </c>
      <c r="D921" s="20" t="n">
        <v>2</v>
      </c>
      <c r="E921" s="20" t="n">
        <v>120</v>
      </c>
      <c r="F921" s="20" t="n">
        <v>254</v>
      </c>
      <c r="G921" s="20" t="n">
        <v>0</v>
      </c>
      <c r="H921" s="20" t="n">
        <v>2</v>
      </c>
      <c r="I921" s="20" t="n">
        <v>93</v>
      </c>
      <c r="J921" s="20" t="n">
        <v>1</v>
      </c>
      <c r="K921" s="21" t="n">
        <v>0</v>
      </c>
      <c r="L921" s="20"/>
      <c r="M921" s="20"/>
      <c r="N921" s="20"/>
      <c r="O921" s="20" t="n">
        <v>1</v>
      </c>
      <c r="P921" s="22" t="s">
        <v>107</v>
      </c>
    </row>
  </sheetData>
  <autoFilter ref="A1:P9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15" hidden="false" customHeight="false" outlineLevel="0" collapsed="false">
      <c r="A4" s="26" t="s">
        <v>110</v>
      </c>
    </row>
    <row r="5" customFormat="false" ht="15" hidden="false" customHeight="false" outlineLevel="0" collapsed="false">
      <c r="A5" s="14" t="s">
        <v>111</v>
      </c>
      <c r="B5" s="14" t="s">
        <v>112</v>
      </c>
    </row>
    <row r="6" customFormat="false" ht="15" hidden="false" customHeight="false" outlineLevel="0" collapsed="false">
      <c r="A6" s="27" t="n">
        <v>0</v>
      </c>
      <c r="B6" s="16" t="s">
        <v>113</v>
      </c>
    </row>
    <row r="7" customFormat="false" ht="15" hidden="false" customHeight="false" outlineLevel="0" collapsed="false">
      <c r="A7" s="27" t="n">
        <v>1</v>
      </c>
      <c r="B7" s="16" t="s">
        <v>114</v>
      </c>
    </row>
    <row r="9" customFormat="false" ht="15" hidden="false" customHeight="false" outlineLevel="0" collapsed="false">
      <c r="A9" s="26" t="s">
        <v>115</v>
      </c>
    </row>
    <row r="10" customFormat="false" ht="15" hidden="false" customHeight="false" outlineLevel="0" collapsed="false">
      <c r="A10" s="14" t="s">
        <v>111</v>
      </c>
      <c r="B10" s="14" t="s">
        <v>112</v>
      </c>
    </row>
    <row r="11" customFormat="false" ht="15" hidden="false" customHeight="false" outlineLevel="0" collapsed="false">
      <c r="A11" s="27" t="n">
        <v>1</v>
      </c>
      <c r="B11" s="16" t="s">
        <v>116</v>
      </c>
    </row>
    <row r="12" customFormat="false" ht="15" hidden="false" customHeight="false" outlineLevel="0" collapsed="false">
      <c r="A12" s="27" t="n">
        <v>2</v>
      </c>
      <c r="B12" s="16" t="s">
        <v>117</v>
      </c>
    </row>
    <row r="13" customFormat="false" ht="15" hidden="false" customHeight="false" outlineLevel="0" collapsed="false">
      <c r="A13" s="27" t="n">
        <v>3</v>
      </c>
      <c r="B13" s="16" t="s">
        <v>118</v>
      </c>
    </row>
    <row r="14" customFormat="false" ht="15" hidden="false" customHeight="false" outlineLevel="0" collapsed="false">
      <c r="A14" s="27" t="n">
        <v>4</v>
      </c>
      <c r="B14" s="16" t="s">
        <v>119</v>
      </c>
    </row>
    <row r="16" customFormat="false" ht="15" hidden="false" customHeight="false" outlineLevel="0" collapsed="false">
      <c r="A16" s="26" t="s">
        <v>120</v>
      </c>
    </row>
    <row r="17" customFormat="false" ht="15" hidden="false" customHeight="false" outlineLevel="0" collapsed="false">
      <c r="A17" s="14" t="s">
        <v>111</v>
      </c>
      <c r="B17" s="14" t="s">
        <v>112</v>
      </c>
    </row>
    <row r="18" customFormat="false" ht="15" hidden="false" customHeight="false" outlineLevel="0" collapsed="false">
      <c r="A18" s="27" t="n">
        <v>0</v>
      </c>
      <c r="B18" s="16" t="s">
        <v>121</v>
      </c>
    </row>
    <row r="19" customFormat="false" ht="15" hidden="false" customHeight="false" outlineLevel="0" collapsed="false">
      <c r="A19" s="27" t="n">
        <v>1</v>
      </c>
      <c r="B19" s="16" t="s">
        <v>122</v>
      </c>
    </row>
    <row r="21" customFormat="false" ht="15" hidden="false" customHeight="false" outlineLevel="0" collapsed="false">
      <c r="A21" s="26" t="s">
        <v>123</v>
      </c>
    </row>
    <row r="22" customFormat="false" ht="15" hidden="false" customHeight="false" outlineLevel="0" collapsed="false">
      <c r="A22" s="14" t="s">
        <v>111</v>
      </c>
      <c r="B22" s="14" t="s">
        <v>112</v>
      </c>
    </row>
    <row r="23" customFormat="false" ht="15" hidden="false" customHeight="false" outlineLevel="0" collapsed="false">
      <c r="A23" s="27" t="n">
        <v>0</v>
      </c>
      <c r="B23" s="16" t="s">
        <v>124</v>
      </c>
    </row>
    <row r="24" customFormat="false" ht="15" hidden="false" customHeight="false" outlineLevel="0" collapsed="false">
      <c r="A24" s="27" t="n">
        <v>1</v>
      </c>
      <c r="B24" s="16" t="s">
        <v>125</v>
      </c>
    </row>
    <row r="25" customFormat="false" ht="15" hidden="false" customHeight="false" outlineLevel="0" collapsed="false">
      <c r="A25" s="27" t="n">
        <v>2</v>
      </c>
      <c r="B25" s="16" t="s">
        <v>126</v>
      </c>
    </row>
    <row r="27" customFormat="false" ht="15" hidden="false" customHeight="false" outlineLevel="0" collapsed="false">
      <c r="A27" s="26" t="s">
        <v>127</v>
      </c>
    </row>
    <row r="28" customFormat="false" ht="15" hidden="false" customHeight="false" outlineLevel="0" collapsed="false">
      <c r="A28" s="14" t="s">
        <v>111</v>
      </c>
      <c r="B28" s="14" t="s">
        <v>112</v>
      </c>
    </row>
    <row r="29" customFormat="false" ht="15" hidden="false" customHeight="false" outlineLevel="0" collapsed="false">
      <c r="A29" s="27" t="n">
        <v>0</v>
      </c>
      <c r="B29" s="16" t="s">
        <v>121</v>
      </c>
    </row>
    <row r="30" customFormat="false" ht="15" hidden="false" customHeight="false" outlineLevel="0" collapsed="false">
      <c r="A30" s="27" t="n">
        <v>1</v>
      </c>
      <c r="B30" s="16" t="s">
        <v>122</v>
      </c>
    </row>
    <row r="32" customFormat="false" ht="15" hidden="false" customHeight="false" outlineLevel="0" collapsed="false">
      <c r="A32" s="26" t="s">
        <v>128</v>
      </c>
    </row>
    <row r="33" customFormat="false" ht="15" hidden="false" customHeight="false" outlineLevel="0" collapsed="false">
      <c r="A33" s="14" t="s">
        <v>111</v>
      </c>
      <c r="B33" s="14" t="s">
        <v>112</v>
      </c>
    </row>
    <row r="34" customFormat="false" ht="15" hidden="false" customHeight="false" outlineLevel="0" collapsed="false">
      <c r="A34" s="27" t="n">
        <v>1</v>
      </c>
      <c r="B34" s="16" t="s">
        <v>129</v>
      </c>
    </row>
    <row r="35" customFormat="false" ht="15" hidden="false" customHeight="false" outlineLevel="0" collapsed="false">
      <c r="A35" s="27" t="n">
        <v>2</v>
      </c>
      <c r="B35" s="16" t="s">
        <v>130</v>
      </c>
    </row>
    <row r="36" customFormat="false" ht="15" hidden="false" customHeight="false" outlineLevel="0" collapsed="false">
      <c r="A36" s="27" t="n">
        <v>3</v>
      </c>
      <c r="B36" s="16" t="s">
        <v>131</v>
      </c>
    </row>
    <row r="38" customFormat="false" ht="15" hidden="false" customHeight="false" outlineLevel="0" collapsed="false">
      <c r="A38" s="26" t="s">
        <v>132</v>
      </c>
    </row>
    <row r="39" customFormat="false" ht="15" hidden="false" customHeight="false" outlineLevel="0" collapsed="false">
      <c r="A39" s="14" t="s">
        <v>111</v>
      </c>
      <c r="B39" s="14" t="s">
        <v>112</v>
      </c>
    </row>
    <row r="40" customFormat="false" ht="15" hidden="false" customHeight="false" outlineLevel="0" collapsed="false">
      <c r="A40" s="27" t="n">
        <v>0</v>
      </c>
      <c r="B40" s="16" t="s">
        <v>133</v>
      </c>
    </row>
    <row r="41" customFormat="false" ht="15" hidden="false" customHeight="false" outlineLevel="0" collapsed="false">
      <c r="A41" s="27" t="n">
        <v>1</v>
      </c>
      <c r="B41" s="16" t="s">
        <v>134</v>
      </c>
    </row>
    <row r="42" customFormat="false" ht="15" hidden="false" customHeight="false" outlineLevel="0" collapsed="false">
      <c r="A42" s="27" t="n">
        <v>2</v>
      </c>
      <c r="B42" s="16" t="s">
        <v>135</v>
      </c>
    </row>
    <row r="43" customFormat="false" ht="15" hidden="false" customHeight="false" outlineLevel="0" collapsed="false">
      <c r="A43" s="27" t="n">
        <v>3</v>
      </c>
      <c r="B43" s="16" t="s">
        <v>136</v>
      </c>
    </row>
    <row r="45" customFormat="false" ht="15" hidden="false" customHeight="false" outlineLevel="0" collapsed="false">
      <c r="A45" s="26" t="s">
        <v>137</v>
      </c>
    </row>
    <row r="46" customFormat="false" ht="15" hidden="false" customHeight="false" outlineLevel="0" collapsed="false">
      <c r="A46" s="14" t="s">
        <v>111</v>
      </c>
      <c r="B46" s="14" t="s">
        <v>112</v>
      </c>
    </row>
    <row r="47" customFormat="false" ht="15" hidden="false" customHeight="false" outlineLevel="0" collapsed="false">
      <c r="A47" s="27" t="n">
        <v>3</v>
      </c>
      <c r="B47" s="16" t="s">
        <v>124</v>
      </c>
    </row>
    <row r="48" customFormat="false" ht="15" hidden="false" customHeight="false" outlineLevel="0" collapsed="false">
      <c r="A48" s="27" t="n">
        <v>6</v>
      </c>
      <c r="B48" s="16" t="s">
        <v>138</v>
      </c>
    </row>
    <row r="49" customFormat="false" ht="15" hidden="false" customHeight="false" outlineLevel="0" collapsed="false">
      <c r="A49" s="27" t="n">
        <v>7</v>
      </c>
      <c r="B49" s="16" t="s">
        <v>139</v>
      </c>
    </row>
    <row r="51" customFormat="false" ht="15" hidden="false" customHeight="false" outlineLevel="0" collapsed="false">
      <c r="A51" s="26" t="s">
        <v>140</v>
      </c>
    </row>
    <row r="52" customFormat="false" ht="15" hidden="false" customHeight="false" outlineLevel="0" collapsed="false">
      <c r="A52" s="14" t="s">
        <v>111</v>
      </c>
      <c r="B52" s="14" t="s">
        <v>112</v>
      </c>
    </row>
    <row r="53" customFormat="false" ht="15" hidden="false" customHeight="false" outlineLevel="0" collapsed="false">
      <c r="A53" s="27" t="n">
        <v>0</v>
      </c>
      <c r="B53" s="16" t="s">
        <v>141</v>
      </c>
    </row>
    <row r="54" customFormat="false" ht="15" hidden="false" customHeight="false" outlineLevel="0" collapsed="false">
      <c r="A54" s="27" t="n">
        <v>1</v>
      </c>
      <c r="B54" s="16" t="s">
        <v>142</v>
      </c>
    </row>
    <row r="55" customFormat="false" ht="15" hidden="false" customHeight="false" outlineLevel="0" collapsed="false">
      <c r="A55" s="27" t="n">
        <v>2</v>
      </c>
      <c r="B55" s="16" t="s">
        <v>143</v>
      </c>
    </row>
    <row r="56" customFormat="false" ht="15" hidden="false" customHeight="false" outlineLevel="0" collapsed="false">
      <c r="A56" s="27" t="n">
        <v>3</v>
      </c>
      <c r="B56" s="16" t="s">
        <v>144</v>
      </c>
    </row>
    <row r="57" customFormat="false" ht="15" hidden="false" customHeight="false" outlineLevel="0" collapsed="false">
      <c r="A57" s="27" t="n">
        <v>4</v>
      </c>
      <c r="B57" s="16" t="s">
        <v>145</v>
      </c>
    </row>
    <row r="59" customFormat="false" ht="15" hidden="false" customHeight="false" outlineLevel="0" collapsed="false">
      <c r="A59" s="26" t="s">
        <v>146</v>
      </c>
    </row>
    <row r="60" customFormat="false" ht="15" hidden="false" customHeight="false" outlineLevel="0" collapsed="false">
      <c r="A60" s="14" t="s">
        <v>111</v>
      </c>
      <c r="B60" s="14" t="s">
        <v>112</v>
      </c>
    </row>
    <row r="61" customFormat="false" ht="15" hidden="false" customHeight="false" outlineLevel="0" collapsed="false">
      <c r="A61" s="27" t="s">
        <v>104</v>
      </c>
      <c r="B61" s="16" t="s">
        <v>147</v>
      </c>
    </row>
    <row r="62" customFormat="false" ht="15" hidden="false" customHeight="false" outlineLevel="0" collapsed="false">
      <c r="A62" s="27" t="s">
        <v>105</v>
      </c>
      <c r="B62" s="16" t="s">
        <v>148</v>
      </c>
    </row>
    <row r="63" customFormat="false" ht="15" hidden="false" customHeight="false" outlineLevel="0" collapsed="false">
      <c r="A63" s="27" t="s">
        <v>106</v>
      </c>
      <c r="B63" s="16" t="s">
        <v>149</v>
      </c>
    </row>
    <row r="64" customFormat="false" ht="15" hidden="false" customHeight="false" outlineLevel="0" collapsed="false">
      <c r="A64" s="27" t="s">
        <v>107</v>
      </c>
      <c r="B64" s="16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18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3" min="11" style="0" width="13"/>
    <col collapsed="false" customWidth="true" hidden="false" outlineLevel="0" max="14" min="14" style="0" width="18"/>
    <col collapsed="false" customWidth="true" hidden="false" outlineLevel="0" max="15" min="15" style="0" width="14"/>
    <col collapsed="false" customWidth="true" hidden="false" outlineLevel="0" max="16" min="16" style="0" width="36"/>
  </cols>
  <sheetData>
    <row r="1" customFormat="false" ht="31.5" hidden="false" customHeight="true" outlineLevel="0" collapsed="false">
      <c r="A1" s="3" t="s">
        <v>86</v>
      </c>
      <c r="B1" s="3" t="s">
        <v>151</v>
      </c>
      <c r="C1" s="3" t="s">
        <v>21</v>
      </c>
      <c r="D1" s="3" t="s">
        <v>25</v>
      </c>
      <c r="E1" s="3" t="s">
        <v>152</v>
      </c>
      <c r="F1" s="3" t="s">
        <v>153</v>
      </c>
      <c r="G1" s="3" t="s">
        <v>38</v>
      </c>
      <c r="H1" s="3" t="s">
        <v>42</v>
      </c>
      <c r="I1" s="3" t="s">
        <v>154</v>
      </c>
      <c r="J1" s="3" t="s">
        <v>50</v>
      </c>
      <c r="K1" s="3" t="s">
        <v>155</v>
      </c>
      <c r="L1" s="3" t="s">
        <v>57</v>
      </c>
      <c r="M1" s="3" t="s">
        <v>156</v>
      </c>
      <c r="N1" s="3" t="s">
        <v>67</v>
      </c>
      <c r="O1" s="3" t="s">
        <v>71</v>
      </c>
      <c r="P1" s="3" t="s">
        <v>75</v>
      </c>
    </row>
    <row r="2" customFormat="false" ht="15" hidden="false" customHeight="false" outlineLevel="0" collapsed="false">
      <c r="A2" s="19" t="n">
        <f aca="false">Data!A2</f>
        <v>1</v>
      </c>
      <c r="B2" s="20" t="n">
        <f aca="false">IF(Data!B2="","",Data!B2)</f>
        <v>63</v>
      </c>
      <c r="C2" s="28" t="str">
        <f aca="false">IF(Data!C2="","",IFERROR(VLOOKUP(Data!C2,Codes!$A$6:$B$7,2,FALSE()),"Invalid ("&amp;Data!C2&amp;")"))</f>
        <v>Male</v>
      </c>
      <c r="D2" s="28" t="str">
        <f aca="false">IF(Data!D2="","",IFERROR(VLOOKUP(Data!D2,Codes!$A$11:$B$14,2,FALSE()),"Invalid ("&amp;Data!D2&amp;")"))</f>
        <v>Typical angina</v>
      </c>
      <c r="E2" s="20" t="n">
        <f aca="false">IF(Data!E2="","",Data!E2)</f>
        <v>145</v>
      </c>
      <c r="F2" s="20" t="n">
        <f aca="false">IF(Data!F2="","",Data!F2)</f>
        <v>233</v>
      </c>
      <c r="G2" s="28" t="str">
        <f aca="false">IF(Data!G2="","",IFERROR(VLOOKUP(Data!G2,Codes!$A$18:$B$19,2,FALSE()),"Invalid ("&amp;Data!G2&amp;")"))</f>
        <v>Yes</v>
      </c>
      <c r="H2" s="28" t="str">
        <f aca="false">IF(Data!H2="","",IFERROR(VLOOKUP(Data!H2,Codes!$A$23:$B$25,2,FALSE()),"Invalid ("&amp;Data!H2&amp;")"))</f>
        <v>Left ventricular hypertrophy</v>
      </c>
      <c r="I2" s="20" t="n">
        <f aca="false">IF(Data!I2="","",Data!I2)</f>
        <v>150</v>
      </c>
      <c r="J2" s="28" t="str">
        <f aca="false">IF(Data!J2="","",IFERROR(VLOOKUP(Data!J2,Codes!$A$29:$B$30,2,FALSE()),"Invalid ("&amp;Data!J2&amp;")"))</f>
        <v>No</v>
      </c>
      <c r="K2" s="21" t="n">
        <f aca="false">IF(Data!K2="","",Data!K2)</f>
        <v>2.3</v>
      </c>
      <c r="L2" s="28" t="str">
        <f aca="false">IF(Data!L2="","",IFERROR(VLOOKUP(Data!L2,Codes!$A$34:$B$36,2,FALSE()),"Invalid ("&amp;Data!L2&amp;")"))</f>
        <v>Downsloping</v>
      </c>
      <c r="M2" s="20" t="n">
        <f aca="false">IF(Data!M2="","",Data!M2)</f>
        <v>0</v>
      </c>
      <c r="N2" s="28" t="str">
        <f aca="false">IF(Data!N2="","",IFERROR(VLOOKUP(Data!N2,Codes!$A$47:$B$49,2,FALSE()),"Invalid ("&amp;Data!N2&amp;")"))</f>
        <v>Fixed defect</v>
      </c>
      <c r="O2" s="28" t="str">
        <f aca="false">IF(Data!O2="","",IFERROR(VLOOKUP(Data!O2,Codes!$A$53:$B$57,2,FALSE()),"Invalid ("&amp;Data!O2&amp;")"))</f>
        <v>No disease</v>
      </c>
      <c r="P2" s="22" t="str">
        <f aca="false">IF(Data!P2="","",IFERROR(VLOOKUP(Data!P2,Codes!$A$61:$B$64,2,FALSE()),"Invalid ("&amp;Data!P2&amp;")"))</f>
        <v>Cleveland Clinic</v>
      </c>
    </row>
    <row r="3" customFormat="false" ht="15" hidden="false" customHeight="false" outlineLevel="0" collapsed="false">
      <c r="A3" s="19" t="n">
        <f aca="false">Data!A3</f>
        <v>2</v>
      </c>
      <c r="B3" s="20" t="n">
        <f aca="false">IF(Data!B3="","",Data!B3)</f>
        <v>67</v>
      </c>
      <c r="C3" s="28" t="str">
        <f aca="false">IF(Data!C3="","",IFERROR(VLOOKUP(Data!C3,Codes!$A$6:$B$7,2,FALSE()),"Invalid ("&amp;Data!C3&amp;")"))</f>
        <v>Male</v>
      </c>
      <c r="D3" s="28" t="str">
        <f aca="false">IF(Data!D3="","",IFERROR(VLOOKUP(Data!D3,Codes!$A$11:$B$14,2,FALSE()),"Invalid ("&amp;Data!D3&amp;")"))</f>
        <v>Asymptomatic</v>
      </c>
      <c r="E3" s="20" t="n">
        <f aca="false">IF(Data!E3="","",Data!E3)</f>
        <v>160</v>
      </c>
      <c r="F3" s="20" t="n">
        <f aca="false">IF(Data!F3="","",Data!F3)</f>
        <v>286</v>
      </c>
      <c r="G3" s="28" t="str">
        <f aca="false">IF(Data!G3="","",IFERROR(VLOOKUP(Data!G3,Codes!$A$18:$B$19,2,FALSE()),"Invalid ("&amp;Data!G3&amp;")"))</f>
        <v>No</v>
      </c>
      <c r="H3" s="28" t="str">
        <f aca="false">IF(Data!H3="","",IFERROR(VLOOKUP(Data!H3,Codes!$A$23:$B$25,2,FALSE()),"Invalid ("&amp;Data!H3&amp;")"))</f>
        <v>Left ventricular hypertrophy</v>
      </c>
      <c r="I3" s="20" t="n">
        <f aca="false">IF(Data!I3="","",Data!I3)</f>
        <v>108</v>
      </c>
      <c r="J3" s="28" t="str">
        <f aca="false">IF(Data!J3="","",IFERROR(VLOOKUP(Data!J3,Codes!$A$29:$B$30,2,FALSE()),"Invalid ("&amp;Data!J3&amp;")"))</f>
        <v>Yes</v>
      </c>
      <c r="K3" s="21" t="n">
        <f aca="false">IF(Data!K3="","",Data!K3)</f>
        <v>1.5</v>
      </c>
      <c r="L3" s="28" t="str">
        <f aca="false">IF(Data!L3="","",IFERROR(VLOOKUP(Data!L3,Codes!$A$34:$B$36,2,FALSE()),"Invalid ("&amp;Data!L3&amp;")"))</f>
        <v>Flat</v>
      </c>
      <c r="M3" s="20" t="n">
        <f aca="false">IF(Data!M3="","",Data!M3)</f>
        <v>3</v>
      </c>
      <c r="N3" s="28" t="str">
        <f aca="false">IF(Data!N3="","",IFERROR(VLOOKUP(Data!N3,Codes!$A$47:$B$49,2,FALSE()),"Invalid ("&amp;Data!N3&amp;")"))</f>
        <v>Normal</v>
      </c>
      <c r="O3" s="28" t="str">
        <f aca="false">IF(Data!O3="","",IFERROR(VLOOKUP(Data!O3,Codes!$A$53:$B$57,2,FALSE()),"Invalid ("&amp;Data!O3&amp;")"))</f>
        <v>Disease (2)</v>
      </c>
      <c r="P3" s="22" t="str">
        <f aca="false">IF(Data!P3="","",IFERROR(VLOOKUP(Data!P3,Codes!$A$61:$B$64,2,FALSE()),"Invalid ("&amp;Data!P3&amp;")"))</f>
        <v>Cleveland Clinic</v>
      </c>
    </row>
    <row r="4" customFormat="false" ht="15" hidden="false" customHeight="false" outlineLevel="0" collapsed="false">
      <c r="A4" s="19" t="n">
        <f aca="false">Data!A4</f>
        <v>3</v>
      </c>
      <c r="B4" s="20" t="n">
        <f aca="false">IF(Data!B4="","",Data!B4)</f>
        <v>67</v>
      </c>
      <c r="C4" s="28" t="str">
        <f aca="false">IF(Data!C4="","",IFERROR(VLOOKUP(Data!C4,Codes!$A$6:$B$7,2,FALSE()),"Invalid ("&amp;Data!C4&amp;")"))</f>
        <v>Male</v>
      </c>
      <c r="D4" s="28" t="str">
        <f aca="false">IF(Data!D4="","",IFERROR(VLOOKUP(Data!D4,Codes!$A$11:$B$14,2,FALSE()),"Invalid ("&amp;Data!D4&amp;")"))</f>
        <v>Asymptomatic</v>
      </c>
      <c r="E4" s="20" t="n">
        <f aca="false">IF(Data!E4="","",Data!E4)</f>
        <v>120</v>
      </c>
      <c r="F4" s="20" t="n">
        <f aca="false">IF(Data!F4="","",Data!F4)</f>
        <v>229</v>
      </c>
      <c r="G4" s="28" t="str">
        <f aca="false">IF(Data!G4="","",IFERROR(VLOOKUP(Data!G4,Codes!$A$18:$B$19,2,FALSE()),"Invalid ("&amp;Data!G4&amp;")"))</f>
        <v>No</v>
      </c>
      <c r="H4" s="28" t="str">
        <f aca="false">IF(Data!H4="","",IFERROR(VLOOKUP(Data!H4,Codes!$A$23:$B$25,2,FALSE()),"Invalid ("&amp;Data!H4&amp;")"))</f>
        <v>Left ventricular hypertrophy</v>
      </c>
      <c r="I4" s="20" t="n">
        <f aca="false">IF(Data!I4="","",Data!I4)</f>
        <v>129</v>
      </c>
      <c r="J4" s="28" t="str">
        <f aca="false">IF(Data!J4="","",IFERROR(VLOOKUP(Data!J4,Codes!$A$29:$B$30,2,FALSE()),"Invalid ("&amp;Data!J4&amp;")"))</f>
        <v>Yes</v>
      </c>
      <c r="K4" s="21" t="n">
        <f aca="false">IF(Data!K4="","",Data!K4)</f>
        <v>2.6</v>
      </c>
      <c r="L4" s="28" t="str">
        <f aca="false">IF(Data!L4="","",IFERROR(VLOOKUP(Data!L4,Codes!$A$34:$B$36,2,FALSE()),"Invalid ("&amp;Data!L4&amp;")"))</f>
        <v>Flat</v>
      </c>
      <c r="M4" s="20" t="n">
        <f aca="false">IF(Data!M4="","",Data!M4)</f>
        <v>2</v>
      </c>
      <c r="N4" s="28" t="str">
        <f aca="false">IF(Data!N4="","",IFERROR(VLOOKUP(Data!N4,Codes!$A$47:$B$49,2,FALSE()),"Invalid ("&amp;Data!N4&amp;")"))</f>
        <v>Reversible defect</v>
      </c>
      <c r="O4" s="28" t="str">
        <f aca="false">IF(Data!O4="","",IFERROR(VLOOKUP(Data!O4,Codes!$A$53:$B$57,2,FALSE()),"Invalid ("&amp;Data!O4&amp;")"))</f>
        <v>Disease (1)</v>
      </c>
      <c r="P4" s="22" t="str">
        <f aca="false">IF(Data!P4="","",IFERROR(VLOOKUP(Data!P4,Codes!$A$61:$B$64,2,FALSE()),"Invalid ("&amp;Data!P4&amp;")"))</f>
        <v>Cleveland Clinic</v>
      </c>
    </row>
    <row r="5" customFormat="false" ht="15" hidden="false" customHeight="false" outlineLevel="0" collapsed="false">
      <c r="A5" s="19" t="n">
        <f aca="false">Data!A5</f>
        <v>4</v>
      </c>
      <c r="B5" s="20" t="n">
        <f aca="false">IF(Data!B5="","",Data!B5)</f>
        <v>37</v>
      </c>
      <c r="C5" s="28" t="str">
        <f aca="false">IF(Data!C5="","",IFERROR(VLOOKUP(Data!C5,Codes!$A$6:$B$7,2,FALSE()),"Invalid ("&amp;Data!C5&amp;")"))</f>
        <v>Male</v>
      </c>
      <c r="D5" s="28" t="str">
        <f aca="false">IF(Data!D5="","",IFERROR(VLOOKUP(Data!D5,Codes!$A$11:$B$14,2,FALSE()),"Invalid ("&amp;Data!D5&amp;")"))</f>
        <v>Non-anginal pain</v>
      </c>
      <c r="E5" s="20" t="n">
        <f aca="false">IF(Data!E5="","",Data!E5)</f>
        <v>130</v>
      </c>
      <c r="F5" s="20" t="n">
        <f aca="false">IF(Data!F5="","",Data!F5)</f>
        <v>250</v>
      </c>
      <c r="G5" s="28" t="str">
        <f aca="false">IF(Data!G5="","",IFERROR(VLOOKUP(Data!G5,Codes!$A$18:$B$19,2,FALSE()),"Invalid ("&amp;Data!G5&amp;")"))</f>
        <v>No</v>
      </c>
      <c r="H5" s="28" t="str">
        <f aca="false">IF(Data!H5="","",IFERROR(VLOOKUP(Data!H5,Codes!$A$23:$B$25,2,FALSE()),"Invalid ("&amp;Data!H5&amp;")"))</f>
        <v>Normal</v>
      </c>
      <c r="I5" s="20" t="n">
        <f aca="false">IF(Data!I5="","",Data!I5)</f>
        <v>187</v>
      </c>
      <c r="J5" s="28" t="str">
        <f aca="false">IF(Data!J5="","",IFERROR(VLOOKUP(Data!J5,Codes!$A$29:$B$30,2,FALSE()),"Invalid ("&amp;Data!J5&amp;")"))</f>
        <v>No</v>
      </c>
      <c r="K5" s="21" t="n">
        <f aca="false">IF(Data!K5="","",Data!K5)</f>
        <v>3.5</v>
      </c>
      <c r="L5" s="28" t="str">
        <f aca="false">IF(Data!L5="","",IFERROR(VLOOKUP(Data!L5,Codes!$A$34:$B$36,2,FALSE()),"Invalid ("&amp;Data!L5&amp;")"))</f>
        <v>Downsloping</v>
      </c>
      <c r="M5" s="20" t="n">
        <f aca="false">IF(Data!M5="","",Data!M5)</f>
        <v>0</v>
      </c>
      <c r="N5" s="28" t="str">
        <f aca="false">IF(Data!N5="","",IFERROR(VLOOKUP(Data!N5,Codes!$A$47:$B$49,2,FALSE()),"Invalid ("&amp;Data!N5&amp;")"))</f>
        <v>Normal</v>
      </c>
      <c r="O5" s="28" t="str">
        <f aca="false">IF(Data!O5="","",IFERROR(VLOOKUP(Data!O5,Codes!$A$53:$B$57,2,FALSE()),"Invalid ("&amp;Data!O5&amp;")"))</f>
        <v>No disease</v>
      </c>
      <c r="P5" s="22" t="str">
        <f aca="false">IF(Data!P5="","",IFERROR(VLOOKUP(Data!P5,Codes!$A$61:$B$64,2,FALSE()),"Invalid ("&amp;Data!P5&amp;")"))</f>
        <v>Cleveland Clinic</v>
      </c>
    </row>
    <row r="6" customFormat="false" ht="15" hidden="false" customHeight="false" outlineLevel="0" collapsed="false">
      <c r="A6" s="19" t="n">
        <f aca="false">Data!A6</f>
        <v>5</v>
      </c>
      <c r="B6" s="20" t="n">
        <f aca="false">IF(Data!B6="","",Data!B6)</f>
        <v>41</v>
      </c>
      <c r="C6" s="28" t="str">
        <f aca="false">IF(Data!C6="","",IFERROR(VLOOKUP(Data!C6,Codes!$A$6:$B$7,2,FALSE()),"Invalid ("&amp;Data!C6&amp;")"))</f>
        <v>Female</v>
      </c>
      <c r="D6" s="28" t="str">
        <f aca="false">IF(Data!D6="","",IFERROR(VLOOKUP(Data!D6,Codes!$A$11:$B$14,2,FALSE()),"Invalid ("&amp;Data!D6&amp;")"))</f>
        <v>Atypical angina</v>
      </c>
      <c r="E6" s="20" t="n">
        <f aca="false">IF(Data!E6="","",Data!E6)</f>
        <v>130</v>
      </c>
      <c r="F6" s="20" t="n">
        <f aca="false">IF(Data!F6="","",Data!F6)</f>
        <v>204</v>
      </c>
      <c r="G6" s="28" t="str">
        <f aca="false">IF(Data!G6="","",IFERROR(VLOOKUP(Data!G6,Codes!$A$18:$B$19,2,FALSE()),"Invalid ("&amp;Data!G6&amp;")"))</f>
        <v>No</v>
      </c>
      <c r="H6" s="28" t="str">
        <f aca="false">IF(Data!H6="","",IFERROR(VLOOKUP(Data!H6,Codes!$A$23:$B$25,2,FALSE()),"Invalid ("&amp;Data!H6&amp;")"))</f>
        <v>Left ventricular hypertrophy</v>
      </c>
      <c r="I6" s="20" t="n">
        <f aca="false">IF(Data!I6="","",Data!I6)</f>
        <v>172</v>
      </c>
      <c r="J6" s="28" t="str">
        <f aca="false">IF(Data!J6="","",IFERROR(VLOOKUP(Data!J6,Codes!$A$29:$B$30,2,FALSE()),"Invalid ("&amp;Data!J6&amp;")"))</f>
        <v>No</v>
      </c>
      <c r="K6" s="21" t="n">
        <f aca="false">IF(Data!K6="","",Data!K6)</f>
        <v>1.4</v>
      </c>
      <c r="L6" s="28" t="str">
        <f aca="false">IF(Data!L6="","",IFERROR(VLOOKUP(Data!L6,Codes!$A$34:$B$36,2,FALSE()),"Invalid ("&amp;Data!L6&amp;")"))</f>
        <v>Upsloping</v>
      </c>
      <c r="M6" s="20" t="n">
        <f aca="false">IF(Data!M6="","",Data!M6)</f>
        <v>0</v>
      </c>
      <c r="N6" s="28" t="str">
        <f aca="false">IF(Data!N6="","",IFERROR(VLOOKUP(Data!N6,Codes!$A$47:$B$49,2,FALSE()),"Invalid ("&amp;Data!N6&amp;")"))</f>
        <v>Normal</v>
      </c>
      <c r="O6" s="28" t="str">
        <f aca="false">IF(Data!O6="","",IFERROR(VLOOKUP(Data!O6,Codes!$A$53:$B$57,2,FALSE()),"Invalid ("&amp;Data!O6&amp;")"))</f>
        <v>No disease</v>
      </c>
      <c r="P6" s="22" t="str">
        <f aca="false">IF(Data!P6="","",IFERROR(VLOOKUP(Data!P6,Codes!$A$61:$B$64,2,FALSE()),"Invalid ("&amp;Data!P6&amp;")"))</f>
        <v>Cleveland Clinic</v>
      </c>
    </row>
    <row r="7" customFormat="false" ht="15" hidden="false" customHeight="false" outlineLevel="0" collapsed="false">
      <c r="A7" s="19" t="n">
        <f aca="false">Data!A7</f>
        <v>6</v>
      </c>
      <c r="B7" s="20" t="n">
        <f aca="false">IF(Data!B7="","",Data!B7)</f>
        <v>56</v>
      </c>
      <c r="C7" s="28" t="str">
        <f aca="false">IF(Data!C7="","",IFERROR(VLOOKUP(Data!C7,Codes!$A$6:$B$7,2,FALSE()),"Invalid ("&amp;Data!C7&amp;")"))</f>
        <v>Male</v>
      </c>
      <c r="D7" s="28" t="str">
        <f aca="false">IF(Data!D7="","",IFERROR(VLOOKUP(Data!D7,Codes!$A$11:$B$14,2,FALSE()),"Invalid ("&amp;Data!D7&amp;")"))</f>
        <v>Atypical angina</v>
      </c>
      <c r="E7" s="20" t="n">
        <f aca="false">IF(Data!E7="","",Data!E7)</f>
        <v>120</v>
      </c>
      <c r="F7" s="20" t="n">
        <f aca="false">IF(Data!F7="","",Data!F7)</f>
        <v>236</v>
      </c>
      <c r="G7" s="28" t="str">
        <f aca="false">IF(Data!G7="","",IFERROR(VLOOKUP(Data!G7,Codes!$A$18:$B$19,2,FALSE()),"Invalid ("&amp;Data!G7&amp;")"))</f>
        <v>No</v>
      </c>
      <c r="H7" s="28" t="str">
        <f aca="false">IF(Data!H7="","",IFERROR(VLOOKUP(Data!H7,Codes!$A$23:$B$25,2,FALSE()),"Invalid ("&amp;Data!H7&amp;")"))</f>
        <v>Normal</v>
      </c>
      <c r="I7" s="20" t="n">
        <f aca="false">IF(Data!I7="","",Data!I7)</f>
        <v>178</v>
      </c>
      <c r="J7" s="28" t="str">
        <f aca="false">IF(Data!J7="","",IFERROR(VLOOKUP(Data!J7,Codes!$A$29:$B$30,2,FALSE()),"Invalid ("&amp;Data!J7&amp;")"))</f>
        <v>No</v>
      </c>
      <c r="K7" s="21" t="n">
        <f aca="false">IF(Data!K7="","",Data!K7)</f>
        <v>0.8</v>
      </c>
      <c r="L7" s="28" t="str">
        <f aca="false">IF(Data!L7="","",IFERROR(VLOOKUP(Data!L7,Codes!$A$34:$B$36,2,FALSE()),"Invalid ("&amp;Data!L7&amp;")"))</f>
        <v>Upsloping</v>
      </c>
      <c r="M7" s="20" t="n">
        <f aca="false">IF(Data!M7="","",Data!M7)</f>
        <v>0</v>
      </c>
      <c r="N7" s="28" t="str">
        <f aca="false">IF(Data!N7="","",IFERROR(VLOOKUP(Data!N7,Codes!$A$47:$B$49,2,FALSE()),"Invalid ("&amp;Data!N7&amp;")"))</f>
        <v>Normal</v>
      </c>
      <c r="O7" s="28" t="str">
        <f aca="false">IF(Data!O7="","",IFERROR(VLOOKUP(Data!O7,Codes!$A$53:$B$57,2,FALSE()),"Invalid ("&amp;Data!O7&amp;")"))</f>
        <v>No disease</v>
      </c>
      <c r="P7" s="22" t="str">
        <f aca="false">IF(Data!P7="","",IFERROR(VLOOKUP(Data!P7,Codes!$A$61:$B$64,2,FALSE()),"Invalid ("&amp;Data!P7&amp;")"))</f>
        <v>Cleveland Clinic</v>
      </c>
    </row>
    <row r="8" customFormat="false" ht="15" hidden="false" customHeight="false" outlineLevel="0" collapsed="false">
      <c r="A8" s="19" t="n">
        <f aca="false">Data!A8</f>
        <v>7</v>
      </c>
      <c r="B8" s="20" t="n">
        <f aca="false">IF(Data!B8="","",Data!B8)</f>
        <v>62</v>
      </c>
      <c r="C8" s="28" t="str">
        <f aca="false">IF(Data!C8="","",IFERROR(VLOOKUP(Data!C8,Codes!$A$6:$B$7,2,FALSE()),"Invalid ("&amp;Data!C8&amp;")"))</f>
        <v>Female</v>
      </c>
      <c r="D8" s="28" t="str">
        <f aca="false">IF(Data!D8="","",IFERROR(VLOOKUP(Data!D8,Codes!$A$11:$B$14,2,FALSE()),"Invalid ("&amp;Data!D8&amp;")"))</f>
        <v>Asymptomatic</v>
      </c>
      <c r="E8" s="20" t="n">
        <f aca="false">IF(Data!E8="","",Data!E8)</f>
        <v>140</v>
      </c>
      <c r="F8" s="20" t="n">
        <f aca="false">IF(Data!F8="","",Data!F8)</f>
        <v>268</v>
      </c>
      <c r="G8" s="28" t="str">
        <f aca="false">IF(Data!G8="","",IFERROR(VLOOKUP(Data!G8,Codes!$A$18:$B$19,2,FALSE()),"Invalid ("&amp;Data!G8&amp;")"))</f>
        <v>No</v>
      </c>
      <c r="H8" s="28" t="str">
        <f aca="false">IF(Data!H8="","",IFERROR(VLOOKUP(Data!H8,Codes!$A$23:$B$25,2,FALSE()),"Invalid ("&amp;Data!H8&amp;")"))</f>
        <v>Left ventricular hypertrophy</v>
      </c>
      <c r="I8" s="20" t="n">
        <f aca="false">IF(Data!I8="","",Data!I8)</f>
        <v>160</v>
      </c>
      <c r="J8" s="28" t="str">
        <f aca="false">IF(Data!J8="","",IFERROR(VLOOKUP(Data!J8,Codes!$A$29:$B$30,2,FALSE()),"Invalid ("&amp;Data!J8&amp;")"))</f>
        <v>No</v>
      </c>
      <c r="K8" s="21" t="n">
        <f aca="false">IF(Data!K8="","",Data!K8)</f>
        <v>3.6</v>
      </c>
      <c r="L8" s="28" t="str">
        <f aca="false">IF(Data!L8="","",IFERROR(VLOOKUP(Data!L8,Codes!$A$34:$B$36,2,FALSE()),"Invalid ("&amp;Data!L8&amp;")"))</f>
        <v>Downsloping</v>
      </c>
      <c r="M8" s="20" t="n">
        <f aca="false">IF(Data!M8="","",Data!M8)</f>
        <v>2</v>
      </c>
      <c r="N8" s="28" t="str">
        <f aca="false">IF(Data!N8="","",IFERROR(VLOOKUP(Data!N8,Codes!$A$47:$B$49,2,FALSE()),"Invalid ("&amp;Data!N8&amp;")"))</f>
        <v>Normal</v>
      </c>
      <c r="O8" s="28" t="str">
        <f aca="false">IF(Data!O8="","",IFERROR(VLOOKUP(Data!O8,Codes!$A$53:$B$57,2,FALSE()),"Invalid ("&amp;Data!O8&amp;")"))</f>
        <v>Disease (3)</v>
      </c>
      <c r="P8" s="22" t="str">
        <f aca="false">IF(Data!P8="","",IFERROR(VLOOKUP(Data!P8,Codes!$A$61:$B$64,2,FALSE()),"Invalid ("&amp;Data!P8&amp;")"))</f>
        <v>Cleveland Clinic</v>
      </c>
    </row>
    <row r="9" customFormat="false" ht="15" hidden="false" customHeight="false" outlineLevel="0" collapsed="false">
      <c r="A9" s="19" t="n">
        <f aca="false">Data!A9</f>
        <v>8</v>
      </c>
      <c r="B9" s="20" t="n">
        <f aca="false">IF(Data!B9="","",Data!B9)</f>
        <v>57</v>
      </c>
      <c r="C9" s="28" t="str">
        <f aca="false">IF(Data!C9="","",IFERROR(VLOOKUP(Data!C9,Codes!$A$6:$B$7,2,FALSE()),"Invalid ("&amp;Data!C9&amp;")"))</f>
        <v>Female</v>
      </c>
      <c r="D9" s="28" t="str">
        <f aca="false">IF(Data!D9="","",IFERROR(VLOOKUP(Data!D9,Codes!$A$11:$B$14,2,FALSE()),"Invalid ("&amp;Data!D9&amp;")"))</f>
        <v>Asymptomatic</v>
      </c>
      <c r="E9" s="20" t="n">
        <f aca="false">IF(Data!E9="","",Data!E9)</f>
        <v>120</v>
      </c>
      <c r="F9" s="20" t="n">
        <f aca="false">IF(Data!F9="","",Data!F9)</f>
        <v>354</v>
      </c>
      <c r="G9" s="28" t="str">
        <f aca="false">IF(Data!G9="","",IFERROR(VLOOKUP(Data!G9,Codes!$A$18:$B$19,2,FALSE()),"Invalid ("&amp;Data!G9&amp;")"))</f>
        <v>No</v>
      </c>
      <c r="H9" s="28" t="str">
        <f aca="false">IF(Data!H9="","",IFERROR(VLOOKUP(Data!H9,Codes!$A$23:$B$25,2,FALSE()),"Invalid ("&amp;Data!H9&amp;")"))</f>
        <v>Normal</v>
      </c>
      <c r="I9" s="20" t="n">
        <f aca="false">IF(Data!I9="","",Data!I9)</f>
        <v>163</v>
      </c>
      <c r="J9" s="28" t="str">
        <f aca="false">IF(Data!J9="","",IFERROR(VLOOKUP(Data!J9,Codes!$A$29:$B$30,2,FALSE()),"Invalid ("&amp;Data!J9&amp;")"))</f>
        <v>Yes</v>
      </c>
      <c r="K9" s="21" t="n">
        <f aca="false">IF(Data!K9="","",Data!K9)</f>
        <v>0.6</v>
      </c>
      <c r="L9" s="28" t="str">
        <f aca="false">IF(Data!L9="","",IFERROR(VLOOKUP(Data!L9,Codes!$A$34:$B$36,2,FALSE()),"Invalid ("&amp;Data!L9&amp;")"))</f>
        <v>Upsloping</v>
      </c>
      <c r="M9" s="20" t="n">
        <f aca="false">IF(Data!M9="","",Data!M9)</f>
        <v>0</v>
      </c>
      <c r="N9" s="28" t="str">
        <f aca="false">IF(Data!N9="","",IFERROR(VLOOKUP(Data!N9,Codes!$A$47:$B$49,2,FALSE()),"Invalid ("&amp;Data!N9&amp;")"))</f>
        <v>Normal</v>
      </c>
      <c r="O9" s="28" t="str">
        <f aca="false">IF(Data!O9="","",IFERROR(VLOOKUP(Data!O9,Codes!$A$53:$B$57,2,FALSE()),"Invalid ("&amp;Data!O9&amp;")"))</f>
        <v>No disease</v>
      </c>
      <c r="P9" s="22" t="str">
        <f aca="false">IF(Data!P9="","",IFERROR(VLOOKUP(Data!P9,Codes!$A$61:$B$64,2,FALSE()),"Invalid ("&amp;Data!P9&amp;")"))</f>
        <v>Cleveland Clinic</v>
      </c>
    </row>
    <row r="10" customFormat="false" ht="15" hidden="false" customHeight="false" outlineLevel="0" collapsed="false">
      <c r="A10" s="19" t="n">
        <f aca="false">Data!A10</f>
        <v>9</v>
      </c>
      <c r="B10" s="20" t="n">
        <f aca="false">IF(Data!B10="","",Data!B10)</f>
        <v>63</v>
      </c>
      <c r="C10" s="28" t="str">
        <f aca="false">IF(Data!C10="","",IFERROR(VLOOKUP(Data!C10,Codes!$A$6:$B$7,2,FALSE()),"Invalid ("&amp;Data!C10&amp;")"))</f>
        <v>Male</v>
      </c>
      <c r="D10" s="28" t="str">
        <f aca="false">IF(Data!D10="","",IFERROR(VLOOKUP(Data!D10,Codes!$A$11:$B$14,2,FALSE()),"Invalid ("&amp;Data!D10&amp;")"))</f>
        <v>Asymptomatic</v>
      </c>
      <c r="E10" s="20" t="n">
        <f aca="false">IF(Data!E10="","",Data!E10)</f>
        <v>130</v>
      </c>
      <c r="F10" s="20" t="n">
        <f aca="false">IF(Data!F10="","",Data!F10)</f>
        <v>254</v>
      </c>
      <c r="G10" s="28" t="str">
        <f aca="false">IF(Data!G10="","",IFERROR(VLOOKUP(Data!G10,Codes!$A$18:$B$19,2,FALSE()),"Invalid ("&amp;Data!G10&amp;")"))</f>
        <v>No</v>
      </c>
      <c r="H10" s="28" t="str">
        <f aca="false">IF(Data!H10="","",IFERROR(VLOOKUP(Data!H10,Codes!$A$23:$B$25,2,FALSE()),"Invalid ("&amp;Data!H10&amp;")"))</f>
        <v>Left ventricular hypertrophy</v>
      </c>
      <c r="I10" s="20" t="n">
        <f aca="false">IF(Data!I10="","",Data!I10)</f>
        <v>147</v>
      </c>
      <c r="J10" s="28" t="str">
        <f aca="false">IF(Data!J10="","",IFERROR(VLOOKUP(Data!J10,Codes!$A$29:$B$30,2,FALSE()),"Invalid ("&amp;Data!J10&amp;")"))</f>
        <v>No</v>
      </c>
      <c r="K10" s="21" t="n">
        <f aca="false">IF(Data!K10="","",Data!K10)</f>
        <v>1.4</v>
      </c>
      <c r="L10" s="28" t="str">
        <f aca="false">IF(Data!L10="","",IFERROR(VLOOKUP(Data!L10,Codes!$A$34:$B$36,2,FALSE()),"Invalid ("&amp;Data!L10&amp;")"))</f>
        <v>Flat</v>
      </c>
      <c r="M10" s="20" t="n">
        <f aca="false">IF(Data!M10="","",Data!M10)</f>
        <v>1</v>
      </c>
      <c r="N10" s="28" t="str">
        <f aca="false">IF(Data!N10="","",IFERROR(VLOOKUP(Data!N10,Codes!$A$47:$B$49,2,FALSE()),"Invalid ("&amp;Data!N10&amp;")"))</f>
        <v>Reversible defect</v>
      </c>
      <c r="O10" s="28" t="str">
        <f aca="false">IF(Data!O10="","",IFERROR(VLOOKUP(Data!O10,Codes!$A$53:$B$57,2,FALSE()),"Invalid ("&amp;Data!O10&amp;")"))</f>
        <v>Disease (2)</v>
      </c>
      <c r="P10" s="22" t="str">
        <f aca="false">IF(Data!P10="","",IFERROR(VLOOKUP(Data!P10,Codes!$A$61:$B$64,2,FALSE()),"Invalid ("&amp;Data!P10&amp;")"))</f>
        <v>Cleveland Clinic</v>
      </c>
    </row>
    <row r="11" customFormat="false" ht="15" hidden="false" customHeight="false" outlineLevel="0" collapsed="false">
      <c r="A11" s="19" t="n">
        <f aca="false">Data!A11</f>
        <v>10</v>
      </c>
      <c r="B11" s="20" t="n">
        <f aca="false">IF(Data!B11="","",Data!B11)</f>
        <v>53</v>
      </c>
      <c r="C11" s="28" t="str">
        <f aca="false">IF(Data!C11="","",IFERROR(VLOOKUP(Data!C11,Codes!$A$6:$B$7,2,FALSE()),"Invalid ("&amp;Data!C11&amp;")"))</f>
        <v>Male</v>
      </c>
      <c r="D11" s="28" t="str">
        <f aca="false">IF(Data!D11="","",IFERROR(VLOOKUP(Data!D11,Codes!$A$11:$B$14,2,FALSE()),"Invalid ("&amp;Data!D11&amp;")"))</f>
        <v>Asymptomatic</v>
      </c>
      <c r="E11" s="20" t="n">
        <f aca="false">IF(Data!E11="","",Data!E11)</f>
        <v>140</v>
      </c>
      <c r="F11" s="20" t="n">
        <f aca="false">IF(Data!F11="","",Data!F11)</f>
        <v>203</v>
      </c>
      <c r="G11" s="28" t="str">
        <f aca="false">IF(Data!G11="","",IFERROR(VLOOKUP(Data!G11,Codes!$A$18:$B$19,2,FALSE()),"Invalid ("&amp;Data!G11&amp;")"))</f>
        <v>Yes</v>
      </c>
      <c r="H11" s="28" t="str">
        <f aca="false">IF(Data!H11="","",IFERROR(VLOOKUP(Data!H11,Codes!$A$23:$B$25,2,FALSE()),"Invalid ("&amp;Data!H11&amp;")"))</f>
        <v>Left ventricular hypertrophy</v>
      </c>
      <c r="I11" s="20" t="n">
        <f aca="false">IF(Data!I11="","",Data!I11)</f>
        <v>155</v>
      </c>
      <c r="J11" s="28" t="str">
        <f aca="false">IF(Data!J11="","",IFERROR(VLOOKUP(Data!J11,Codes!$A$29:$B$30,2,FALSE()),"Invalid ("&amp;Data!J11&amp;")"))</f>
        <v>Yes</v>
      </c>
      <c r="K11" s="21" t="n">
        <f aca="false">IF(Data!K11="","",Data!K11)</f>
        <v>3.1</v>
      </c>
      <c r="L11" s="28" t="str">
        <f aca="false">IF(Data!L11="","",IFERROR(VLOOKUP(Data!L11,Codes!$A$34:$B$36,2,FALSE()),"Invalid ("&amp;Data!L11&amp;")"))</f>
        <v>Downsloping</v>
      </c>
      <c r="M11" s="20" t="n">
        <f aca="false">IF(Data!M11="","",Data!M11)</f>
        <v>0</v>
      </c>
      <c r="N11" s="28" t="str">
        <f aca="false">IF(Data!N11="","",IFERROR(VLOOKUP(Data!N11,Codes!$A$47:$B$49,2,FALSE()),"Invalid ("&amp;Data!N11&amp;")"))</f>
        <v>Reversible defect</v>
      </c>
      <c r="O11" s="28" t="str">
        <f aca="false">IF(Data!O11="","",IFERROR(VLOOKUP(Data!O11,Codes!$A$53:$B$57,2,FALSE()),"Invalid ("&amp;Data!O11&amp;")"))</f>
        <v>Disease (1)</v>
      </c>
      <c r="P11" s="22" t="str">
        <f aca="false">IF(Data!P11="","",IFERROR(VLOOKUP(Data!P11,Codes!$A$61:$B$64,2,FALSE()),"Invalid ("&amp;Data!P11&amp;")"))</f>
        <v>Cleveland Clinic</v>
      </c>
    </row>
    <row r="12" customFormat="false" ht="15" hidden="false" customHeight="false" outlineLevel="0" collapsed="false">
      <c r="A12" s="19" t="n">
        <f aca="false">Data!A12</f>
        <v>11</v>
      </c>
      <c r="B12" s="20" t="n">
        <f aca="false">IF(Data!B12="","",Data!B12)</f>
        <v>57</v>
      </c>
      <c r="C12" s="28" t="str">
        <f aca="false">IF(Data!C12="","",IFERROR(VLOOKUP(Data!C12,Codes!$A$6:$B$7,2,FALSE()),"Invalid ("&amp;Data!C12&amp;")"))</f>
        <v>Male</v>
      </c>
      <c r="D12" s="28" t="str">
        <f aca="false">IF(Data!D12="","",IFERROR(VLOOKUP(Data!D12,Codes!$A$11:$B$14,2,FALSE()),"Invalid ("&amp;Data!D12&amp;")"))</f>
        <v>Asymptomatic</v>
      </c>
      <c r="E12" s="20" t="n">
        <f aca="false">IF(Data!E12="","",Data!E12)</f>
        <v>140</v>
      </c>
      <c r="F12" s="20" t="n">
        <f aca="false">IF(Data!F12="","",Data!F12)</f>
        <v>192</v>
      </c>
      <c r="G12" s="28" t="str">
        <f aca="false">IF(Data!G12="","",IFERROR(VLOOKUP(Data!G12,Codes!$A$18:$B$19,2,FALSE()),"Invalid ("&amp;Data!G12&amp;")"))</f>
        <v>No</v>
      </c>
      <c r="H12" s="28" t="str">
        <f aca="false">IF(Data!H12="","",IFERROR(VLOOKUP(Data!H12,Codes!$A$23:$B$25,2,FALSE()),"Invalid ("&amp;Data!H12&amp;")"))</f>
        <v>Normal</v>
      </c>
      <c r="I12" s="20" t="n">
        <f aca="false">IF(Data!I12="","",Data!I12)</f>
        <v>148</v>
      </c>
      <c r="J12" s="28" t="str">
        <f aca="false">IF(Data!J12="","",IFERROR(VLOOKUP(Data!J12,Codes!$A$29:$B$30,2,FALSE()),"Invalid ("&amp;Data!J12&amp;")"))</f>
        <v>No</v>
      </c>
      <c r="K12" s="21" t="n">
        <f aca="false">IF(Data!K12="","",Data!K12)</f>
        <v>0.4</v>
      </c>
      <c r="L12" s="28" t="str">
        <f aca="false">IF(Data!L12="","",IFERROR(VLOOKUP(Data!L12,Codes!$A$34:$B$36,2,FALSE()),"Invalid ("&amp;Data!L12&amp;")"))</f>
        <v>Flat</v>
      </c>
      <c r="M12" s="20" t="n">
        <f aca="false">IF(Data!M12="","",Data!M12)</f>
        <v>0</v>
      </c>
      <c r="N12" s="28" t="str">
        <f aca="false">IF(Data!N12="","",IFERROR(VLOOKUP(Data!N12,Codes!$A$47:$B$49,2,FALSE()),"Invalid ("&amp;Data!N12&amp;")"))</f>
        <v>Fixed defect</v>
      </c>
      <c r="O12" s="28" t="str">
        <f aca="false">IF(Data!O12="","",IFERROR(VLOOKUP(Data!O12,Codes!$A$53:$B$57,2,FALSE()),"Invalid ("&amp;Data!O12&amp;")"))</f>
        <v>No disease</v>
      </c>
      <c r="P12" s="22" t="str">
        <f aca="false">IF(Data!P12="","",IFERROR(VLOOKUP(Data!P12,Codes!$A$61:$B$64,2,FALSE()),"Invalid ("&amp;Data!P12&amp;")"))</f>
        <v>Cleveland Clinic</v>
      </c>
    </row>
    <row r="13" customFormat="false" ht="15" hidden="false" customHeight="false" outlineLevel="0" collapsed="false">
      <c r="A13" s="19" t="n">
        <f aca="false">Data!A13</f>
        <v>12</v>
      </c>
      <c r="B13" s="20" t="n">
        <f aca="false">IF(Data!B13="","",Data!B13)</f>
        <v>56</v>
      </c>
      <c r="C13" s="28" t="str">
        <f aca="false">IF(Data!C13="","",IFERROR(VLOOKUP(Data!C13,Codes!$A$6:$B$7,2,FALSE()),"Invalid ("&amp;Data!C13&amp;")"))</f>
        <v>Female</v>
      </c>
      <c r="D13" s="28" t="str">
        <f aca="false">IF(Data!D13="","",IFERROR(VLOOKUP(Data!D13,Codes!$A$11:$B$14,2,FALSE()),"Invalid ("&amp;Data!D13&amp;")"))</f>
        <v>Atypical angina</v>
      </c>
      <c r="E13" s="20" t="n">
        <f aca="false">IF(Data!E13="","",Data!E13)</f>
        <v>140</v>
      </c>
      <c r="F13" s="20" t="n">
        <f aca="false">IF(Data!F13="","",Data!F13)</f>
        <v>294</v>
      </c>
      <c r="G13" s="28" t="str">
        <f aca="false">IF(Data!G13="","",IFERROR(VLOOKUP(Data!G13,Codes!$A$18:$B$19,2,FALSE()),"Invalid ("&amp;Data!G13&amp;")"))</f>
        <v>No</v>
      </c>
      <c r="H13" s="28" t="str">
        <f aca="false">IF(Data!H13="","",IFERROR(VLOOKUP(Data!H13,Codes!$A$23:$B$25,2,FALSE()),"Invalid ("&amp;Data!H13&amp;")"))</f>
        <v>Left ventricular hypertrophy</v>
      </c>
      <c r="I13" s="20" t="n">
        <f aca="false">IF(Data!I13="","",Data!I13)</f>
        <v>153</v>
      </c>
      <c r="J13" s="28" t="str">
        <f aca="false">IF(Data!J13="","",IFERROR(VLOOKUP(Data!J13,Codes!$A$29:$B$30,2,FALSE()),"Invalid ("&amp;Data!J13&amp;")"))</f>
        <v>No</v>
      </c>
      <c r="K13" s="21" t="n">
        <f aca="false">IF(Data!K13="","",Data!K13)</f>
        <v>1.3</v>
      </c>
      <c r="L13" s="28" t="str">
        <f aca="false">IF(Data!L13="","",IFERROR(VLOOKUP(Data!L13,Codes!$A$34:$B$36,2,FALSE()),"Invalid ("&amp;Data!L13&amp;")"))</f>
        <v>Flat</v>
      </c>
      <c r="M13" s="20" t="n">
        <f aca="false">IF(Data!M13="","",Data!M13)</f>
        <v>0</v>
      </c>
      <c r="N13" s="28" t="str">
        <f aca="false">IF(Data!N13="","",IFERROR(VLOOKUP(Data!N13,Codes!$A$47:$B$49,2,FALSE()),"Invalid ("&amp;Data!N13&amp;")"))</f>
        <v>Normal</v>
      </c>
      <c r="O13" s="28" t="str">
        <f aca="false">IF(Data!O13="","",IFERROR(VLOOKUP(Data!O13,Codes!$A$53:$B$57,2,FALSE()),"Invalid ("&amp;Data!O13&amp;")"))</f>
        <v>No disease</v>
      </c>
      <c r="P13" s="22" t="str">
        <f aca="false">IF(Data!P13="","",IFERROR(VLOOKUP(Data!P13,Codes!$A$61:$B$64,2,FALSE()),"Invalid ("&amp;Data!P13&amp;")"))</f>
        <v>Cleveland Clinic</v>
      </c>
    </row>
    <row r="14" customFormat="false" ht="15" hidden="false" customHeight="false" outlineLevel="0" collapsed="false">
      <c r="A14" s="19" t="n">
        <f aca="false">Data!A14</f>
        <v>13</v>
      </c>
      <c r="B14" s="20" t="n">
        <f aca="false">IF(Data!B14="","",Data!B14)</f>
        <v>56</v>
      </c>
      <c r="C14" s="28" t="str">
        <f aca="false">IF(Data!C14="","",IFERROR(VLOOKUP(Data!C14,Codes!$A$6:$B$7,2,FALSE()),"Invalid ("&amp;Data!C14&amp;")"))</f>
        <v>Male</v>
      </c>
      <c r="D14" s="28" t="str">
        <f aca="false">IF(Data!D14="","",IFERROR(VLOOKUP(Data!D14,Codes!$A$11:$B$14,2,FALSE()),"Invalid ("&amp;Data!D14&amp;")"))</f>
        <v>Non-anginal pain</v>
      </c>
      <c r="E14" s="20" t="n">
        <f aca="false">IF(Data!E14="","",Data!E14)</f>
        <v>130</v>
      </c>
      <c r="F14" s="20" t="n">
        <f aca="false">IF(Data!F14="","",Data!F14)</f>
        <v>256</v>
      </c>
      <c r="G14" s="28" t="str">
        <f aca="false">IF(Data!G14="","",IFERROR(VLOOKUP(Data!G14,Codes!$A$18:$B$19,2,FALSE()),"Invalid ("&amp;Data!G14&amp;")"))</f>
        <v>Yes</v>
      </c>
      <c r="H14" s="28" t="str">
        <f aca="false">IF(Data!H14="","",IFERROR(VLOOKUP(Data!H14,Codes!$A$23:$B$25,2,FALSE()),"Invalid ("&amp;Data!H14&amp;")"))</f>
        <v>Left ventricular hypertrophy</v>
      </c>
      <c r="I14" s="20" t="n">
        <f aca="false">IF(Data!I14="","",Data!I14)</f>
        <v>142</v>
      </c>
      <c r="J14" s="28" t="str">
        <f aca="false">IF(Data!J14="","",IFERROR(VLOOKUP(Data!J14,Codes!$A$29:$B$30,2,FALSE()),"Invalid ("&amp;Data!J14&amp;")"))</f>
        <v>Yes</v>
      </c>
      <c r="K14" s="21" t="n">
        <f aca="false">IF(Data!K14="","",Data!K14)</f>
        <v>0.6</v>
      </c>
      <c r="L14" s="28" t="str">
        <f aca="false">IF(Data!L14="","",IFERROR(VLOOKUP(Data!L14,Codes!$A$34:$B$36,2,FALSE()),"Invalid ("&amp;Data!L14&amp;")"))</f>
        <v>Flat</v>
      </c>
      <c r="M14" s="20" t="n">
        <f aca="false">IF(Data!M14="","",Data!M14)</f>
        <v>1</v>
      </c>
      <c r="N14" s="28" t="str">
        <f aca="false">IF(Data!N14="","",IFERROR(VLOOKUP(Data!N14,Codes!$A$47:$B$49,2,FALSE()),"Invalid ("&amp;Data!N14&amp;")"))</f>
        <v>Fixed defect</v>
      </c>
      <c r="O14" s="28" t="str">
        <f aca="false">IF(Data!O14="","",IFERROR(VLOOKUP(Data!O14,Codes!$A$53:$B$57,2,FALSE()),"Invalid ("&amp;Data!O14&amp;")"))</f>
        <v>Disease (2)</v>
      </c>
      <c r="P14" s="22" t="str">
        <f aca="false">IF(Data!P14="","",IFERROR(VLOOKUP(Data!P14,Codes!$A$61:$B$64,2,FALSE()),"Invalid ("&amp;Data!P14&amp;")"))</f>
        <v>Cleveland Clinic</v>
      </c>
    </row>
    <row r="15" customFormat="false" ht="15" hidden="false" customHeight="false" outlineLevel="0" collapsed="false">
      <c r="A15" s="19" t="n">
        <f aca="false">Data!A15</f>
        <v>14</v>
      </c>
      <c r="B15" s="20" t="n">
        <f aca="false">IF(Data!B15="","",Data!B15)</f>
        <v>44</v>
      </c>
      <c r="C15" s="28" t="str">
        <f aca="false">IF(Data!C15="","",IFERROR(VLOOKUP(Data!C15,Codes!$A$6:$B$7,2,FALSE()),"Invalid ("&amp;Data!C15&amp;")"))</f>
        <v>Male</v>
      </c>
      <c r="D15" s="28" t="str">
        <f aca="false">IF(Data!D15="","",IFERROR(VLOOKUP(Data!D15,Codes!$A$11:$B$14,2,FALSE()),"Invalid ("&amp;Data!D15&amp;")"))</f>
        <v>Atypical angina</v>
      </c>
      <c r="E15" s="20" t="n">
        <f aca="false">IF(Data!E15="","",Data!E15)</f>
        <v>120</v>
      </c>
      <c r="F15" s="20" t="n">
        <f aca="false">IF(Data!F15="","",Data!F15)</f>
        <v>263</v>
      </c>
      <c r="G15" s="28" t="str">
        <f aca="false">IF(Data!G15="","",IFERROR(VLOOKUP(Data!G15,Codes!$A$18:$B$19,2,FALSE()),"Invalid ("&amp;Data!G15&amp;")"))</f>
        <v>No</v>
      </c>
      <c r="H15" s="28" t="str">
        <f aca="false">IF(Data!H15="","",IFERROR(VLOOKUP(Data!H15,Codes!$A$23:$B$25,2,FALSE()),"Invalid ("&amp;Data!H15&amp;")"))</f>
        <v>Normal</v>
      </c>
      <c r="I15" s="20" t="n">
        <f aca="false">IF(Data!I15="","",Data!I15)</f>
        <v>173</v>
      </c>
      <c r="J15" s="28" t="str">
        <f aca="false">IF(Data!J15="","",IFERROR(VLOOKUP(Data!J15,Codes!$A$29:$B$30,2,FALSE()),"Invalid ("&amp;Data!J15&amp;")"))</f>
        <v>No</v>
      </c>
      <c r="K15" s="21" t="n">
        <f aca="false">IF(Data!K15="","",Data!K15)</f>
        <v>0</v>
      </c>
      <c r="L15" s="28" t="str">
        <f aca="false">IF(Data!L15="","",IFERROR(VLOOKUP(Data!L15,Codes!$A$34:$B$36,2,FALSE()),"Invalid ("&amp;Data!L15&amp;")"))</f>
        <v>Upsloping</v>
      </c>
      <c r="M15" s="20" t="n">
        <f aca="false">IF(Data!M15="","",Data!M15)</f>
        <v>0</v>
      </c>
      <c r="N15" s="28" t="str">
        <f aca="false">IF(Data!N15="","",IFERROR(VLOOKUP(Data!N15,Codes!$A$47:$B$49,2,FALSE()),"Invalid ("&amp;Data!N15&amp;")"))</f>
        <v>Reversible defect</v>
      </c>
      <c r="O15" s="28" t="str">
        <f aca="false">IF(Data!O15="","",IFERROR(VLOOKUP(Data!O15,Codes!$A$53:$B$57,2,FALSE()),"Invalid ("&amp;Data!O15&amp;")"))</f>
        <v>No disease</v>
      </c>
      <c r="P15" s="22" t="str">
        <f aca="false">IF(Data!P15="","",IFERROR(VLOOKUP(Data!P15,Codes!$A$61:$B$64,2,FALSE()),"Invalid ("&amp;Data!P15&amp;")"))</f>
        <v>Cleveland Clinic</v>
      </c>
    </row>
    <row r="16" customFormat="false" ht="15" hidden="false" customHeight="false" outlineLevel="0" collapsed="false">
      <c r="A16" s="19" t="n">
        <f aca="false">Data!A16</f>
        <v>15</v>
      </c>
      <c r="B16" s="20" t="n">
        <f aca="false">IF(Data!B16="","",Data!B16)</f>
        <v>52</v>
      </c>
      <c r="C16" s="28" t="str">
        <f aca="false">IF(Data!C16="","",IFERROR(VLOOKUP(Data!C16,Codes!$A$6:$B$7,2,FALSE()),"Invalid ("&amp;Data!C16&amp;")"))</f>
        <v>Male</v>
      </c>
      <c r="D16" s="28" t="str">
        <f aca="false">IF(Data!D16="","",IFERROR(VLOOKUP(Data!D16,Codes!$A$11:$B$14,2,FALSE()),"Invalid ("&amp;Data!D16&amp;")"))</f>
        <v>Non-anginal pain</v>
      </c>
      <c r="E16" s="20" t="n">
        <f aca="false">IF(Data!E16="","",Data!E16)</f>
        <v>172</v>
      </c>
      <c r="F16" s="20" t="n">
        <f aca="false">IF(Data!F16="","",Data!F16)</f>
        <v>199</v>
      </c>
      <c r="G16" s="28" t="str">
        <f aca="false">IF(Data!G16="","",IFERROR(VLOOKUP(Data!G16,Codes!$A$18:$B$19,2,FALSE()),"Invalid ("&amp;Data!G16&amp;")"))</f>
        <v>Yes</v>
      </c>
      <c r="H16" s="28" t="str">
        <f aca="false">IF(Data!H16="","",IFERROR(VLOOKUP(Data!H16,Codes!$A$23:$B$25,2,FALSE()),"Invalid ("&amp;Data!H16&amp;")"))</f>
        <v>Normal</v>
      </c>
      <c r="I16" s="20" t="n">
        <f aca="false">IF(Data!I16="","",Data!I16)</f>
        <v>162</v>
      </c>
      <c r="J16" s="28" t="str">
        <f aca="false">IF(Data!J16="","",IFERROR(VLOOKUP(Data!J16,Codes!$A$29:$B$30,2,FALSE()),"Invalid ("&amp;Data!J16&amp;")"))</f>
        <v>No</v>
      </c>
      <c r="K16" s="21" t="n">
        <f aca="false">IF(Data!K16="","",Data!K16)</f>
        <v>0.5</v>
      </c>
      <c r="L16" s="28" t="str">
        <f aca="false">IF(Data!L16="","",IFERROR(VLOOKUP(Data!L16,Codes!$A$34:$B$36,2,FALSE()),"Invalid ("&amp;Data!L16&amp;")"))</f>
        <v>Upsloping</v>
      </c>
      <c r="M16" s="20" t="n">
        <f aca="false">IF(Data!M16="","",Data!M16)</f>
        <v>0</v>
      </c>
      <c r="N16" s="28" t="str">
        <f aca="false">IF(Data!N16="","",IFERROR(VLOOKUP(Data!N16,Codes!$A$47:$B$49,2,FALSE()),"Invalid ("&amp;Data!N16&amp;")"))</f>
        <v>Reversible defect</v>
      </c>
      <c r="O16" s="28" t="str">
        <f aca="false">IF(Data!O16="","",IFERROR(VLOOKUP(Data!O16,Codes!$A$53:$B$57,2,FALSE()),"Invalid ("&amp;Data!O16&amp;")"))</f>
        <v>No disease</v>
      </c>
      <c r="P16" s="22" t="str">
        <f aca="false">IF(Data!P16="","",IFERROR(VLOOKUP(Data!P16,Codes!$A$61:$B$64,2,FALSE()),"Invalid ("&amp;Data!P16&amp;")"))</f>
        <v>Cleveland Clinic</v>
      </c>
    </row>
    <row r="17" customFormat="false" ht="15" hidden="false" customHeight="false" outlineLevel="0" collapsed="false">
      <c r="A17" s="19" t="n">
        <f aca="false">Data!A17</f>
        <v>16</v>
      </c>
      <c r="B17" s="20" t="n">
        <f aca="false">IF(Data!B17="","",Data!B17)</f>
        <v>57</v>
      </c>
      <c r="C17" s="28" t="str">
        <f aca="false">IF(Data!C17="","",IFERROR(VLOOKUP(Data!C17,Codes!$A$6:$B$7,2,FALSE()),"Invalid ("&amp;Data!C17&amp;")"))</f>
        <v>Male</v>
      </c>
      <c r="D17" s="28" t="str">
        <f aca="false">IF(Data!D17="","",IFERROR(VLOOKUP(Data!D17,Codes!$A$11:$B$14,2,FALSE()),"Invalid ("&amp;Data!D17&amp;")"))</f>
        <v>Non-anginal pain</v>
      </c>
      <c r="E17" s="20" t="n">
        <f aca="false">IF(Data!E17="","",Data!E17)</f>
        <v>150</v>
      </c>
      <c r="F17" s="20" t="n">
        <f aca="false">IF(Data!F17="","",Data!F17)</f>
        <v>168</v>
      </c>
      <c r="G17" s="28" t="str">
        <f aca="false">IF(Data!G17="","",IFERROR(VLOOKUP(Data!G17,Codes!$A$18:$B$19,2,FALSE()),"Invalid ("&amp;Data!G17&amp;")"))</f>
        <v>No</v>
      </c>
      <c r="H17" s="28" t="str">
        <f aca="false">IF(Data!H17="","",IFERROR(VLOOKUP(Data!H17,Codes!$A$23:$B$25,2,FALSE()),"Invalid ("&amp;Data!H17&amp;")"))</f>
        <v>Normal</v>
      </c>
      <c r="I17" s="20" t="n">
        <f aca="false">IF(Data!I17="","",Data!I17)</f>
        <v>174</v>
      </c>
      <c r="J17" s="28" t="str">
        <f aca="false">IF(Data!J17="","",IFERROR(VLOOKUP(Data!J17,Codes!$A$29:$B$30,2,FALSE()),"Invalid ("&amp;Data!J17&amp;")"))</f>
        <v>No</v>
      </c>
      <c r="K17" s="21" t="n">
        <f aca="false">IF(Data!K17="","",Data!K17)</f>
        <v>1.6</v>
      </c>
      <c r="L17" s="28" t="str">
        <f aca="false">IF(Data!L17="","",IFERROR(VLOOKUP(Data!L17,Codes!$A$34:$B$36,2,FALSE()),"Invalid ("&amp;Data!L17&amp;")"))</f>
        <v>Upsloping</v>
      </c>
      <c r="M17" s="20" t="n">
        <f aca="false">IF(Data!M17="","",Data!M17)</f>
        <v>0</v>
      </c>
      <c r="N17" s="28" t="str">
        <f aca="false">IF(Data!N17="","",IFERROR(VLOOKUP(Data!N17,Codes!$A$47:$B$49,2,FALSE()),"Invalid ("&amp;Data!N17&amp;")"))</f>
        <v>Normal</v>
      </c>
      <c r="O17" s="28" t="str">
        <f aca="false">IF(Data!O17="","",IFERROR(VLOOKUP(Data!O17,Codes!$A$53:$B$57,2,FALSE()),"Invalid ("&amp;Data!O17&amp;")"))</f>
        <v>No disease</v>
      </c>
      <c r="P17" s="22" t="str">
        <f aca="false">IF(Data!P17="","",IFERROR(VLOOKUP(Data!P17,Codes!$A$61:$B$64,2,FALSE()),"Invalid ("&amp;Data!P17&amp;")"))</f>
        <v>Cleveland Clinic</v>
      </c>
    </row>
    <row r="18" customFormat="false" ht="15" hidden="false" customHeight="false" outlineLevel="0" collapsed="false">
      <c r="A18" s="19" t="n">
        <f aca="false">Data!A18</f>
        <v>17</v>
      </c>
      <c r="B18" s="20" t="n">
        <f aca="false">IF(Data!B18="","",Data!B18)</f>
        <v>48</v>
      </c>
      <c r="C18" s="28" t="str">
        <f aca="false">IF(Data!C18="","",IFERROR(VLOOKUP(Data!C18,Codes!$A$6:$B$7,2,FALSE()),"Invalid ("&amp;Data!C18&amp;")"))</f>
        <v>Male</v>
      </c>
      <c r="D18" s="28" t="str">
        <f aca="false">IF(Data!D18="","",IFERROR(VLOOKUP(Data!D18,Codes!$A$11:$B$14,2,FALSE()),"Invalid ("&amp;Data!D18&amp;")"))</f>
        <v>Atypical angina</v>
      </c>
      <c r="E18" s="20" t="n">
        <f aca="false">IF(Data!E18="","",Data!E18)</f>
        <v>110</v>
      </c>
      <c r="F18" s="20" t="n">
        <f aca="false">IF(Data!F18="","",Data!F18)</f>
        <v>229</v>
      </c>
      <c r="G18" s="28" t="str">
        <f aca="false">IF(Data!G18="","",IFERROR(VLOOKUP(Data!G18,Codes!$A$18:$B$19,2,FALSE()),"Invalid ("&amp;Data!G18&amp;")"))</f>
        <v>No</v>
      </c>
      <c r="H18" s="28" t="str">
        <f aca="false">IF(Data!H18="","",IFERROR(VLOOKUP(Data!H18,Codes!$A$23:$B$25,2,FALSE()),"Invalid ("&amp;Data!H18&amp;")"))</f>
        <v>Normal</v>
      </c>
      <c r="I18" s="20" t="n">
        <f aca="false">IF(Data!I18="","",Data!I18)</f>
        <v>168</v>
      </c>
      <c r="J18" s="28" t="str">
        <f aca="false">IF(Data!J18="","",IFERROR(VLOOKUP(Data!J18,Codes!$A$29:$B$30,2,FALSE()),"Invalid ("&amp;Data!J18&amp;")"))</f>
        <v>No</v>
      </c>
      <c r="K18" s="21" t="n">
        <f aca="false">IF(Data!K18="","",Data!K18)</f>
        <v>1</v>
      </c>
      <c r="L18" s="28" t="str">
        <f aca="false">IF(Data!L18="","",IFERROR(VLOOKUP(Data!L18,Codes!$A$34:$B$36,2,FALSE()),"Invalid ("&amp;Data!L18&amp;")"))</f>
        <v>Downsloping</v>
      </c>
      <c r="M18" s="20" t="n">
        <f aca="false">IF(Data!M18="","",Data!M18)</f>
        <v>0</v>
      </c>
      <c r="N18" s="28" t="str">
        <f aca="false">IF(Data!N18="","",IFERROR(VLOOKUP(Data!N18,Codes!$A$47:$B$49,2,FALSE()),"Invalid ("&amp;Data!N18&amp;")"))</f>
        <v>Reversible defect</v>
      </c>
      <c r="O18" s="28" t="str">
        <f aca="false">IF(Data!O18="","",IFERROR(VLOOKUP(Data!O18,Codes!$A$53:$B$57,2,FALSE()),"Invalid ("&amp;Data!O18&amp;")"))</f>
        <v>Disease (1)</v>
      </c>
      <c r="P18" s="22" t="str">
        <f aca="false">IF(Data!P18="","",IFERROR(VLOOKUP(Data!P18,Codes!$A$61:$B$64,2,FALSE()),"Invalid ("&amp;Data!P18&amp;")"))</f>
        <v>Cleveland Clinic</v>
      </c>
    </row>
    <row r="19" customFormat="false" ht="15" hidden="false" customHeight="false" outlineLevel="0" collapsed="false">
      <c r="A19" s="19" t="n">
        <f aca="false">Data!A19</f>
        <v>18</v>
      </c>
      <c r="B19" s="20" t="n">
        <f aca="false">IF(Data!B19="","",Data!B19)</f>
        <v>54</v>
      </c>
      <c r="C19" s="28" t="str">
        <f aca="false">IF(Data!C19="","",IFERROR(VLOOKUP(Data!C19,Codes!$A$6:$B$7,2,FALSE()),"Invalid ("&amp;Data!C19&amp;")"))</f>
        <v>Male</v>
      </c>
      <c r="D19" s="28" t="str">
        <f aca="false">IF(Data!D19="","",IFERROR(VLOOKUP(Data!D19,Codes!$A$11:$B$14,2,FALSE()),"Invalid ("&amp;Data!D19&amp;")"))</f>
        <v>Asymptomatic</v>
      </c>
      <c r="E19" s="20" t="n">
        <f aca="false">IF(Data!E19="","",Data!E19)</f>
        <v>140</v>
      </c>
      <c r="F19" s="20" t="n">
        <f aca="false">IF(Data!F19="","",Data!F19)</f>
        <v>239</v>
      </c>
      <c r="G19" s="28" t="str">
        <f aca="false">IF(Data!G19="","",IFERROR(VLOOKUP(Data!G19,Codes!$A$18:$B$19,2,FALSE()),"Invalid ("&amp;Data!G19&amp;")"))</f>
        <v>No</v>
      </c>
      <c r="H19" s="28" t="str">
        <f aca="false">IF(Data!H19="","",IFERROR(VLOOKUP(Data!H19,Codes!$A$23:$B$25,2,FALSE()),"Invalid ("&amp;Data!H19&amp;")"))</f>
        <v>Normal</v>
      </c>
      <c r="I19" s="20" t="n">
        <f aca="false">IF(Data!I19="","",Data!I19)</f>
        <v>160</v>
      </c>
      <c r="J19" s="28" t="str">
        <f aca="false">IF(Data!J19="","",IFERROR(VLOOKUP(Data!J19,Codes!$A$29:$B$30,2,FALSE()),"Invalid ("&amp;Data!J19&amp;")"))</f>
        <v>No</v>
      </c>
      <c r="K19" s="21" t="n">
        <f aca="false">IF(Data!K19="","",Data!K19)</f>
        <v>1.2</v>
      </c>
      <c r="L19" s="28" t="str">
        <f aca="false">IF(Data!L19="","",IFERROR(VLOOKUP(Data!L19,Codes!$A$34:$B$36,2,FALSE()),"Invalid ("&amp;Data!L19&amp;")"))</f>
        <v>Upsloping</v>
      </c>
      <c r="M19" s="20" t="n">
        <f aca="false">IF(Data!M19="","",Data!M19)</f>
        <v>0</v>
      </c>
      <c r="N19" s="28" t="str">
        <f aca="false">IF(Data!N19="","",IFERROR(VLOOKUP(Data!N19,Codes!$A$47:$B$49,2,FALSE()),"Invalid ("&amp;Data!N19&amp;")"))</f>
        <v>Normal</v>
      </c>
      <c r="O19" s="28" t="str">
        <f aca="false">IF(Data!O19="","",IFERROR(VLOOKUP(Data!O19,Codes!$A$53:$B$57,2,FALSE()),"Invalid ("&amp;Data!O19&amp;")"))</f>
        <v>No disease</v>
      </c>
      <c r="P19" s="22" t="str">
        <f aca="false">IF(Data!P19="","",IFERROR(VLOOKUP(Data!P19,Codes!$A$61:$B$64,2,FALSE()),"Invalid ("&amp;Data!P19&amp;")"))</f>
        <v>Cleveland Clinic</v>
      </c>
    </row>
    <row r="20" customFormat="false" ht="15" hidden="false" customHeight="false" outlineLevel="0" collapsed="false">
      <c r="A20" s="19" t="n">
        <f aca="false">Data!A20</f>
        <v>19</v>
      </c>
      <c r="B20" s="20" t="n">
        <f aca="false">IF(Data!B20="","",Data!B20)</f>
        <v>48</v>
      </c>
      <c r="C20" s="28" t="str">
        <f aca="false">IF(Data!C20="","",IFERROR(VLOOKUP(Data!C20,Codes!$A$6:$B$7,2,FALSE()),"Invalid ("&amp;Data!C20&amp;")"))</f>
        <v>Female</v>
      </c>
      <c r="D20" s="28" t="str">
        <f aca="false">IF(Data!D20="","",IFERROR(VLOOKUP(Data!D20,Codes!$A$11:$B$14,2,FALSE()),"Invalid ("&amp;Data!D20&amp;")"))</f>
        <v>Non-anginal pain</v>
      </c>
      <c r="E20" s="20" t="n">
        <f aca="false">IF(Data!E20="","",Data!E20)</f>
        <v>130</v>
      </c>
      <c r="F20" s="20" t="n">
        <f aca="false">IF(Data!F20="","",Data!F20)</f>
        <v>275</v>
      </c>
      <c r="G20" s="28" t="str">
        <f aca="false">IF(Data!G20="","",IFERROR(VLOOKUP(Data!G20,Codes!$A$18:$B$19,2,FALSE()),"Invalid ("&amp;Data!G20&amp;")"))</f>
        <v>No</v>
      </c>
      <c r="H20" s="28" t="str">
        <f aca="false">IF(Data!H20="","",IFERROR(VLOOKUP(Data!H20,Codes!$A$23:$B$25,2,FALSE()),"Invalid ("&amp;Data!H20&amp;")"))</f>
        <v>Normal</v>
      </c>
      <c r="I20" s="20" t="n">
        <f aca="false">IF(Data!I20="","",Data!I20)</f>
        <v>139</v>
      </c>
      <c r="J20" s="28" t="str">
        <f aca="false">IF(Data!J20="","",IFERROR(VLOOKUP(Data!J20,Codes!$A$29:$B$30,2,FALSE()),"Invalid ("&amp;Data!J20&amp;")"))</f>
        <v>No</v>
      </c>
      <c r="K20" s="21" t="n">
        <f aca="false">IF(Data!K20="","",Data!K20)</f>
        <v>0.2</v>
      </c>
      <c r="L20" s="28" t="str">
        <f aca="false">IF(Data!L20="","",IFERROR(VLOOKUP(Data!L20,Codes!$A$34:$B$36,2,FALSE()),"Invalid ("&amp;Data!L20&amp;")"))</f>
        <v>Upsloping</v>
      </c>
      <c r="M20" s="20" t="n">
        <f aca="false">IF(Data!M20="","",Data!M20)</f>
        <v>0</v>
      </c>
      <c r="N20" s="28" t="str">
        <f aca="false">IF(Data!N20="","",IFERROR(VLOOKUP(Data!N20,Codes!$A$47:$B$49,2,FALSE()),"Invalid ("&amp;Data!N20&amp;")"))</f>
        <v>Normal</v>
      </c>
      <c r="O20" s="28" t="str">
        <f aca="false">IF(Data!O20="","",IFERROR(VLOOKUP(Data!O20,Codes!$A$53:$B$57,2,FALSE()),"Invalid ("&amp;Data!O20&amp;")"))</f>
        <v>No disease</v>
      </c>
      <c r="P20" s="22" t="str">
        <f aca="false">IF(Data!P20="","",IFERROR(VLOOKUP(Data!P20,Codes!$A$61:$B$64,2,FALSE()),"Invalid ("&amp;Data!P20&amp;")"))</f>
        <v>Cleveland Clinic</v>
      </c>
    </row>
    <row r="21" customFormat="false" ht="15" hidden="false" customHeight="false" outlineLevel="0" collapsed="false">
      <c r="A21" s="19" t="n">
        <f aca="false">Data!A21</f>
        <v>20</v>
      </c>
      <c r="B21" s="20" t="n">
        <f aca="false">IF(Data!B21="","",Data!B21)</f>
        <v>49</v>
      </c>
      <c r="C21" s="28" t="str">
        <f aca="false">IF(Data!C21="","",IFERROR(VLOOKUP(Data!C21,Codes!$A$6:$B$7,2,FALSE()),"Invalid ("&amp;Data!C21&amp;")"))</f>
        <v>Male</v>
      </c>
      <c r="D21" s="28" t="str">
        <f aca="false">IF(Data!D21="","",IFERROR(VLOOKUP(Data!D21,Codes!$A$11:$B$14,2,FALSE()),"Invalid ("&amp;Data!D21&amp;")"))</f>
        <v>Atypical angina</v>
      </c>
      <c r="E21" s="20" t="n">
        <f aca="false">IF(Data!E21="","",Data!E21)</f>
        <v>130</v>
      </c>
      <c r="F21" s="20" t="n">
        <f aca="false">IF(Data!F21="","",Data!F21)</f>
        <v>266</v>
      </c>
      <c r="G21" s="28" t="str">
        <f aca="false">IF(Data!G21="","",IFERROR(VLOOKUP(Data!G21,Codes!$A$18:$B$19,2,FALSE()),"Invalid ("&amp;Data!G21&amp;")"))</f>
        <v>No</v>
      </c>
      <c r="H21" s="28" t="str">
        <f aca="false">IF(Data!H21="","",IFERROR(VLOOKUP(Data!H21,Codes!$A$23:$B$25,2,FALSE()),"Invalid ("&amp;Data!H21&amp;")"))</f>
        <v>Normal</v>
      </c>
      <c r="I21" s="20" t="n">
        <f aca="false">IF(Data!I21="","",Data!I21)</f>
        <v>171</v>
      </c>
      <c r="J21" s="28" t="str">
        <f aca="false">IF(Data!J21="","",IFERROR(VLOOKUP(Data!J21,Codes!$A$29:$B$30,2,FALSE()),"Invalid ("&amp;Data!J21&amp;")"))</f>
        <v>No</v>
      </c>
      <c r="K21" s="21" t="n">
        <f aca="false">IF(Data!K21="","",Data!K21)</f>
        <v>0.6</v>
      </c>
      <c r="L21" s="28" t="str">
        <f aca="false">IF(Data!L21="","",IFERROR(VLOOKUP(Data!L21,Codes!$A$34:$B$36,2,FALSE()),"Invalid ("&amp;Data!L21&amp;")"))</f>
        <v>Upsloping</v>
      </c>
      <c r="M21" s="20" t="n">
        <f aca="false">IF(Data!M21="","",Data!M21)</f>
        <v>0</v>
      </c>
      <c r="N21" s="28" t="str">
        <f aca="false">IF(Data!N21="","",IFERROR(VLOOKUP(Data!N21,Codes!$A$47:$B$49,2,FALSE()),"Invalid ("&amp;Data!N21&amp;")"))</f>
        <v>Normal</v>
      </c>
      <c r="O21" s="28" t="str">
        <f aca="false">IF(Data!O21="","",IFERROR(VLOOKUP(Data!O21,Codes!$A$53:$B$57,2,FALSE()),"Invalid ("&amp;Data!O21&amp;")"))</f>
        <v>No disease</v>
      </c>
      <c r="P21" s="22" t="str">
        <f aca="false">IF(Data!P21="","",IFERROR(VLOOKUP(Data!P21,Codes!$A$61:$B$64,2,FALSE()),"Invalid ("&amp;Data!P21&amp;")"))</f>
        <v>Cleveland Clinic</v>
      </c>
    </row>
    <row r="22" customFormat="false" ht="15" hidden="false" customHeight="false" outlineLevel="0" collapsed="false">
      <c r="A22" s="19" t="n">
        <f aca="false">Data!A22</f>
        <v>21</v>
      </c>
      <c r="B22" s="20" t="n">
        <f aca="false">IF(Data!B22="","",Data!B22)</f>
        <v>64</v>
      </c>
      <c r="C22" s="28" t="str">
        <f aca="false">IF(Data!C22="","",IFERROR(VLOOKUP(Data!C22,Codes!$A$6:$B$7,2,FALSE()),"Invalid ("&amp;Data!C22&amp;")"))</f>
        <v>Male</v>
      </c>
      <c r="D22" s="28" t="str">
        <f aca="false">IF(Data!D22="","",IFERROR(VLOOKUP(Data!D22,Codes!$A$11:$B$14,2,FALSE()),"Invalid ("&amp;Data!D22&amp;")"))</f>
        <v>Typical angina</v>
      </c>
      <c r="E22" s="20" t="n">
        <f aca="false">IF(Data!E22="","",Data!E22)</f>
        <v>110</v>
      </c>
      <c r="F22" s="20" t="n">
        <f aca="false">IF(Data!F22="","",Data!F22)</f>
        <v>211</v>
      </c>
      <c r="G22" s="28" t="str">
        <f aca="false">IF(Data!G22="","",IFERROR(VLOOKUP(Data!G22,Codes!$A$18:$B$19,2,FALSE()),"Invalid ("&amp;Data!G22&amp;")"))</f>
        <v>No</v>
      </c>
      <c r="H22" s="28" t="str">
        <f aca="false">IF(Data!H22="","",IFERROR(VLOOKUP(Data!H22,Codes!$A$23:$B$25,2,FALSE()),"Invalid ("&amp;Data!H22&amp;")"))</f>
        <v>Left ventricular hypertrophy</v>
      </c>
      <c r="I22" s="20" t="n">
        <f aca="false">IF(Data!I22="","",Data!I22)</f>
        <v>144</v>
      </c>
      <c r="J22" s="28" t="str">
        <f aca="false">IF(Data!J22="","",IFERROR(VLOOKUP(Data!J22,Codes!$A$29:$B$30,2,FALSE()),"Invalid ("&amp;Data!J22&amp;")"))</f>
        <v>Yes</v>
      </c>
      <c r="K22" s="21" t="n">
        <f aca="false">IF(Data!K22="","",Data!K22)</f>
        <v>1.8</v>
      </c>
      <c r="L22" s="28" t="str">
        <f aca="false">IF(Data!L22="","",IFERROR(VLOOKUP(Data!L22,Codes!$A$34:$B$36,2,FALSE()),"Invalid ("&amp;Data!L22&amp;")"))</f>
        <v>Flat</v>
      </c>
      <c r="M22" s="20" t="n">
        <f aca="false">IF(Data!M22="","",Data!M22)</f>
        <v>0</v>
      </c>
      <c r="N22" s="28" t="str">
        <f aca="false">IF(Data!N22="","",IFERROR(VLOOKUP(Data!N22,Codes!$A$47:$B$49,2,FALSE()),"Invalid ("&amp;Data!N22&amp;")"))</f>
        <v>Normal</v>
      </c>
      <c r="O22" s="28" t="str">
        <f aca="false">IF(Data!O22="","",IFERROR(VLOOKUP(Data!O22,Codes!$A$53:$B$57,2,FALSE()),"Invalid ("&amp;Data!O22&amp;")"))</f>
        <v>No disease</v>
      </c>
      <c r="P22" s="22" t="str">
        <f aca="false">IF(Data!P22="","",IFERROR(VLOOKUP(Data!P22,Codes!$A$61:$B$64,2,FALSE()),"Invalid ("&amp;Data!P22&amp;")"))</f>
        <v>Cleveland Clinic</v>
      </c>
    </row>
    <row r="23" customFormat="false" ht="15" hidden="false" customHeight="false" outlineLevel="0" collapsed="false">
      <c r="A23" s="19" t="n">
        <f aca="false">Data!A23</f>
        <v>22</v>
      </c>
      <c r="B23" s="20" t="n">
        <f aca="false">IF(Data!B23="","",Data!B23)</f>
        <v>58</v>
      </c>
      <c r="C23" s="28" t="str">
        <f aca="false">IF(Data!C23="","",IFERROR(VLOOKUP(Data!C23,Codes!$A$6:$B$7,2,FALSE()),"Invalid ("&amp;Data!C23&amp;")"))</f>
        <v>Female</v>
      </c>
      <c r="D23" s="28" t="str">
        <f aca="false">IF(Data!D23="","",IFERROR(VLOOKUP(Data!D23,Codes!$A$11:$B$14,2,FALSE()),"Invalid ("&amp;Data!D23&amp;")"))</f>
        <v>Typical angina</v>
      </c>
      <c r="E23" s="20" t="n">
        <f aca="false">IF(Data!E23="","",Data!E23)</f>
        <v>150</v>
      </c>
      <c r="F23" s="20" t="n">
        <f aca="false">IF(Data!F23="","",Data!F23)</f>
        <v>283</v>
      </c>
      <c r="G23" s="28" t="str">
        <f aca="false">IF(Data!G23="","",IFERROR(VLOOKUP(Data!G23,Codes!$A$18:$B$19,2,FALSE()),"Invalid ("&amp;Data!G23&amp;")"))</f>
        <v>Yes</v>
      </c>
      <c r="H23" s="28" t="str">
        <f aca="false">IF(Data!H23="","",IFERROR(VLOOKUP(Data!H23,Codes!$A$23:$B$25,2,FALSE()),"Invalid ("&amp;Data!H23&amp;")"))</f>
        <v>Left ventricular hypertrophy</v>
      </c>
      <c r="I23" s="20" t="n">
        <f aca="false">IF(Data!I23="","",Data!I23)</f>
        <v>162</v>
      </c>
      <c r="J23" s="28" t="str">
        <f aca="false">IF(Data!J23="","",IFERROR(VLOOKUP(Data!J23,Codes!$A$29:$B$30,2,FALSE()),"Invalid ("&amp;Data!J23&amp;")"))</f>
        <v>No</v>
      </c>
      <c r="K23" s="21" t="n">
        <f aca="false">IF(Data!K23="","",Data!K23)</f>
        <v>1</v>
      </c>
      <c r="L23" s="28" t="str">
        <f aca="false">IF(Data!L23="","",IFERROR(VLOOKUP(Data!L23,Codes!$A$34:$B$36,2,FALSE()),"Invalid ("&amp;Data!L23&amp;")"))</f>
        <v>Upsloping</v>
      </c>
      <c r="M23" s="20" t="n">
        <f aca="false">IF(Data!M23="","",Data!M23)</f>
        <v>0</v>
      </c>
      <c r="N23" s="28" t="str">
        <f aca="false">IF(Data!N23="","",IFERROR(VLOOKUP(Data!N23,Codes!$A$47:$B$49,2,FALSE()),"Invalid ("&amp;Data!N23&amp;")"))</f>
        <v>Normal</v>
      </c>
      <c r="O23" s="28" t="str">
        <f aca="false">IF(Data!O23="","",IFERROR(VLOOKUP(Data!O23,Codes!$A$53:$B$57,2,FALSE()),"Invalid ("&amp;Data!O23&amp;")"))</f>
        <v>No disease</v>
      </c>
      <c r="P23" s="22" t="str">
        <f aca="false">IF(Data!P23="","",IFERROR(VLOOKUP(Data!P23,Codes!$A$61:$B$64,2,FALSE()),"Invalid ("&amp;Data!P23&amp;")"))</f>
        <v>Cleveland Clinic</v>
      </c>
    </row>
    <row r="24" customFormat="false" ht="15" hidden="false" customHeight="false" outlineLevel="0" collapsed="false">
      <c r="A24" s="19" t="n">
        <f aca="false">Data!A24</f>
        <v>23</v>
      </c>
      <c r="B24" s="20" t="n">
        <f aca="false">IF(Data!B24="","",Data!B24)</f>
        <v>58</v>
      </c>
      <c r="C24" s="28" t="str">
        <f aca="false">IF(Data!C24="","",IFERROR(VLOOKUP(Data!C24,Codes!$A$6:$B$7,2,FALSE()),"Invalid ("&amp;Data!C24&amp;")"))</f>
        <v>Male</v>
      </c>
      <c r="D24" s="28" t="str">
        <f aca="false">IF(Data!D24="","",IFERROR(VLOOKUP(Data!D24,Codes!$A$11:$B$14,2,FALSE()),"Invalid ("&amp;Data!D24&amp;")"))</f>
        <v>Atypical angina</v>
      </c>
      <c r="E24" s="20" t="n">
        <f aca="false">IF(Data!E24="","",Data!E24)</f>
        <v>120</v>
      </c>
      <c r="F24" s="20" t="n">
        <f aca="false">IF(Data!F24="","",Data!F24)</f>
        <v>284</v>
      </c>
      <c r="G24" s="28" t="str">
        <f aca="false">IF(Data!G24="","",IFERROR(VLOOKUP(Data!G24,Codes!$A$18:$B$19,2,FALSE()),"Invalid ("&amp;Data!G24&amp;")"))</f>
        <v>No</v>
      </c>
      <c r="H24" s="28" t="str">
        <f aca="false">IF(Data!H24="","",IFERROR(VLOOKUP(Data!H24,Codes!$A$23:$B$25,2,FALSE()),"Invalid ("&amp;Data!H24&amp;")"))</f>
        <v>Left ventricular hypertrophy</v>
      </c>
      <c r="I24" s="20" t="n">
        <f aca="false">IF(Data!I24="","",Data!I24)</f>
        <v>160</v>
      </c>
      <c r="J24" s="28" t="str">
        <f aca="false">IF(Data!J24="","",IFERROR(VLOOKUP(Data!J24,Codes!$A$29:$B$30,2,FALSE()),"Invalid ("&amp;Data!J24&amp;")"))</f>
        <v>No</v>
      </c>
      <c r="K24" s="21" t="n">
        <f aca="false">IF(Data!K24="","",Data!K24)</f>
        <v>1.8</v>
      </c>
      <c r="L24" s="28" t="str">
        <f aca="false">IF(Data!L24="","",IFERROR(VLOOKUP(Data!L24,Codes!$A$34:$B$36,2,FALSE()),"Invalid ("&amp;Data!L24&amp;")"))</f>
        <v>Flat</v>
      </c>
      <c r="M24" s="20" t="n">
        <f aca="false">IF(Data!M24="","",Data!M24)</f>
        <v>0</v>
      </c>
      <c r="N24" s="28" t="str">
        <f aca="false">IF(Data!N24="","",IFERROR(VLOOKUP(Data!N24,Codes!$A$47:$B$49,2,FALSE()),"Invalid ("&amp;Data!N24&amp;")"))</f>
        <v>Normal</v>
      </c>
      <c r="O24" s="28" t="str">
        <f aca="false">IF(Data!O24="","",IFERROR(VLOOKUP(Data!O24,Codes!$A$53:$B$57,2,FALSE()),"Invalid ("&amp;Data!O24&amp;")"))</f>
        <v>Disease (1)</v>
      </c>
      <c r="P24" s="22" t="str">
        <f aca="false">IF(Data!P24="","",IFERROR(VLOOKUP(Data!P24,Codes!$A$61:$B$64,2,FALSE()),"Invalid ("&amp;Data!P24&amp;")"))</f>
        <v>Cleveland Clinic</v>
      </c>
    </row>
    <row r="25" customFormat="false" ht="15" hidden="false" customHeight="false" outlineLevel="0" collapsed="false">
      <c r="A25" s="19" t="n">
        <f aca="false">Data!A25</f>
        <v>24</v>
      </c>
      <c r="B25" s="20" t="n">
        <f aca="false">IF(Data!B25="","",Data!B25)</f>
        <v>58</v>
      </c>
      <c r="C25" s="28" t="str">
        <f aca="false">IF(Data!C25="","",IFERROR(VLOOKUP(Data!C25,Codes!$A$6:$B$7,2,FALSE()),"Invalid ("&amp;Data!C25&amp;")"))</f>
        <v>Male</v>
      </c>
      <c r="D25" s="28" t="str">
        <f aca="false">IF(Data!D25="","",IFERROR(VLOOKUP(Data!D25,Codes!$A$11:$B$14,2,FALSE()),"Invalid ("&amp;Data!D25&amp;")"))</f>
        <v>Non-anginal pain</v>
      </c>
      <c r="E25" s="20" t="n">
        <f aca="false">IF(Data!E25="","",Data!E25)</f>
        <v>132</v>
      </c>
      <c r="F25" s="20" t="n">
        <f aca="false">IF(Data!F25="","",Data!F25)</f>
        <v>224</v>
      </c>
      <c r="G25" s="28" t="str">
        <f aca="false">IF(Data!G25="","",IFERROR(VLOOKUP(Data!G25,Codes!$A$18:$B$19,2,FALSE()),"Invalid ("&amp;Data!G25&amp;")"))</f>
        <v>No</v>
      </c>
      <c r="H25" s="28" t="str">
        <f aca="false">IF(Data!H25="","",IFERROR(VLOOKUP(Data!H25,Codes!$A$23:$B$25,2,FALSE()),"Invalid ("&amp;Data!H25&amp;")"))</f>
        <v>Left ventricular hypertrophy</v>
      </c>
      <c r="I25" s="20" t="n">
        <f aca="false">IF(Data!I25="","",Data!I25)</f>
        <v>173</v>
      </c>
      <c r="J25" s="28" t="str">
        <f aca="false">IF(Data!J25="","",IFERROR(VLOOKUP(Data!J25,Codes!$A$29:$B$30,2,FALSE()),"Invalid ("&amp;Data!J25&amp;")"))</f>
        <v>No</v>
      </c>
      <c r="K25" s="21" t="n">
        <f aca="false">IF(Data!K25="","",Data!K25)</f>
        <v>3.2</v>
      </c>
      <c r="L25" s="28" t="str">
        <f aca="false">IF(Data!L25="","",IFERROR(VLOOKUP(Data!L25,Codes!$A$34:$B$36,2,FALSE()),"Invalid ("&amp;Data!L25&amp;")"))</f>
        <v>Upsloping</v>
      </c>
      <c r="M25" s="20" t="n">
        <f aca="false">IF(Data!M25="","",Data!M25)</f>
        <v>2</v>
      </c>
      <c r="N25" s="28" t="str">
        <f aca="false">IF(Data!N25="","",IFERROR(VLOOKUP(Data!N25,Codes!$A$47:$B$49,2,FALSE()),"Invalid ("&amp;Data!N25&amp;")"))</f>
        <v>Reversible defect</v>
      </c>
      <c r="O25" s="28" t="str">
        <f aca="false">IF(Data!O25="","",IFERROR(VLOOKUP(Data!O25,Codes!$A$53:$B$57,2,FALSE()),"Invalid ("&amp;Data!O25&amp;")"))</f>
        <v>Disease (3)</v>
      </c>
      <c r="P25" s="22" t="str">
        <f aca="false">IF(Data!P25="","",IFERROR(VLOOKUP(Data!P25,Codes!$A$61:$B$64,2,FALSE()),"Invalid ("&amp;Data!P25&amp;")"))</f>
        <v>Cleveland Clinic</v>
      </c>
    </row>
    <row r="26" customFormat="false" ht="15" hidden="false" customHeight="false" outlineLevel="0" collapsed="false">
      <c r="A26" s="19" t="n">
        <f aca="false">Data!A26</f>
        <v>25</v>
      </c>
      <c r="B26" s="20" t="n">
        <f aca="false">IF(Data!B26="","",Data!B26)</f>
        <v>60</v>
      </c>
      <c r="C26" s="28" t="str">
        <f aca="false">IF(Data!C26="","",IFERROR(VLOOKUP(Data!C26,Codes!$A$6:$B$7,2,FALSE()),"Invalid ("&amp;Data!C26&amp;")"))</f>
        <v>Male</v>
      </c>
      <c r="D26" s="28" t="str">
        <f aca="false">IF(Data!D26="","",IFERROR(VLOOKUP(Data!D26,Codes!$A$11:$B$14,2,FALSE()),"Invalid ("&amp;Data!D26&amp;")"))</f>
        <v>Asymptomatic</v>
      </c>
      <c r="E26" s="20" t="n">
        <f aca="false">IF(Data!E26="","",Data!E26)</f>
        <v>130</v>
      </c>
      <c r="F26" s="20" t="n">
        <f aca="false">IF(Data!F26="","",Data!F26)</f>
        <v>206</v>
      </c>
      <c r="G26" s="28" t="str">
        <f aca="false">IF(Data!G26="","",IFERROR(VLOOKUP(Data!G26,Codes!$A$18:$B$19,2,FALSE()),"Invalid ("&amp;Data!G26&amp;")"))</f>
        <v>No</v>
      </c>
      <c r="H26" s="28" t="str">
        <f aca="false">IF(Data!H26="","",IFERROR(VLOOKUP(Data!H26,Codes!$A$23:$B$25,2,FALSE()),"Invalid ("&amp;Data!H26&amp;")"))</f>
        <v>Left ventricular hypertrophy</v>
      </c>
      <c r="I26" s="20" t="n">
        <f aca="false">IF(Data!I26="","",Data!I26)</f>
        <v>132</v>
      </c>
      <c r="J26" s="28" t="str">
        <f aca="false">IF(Data!J26="","",IFERROR(VLOOKUP(Data!J26,Codes!$A$29:$B$30,2,FALSE()),"Invalid ("&amp;Data!J26&amp;")"))</f>
        <v>Yes</v>
      </c>
      <c r="K26" s="21" t="n">
        <f aca="false">IF(Data!K26="","",Data!K26)</f>
        <v>2.4</v>
      </c>
      <c r="L26" s="28" t="str">
        <f aca="false">IF(Data!L26="","",IFERROR(VLOOKUP(Data!L26,Codes!$A$34:$B$36,2,FALSE()),"Invalid ("&amp;Data!L26&amp;")"))</f>
        <v>Flat</v>
      </c>
      <c r="M26" s="20" t="n">
        <f aca="false">IF(Data!M26="","",Data!M26)</f>
        <v>2</v>
      </c>
      <c r="N26" s="28" t="str">
        <f aca="false">IF(Data!N26="","",IFERROR(VLOOKUP(Data!N26,Codes!$A$47:$B$49,2,FALSE()),"Invalid ("&amp;Data!N26&amp;")"))</f>
        <v>Reversible defect</v>
      </c>
      <c r="O26" s="28" t="str">
        <f aca="false">IF(Data!O26="","",IFERROR(VLOOKUP(Data!O26,Codes!$A$53:$B$57,2,FALSE()),"Invalid ("&amp;Data!O26&amp;")"))</f>
        <v>Disease (4)</v>
      </c>
      <c r="P26" s="22" t="str">
        <f aca="false">IF(Data!P26="","",IFERROR(VLOOKUP(Data!P26,Codes!$A$61:$B$64,2,FALSE()),"Invalid ("&amp;Data!P26&amp;")"))</f>
        <v>Cleveland Clinic</v>
      </c>
    </row>
    <row r="27" customFormat="false" ht="15" hidden="false" customHeight="false" outlineLevel="0" collapsed="false">
      <c r="A27" s="19" t="n">
        <f aca="false">Data!A27</f>
        <v>26</v>
      </c>
      <c r="B27" s="20" t="n">
        <f aca="false">IF(Data!B27="","",Data!B27)</f>
        <v>50</v>
      </c>
      <c r="C27" s="28" t="str">
        <f aca="false">IF(Data!C27="","",IFERROR(VLOOKUP(Data!C27,Codes!$A$6:$B$7,2,FALSE()),"Invalid ("&amp;Data!C27&amp;")"))</f>
        <v>Female</v>
      </c>
      <c r="D27" s="28" t="str">
        <f aca="false">IF(Data!D27="","",IFERROR(VLOOKUP(Data!D27,Codes!$A$11:$B$14,2,FALSE()),"Invalid ("&amp;Data!D27&amp;")"))</f>
        <v>Non-anginal pain</v>
      </c>
      <c r="E27" s="20" t="n">
        <f aca="false">IF(Data!E27="","",Data!E27)</f>
        <v>120</v>
      </c>
      <c r="F27" s="20" t="n">
        <f aca="false">IF(Data!F27="","",Data!F27)</f>
        <v>219</v>
      </c>
      <c r="G27" s="28" t="str">
        <f aca="false">IF(Data!G27="","",IFERROR(VLOOKUP(Data!G27,Codes!$A$18:$B$19,2,FALSE()),"Invalid ("&amp;Data!G27&amp;")"))</f>
        <v>No</v>
      </c>
      <c r="H27" s="28" t="str">
        <f aca="false">IF(Data!H27="","",IFERROR(VLOOKUP(Data!H27,Codes!$A$23:$B$25,2,FALSE()),"Invalid ("&amp;Data!H27&amp;")"))</f>
        <v>Normal</v>
      </c>
      <c r="I27" s="20" t="n">
        <f aca="false">IF(Data!I27="","",Data!I27)</f>
        <v>158</v>
      </c>
      <c r="J27" s="28" t="str">
        <f aca="false">IF(Data!J27="","",IFERROR(VLOOKUP(Data!J27,Codes!$A$29:$B$30,2,FALSE()),"Invalid ("&amp;Data!J27&amp;")"))</f>
        <v>No</v>
      </c>
      <c r="K27" s="21" t="n">
        <f aca="false">IF(Data!K27="","",Data!K27)</f>
        <v>1.6</v>
      </c>
      <c r="L27" s="28" t="str">
        <f aca="false">IF(Data!L27="","",IFERROR(VLOOKUP(Data!L27,Codes!$A$34:$B$36,2,FALSE()),"Invalid ("&amp;Data!L27&amp;")"))</f>
        <v>Flat</v>
      </c>
      <c r="M27" s="20" t="n">
        <f aca="false">IF(Data!M27="","",Data!M27)</f>
        <v>0</v>
      </c>
      <c r="N27" s="28" t="str">
        <f aca="false">IF(Data!N27="","",IFERROR(VLOOKUP(Data!N27,Codes!$A$47:$B$49,2,FALSE()),"Invalid ("&amp;Data!N27&amp;")"))</f>
        <v>Normal</v>
      </c>
      <c r="O27" s="28" t="str">
        <f aca="false">IF(Data!O27="","",IFERROR(VLOOKUP(Data!O27,Codes!$A$53:$B$57,2,FALSE()),"Invalid ("&amp;Data!O27&amp;")"))</f>
        <v>No disease</v>
      </c>
      <c r="P27" s="22" t="str">
        <f aca="false">IF(Data!P27="","",IFERROR(VLOOKUP(Data!P27,Codes!$A$61:$B$64,2,FALSE()),"Invalid ("&amp;Data!P27&amp;")"))</f>
        <v>Cleveland Clinic</v>
      </c>
    </row>
    <row r="28" customFormat="false" ht="15" hidden="false" customHeight="false" outlineLevel="0" collapsed="false">
      <c r="A28" s="19" t="n">
        <f aca="false">Data!A28</f>
        <v>27</v>
      </c>
      <c r="B28" s="20" t="n">
        <f aca="false">IF(Data!B28="","",Data!B28)</f>
        <v>58</v>
      </c>
      <c r="C28" s="28" t="str">
        <f aca="false">IF(Data!C28="","",IFERROR(VLOOKUP(Data!C28,Codes!$A$6:$B$7,2,FALSE()),"Invalid ("&amp;Data!C28&amp;")"))</f>
        <v>Female</v>
      </c>
      <c r="D28" s="28" t="str">
        <f aca="false">IF(Data!D28="","",IFERROR(VLOOKUP(Data!D28,Codes!$A$11:$B$14,2,FALSE()),"Invalid ("&amp;Data!D28&amp;")"))</f>
        <v>Non-anginal pain</v>
      </c>
      <c r="E28" s="20" t="n">
        <f aca="false">IF(Data!E28="","",Data!E28)</f>
        <v>120</v>
      </c>
      <c r="F28" s="20" t="n">
        <f aca="false">IF(Data!F28="","",Data!F28)</f>
        <v>340</v>
      </c>
      <c r="G28" s="28" t="str">
        <f aca="false">IF(Data!G28="","",IFERROR(VLOOKUP(Data!G28,Codes!$A$18:$B$19,2,FALSE()),"Invalid ("&amp;Data!G28&amp;")"))</f>
        <v>No</v>
      </c>
      <c r="H28" s="28" t="str">
        <f aca="false">IF(Data!H28="","",IFERROR(VLOOKUP(Data!H28,Codes!$A$23:$B$25,2,FALSE()),"Invalid ("&amp;Data!H28&amp;")"))</f>
        <v>Normal</v>
      </c>
      <c r="I28" s="20" t="n">
        <f aca="false">IF(Data!I28="","",Data!I28)</f>
        <v>172</v>
      </c>
      <c r="J28" s="28" t="str">
        <f aca="false">IF(Data!J28="","",IFERROR(VLOOKUP(Data!J28,Codes!$A$29:$B$30,2,FALSE()),"Invalid ("&amp;Data!J28&amp;")"))</f>
        <v>No</v>
      </c>
      <c r="K28" s="21" t="n">
        <f aca="false">IF(Data!K28="","",Data!K28)</f>
        <v>0</v>
      </c>
      <c r="L28" s="28" t="str">
        <f aca="false">IF(Data!L28="","",IFERROR(VLOOKUP(Data!L28,Codes!$A$34:$B$36,2,FALSE()),"Invalid ("&amp;Data!L28&amp;")"))</f>
        <v>Upsloping</v>
      </c>
      <c r="M28" s="20" t="n">
        <f aca="false">IF(Data!M28="","",Data!M28)</f>
        <v>0</v>
      </c>
      <c r="N28" s="28" t="str">
        <f aca="false">IF(Data!N28="","",IFERROR(VLOOKUP(Data!N28,Codes!$A$47:$B$49,2,FALSE()),"Invalid ("&amp;Data!N28&amp;")"))</f>
        <v>Normal</v>
      </c>
      <c r="O28" s="28" t="str">
        <f aca="false">IF(Data!O28="","",IFERROR(VLOOKUP(Data!O28,Codes!$A$53:$B$57,2,FALSE()),"Invalid ("&amp;Data!O28&amp;")"))</f>
        <v>No disease</v>
      </c>
      <c r="P28" s="22" t="str">
        <f aca="false">IF(Data!P28="","",IFERROR(VLOOKUP(Data!P28,Codes!$A$61:$B$64,2,FALSE()),"Invalid ("&amp;Data!P28&amp;")"))</f>
        <v>Cleveland Clinic</v>
      </c>
    </row>
    <row r="29" customFormat="false" ht="15" hidden="false" customHeight="false" outlineLevel="0" collapsed="false">
      <c r="A29" s="19" t="n">
        <f aca="false">Data!A29</f>
        <v>28</v>
      </c>
      <c r="B29" s="20" t="n">
        <f aca="false">IF(Data!B29="","",Data!B29)</f>
        <v>66</v>
      </c>
      <c r="C29" s="28" t="str">
        <f aca="false">IF(Data!C29="","",IFERROR(VLOOKUP(Data!C29,Codes!$A$6:$B$7,2,FALSE()),"Invalid ("&amp;Data!C29&amp;")"))</f>
        <v>Female</v>
      </c>
      <c r="D29" s="28" t="str">
        <f aca="false">IF(Data!D29="","",IFERROR(VLOOKUP(Data!D29,Codes!$A$11:$B$14,2,FALSE()),"Invalid ("&amp;Data!D29&amp;")"))</f>
        <v>Typical angina</v>
      </c>
      <c r="E29" s="20" t="n">
        <f aca="false">IF(Data!E29="","",Data!E29)</f>
        <v>150</v>
      </c>
      <c r="F29" s="20" t="n">
        <f aca="false">IF(Data!F29="","",Data!F29)</f>
        <v>226</v>
      </c>
      <c r="G29" s="28" t="str">
        <f aca="false">IF(Data!G29="","",IFERROR(VLOOKUP(Data!G29,Codes!$A$18:$B$19,2,FALSE()),"Invalid ("&amp;Data!G29&amp;")"))</f>
        <v>No</v>
      </c>
      <c r="H29" s="28" t="str">
        <f aca="false">IF(Data!H29="","",IFERROR(VLOOKUP(Data!H29,Codes!$A$23:$B$25,2,FALSE()),"Invalid ("&amp;Data!H29&amp;")"))</f>
        <v>Normal</v>
      </c>
      <c r="I29" s="20" t="n">
        <f aca="false">IF(Data!I29="","",Data!I29)</f>
        <v>114</v>
      </c>
      <c r="J29" s="28" t="str">
        <f aca="false">IF(Data!J29="","",IFERROR(VLOOKUP(Data!J29,Codes!$A$29:$B$30,2,FALSE()),"Invalid ("&amp;Data!J29&amp;")"))</f>
        <v>No</v>
      </c>
      <c r="K29" s="21" t="n">
        <f aca="false">IF(Data!K29="","",Data!K29)</f>
        <v>2.6</v>
      </c>
      <c r="L29" s="28" t="str">
        <f aca="false">IF(Data!L29="","",IFERROR(VLOOKUP(Data!L29,Codes!$A$34:$B$36,2,FALSE()),"Invalid ("&amp;Data!L29&amp;")"))</f>
        <v>Downsloping</v>
      </c>
      <c r="M29" s="20" t="n">
        <f aca="false">IF(Data!M29="","",Data!M29)</f>
        <v>0</v>
      </c>
      <c r="N29" s="28" t="str">
        <f aca="false">IF(Data!N29="","",IFERROR(VLOOKUP(Data!N29,Codes!$A$47:$B$49,2,FALSE()),"Invalid ("&amp;Data!N29&amp;")"))</f>
        <v>Normal</v>
      </c>
      <c r="O29" s="28" t="str">
        <f aca="false">IF(Data!O29="","",IFERROR(VLOOKUP(Data!O29,Codes!$A$53:$B$57,2,FALSE()),"Invalid ("&amp;Data!O29&amp;")"))</f>
        <v>No disease</v>
      </c>
      <c r="P29" s="22" t="str">
        <f aca="false">IF(Data!P29="","",IFERROR(VLOOKUP(Data!P29,Codes!$A$61:$B$64,2,FALSE()),"Invalid ("&amp;Data!P29&amp;")"))</f>
        <v>Cleveland Clinic</v>
      </c>
    </row>
    <row r="30" customFormat="false" ht="15" hidden="false" customHeight="false" outlineLevel="0" collapsed="false">
      <c r="A30" s="19" t="n">
        <f aca="false">Data!A30</f>
        <v>29</v>
      </c>
      <c r="B30" s="20" t="n">
        <f aca="false">IF(Data!B30="","",Data!B30)</f>
        <v>43</v>
      </c>
      <c r="C30" s="28" t="str">
        <f aca="false">IF(Data!C30="","",IFERROR(VLOOKUP(Data!C30,Codes!$A$6:$B$7,2,FALSE()),"Invalid ("&amp;Data!C30&amp;")"))</f>
        <v>Male</v>
      </c>
      <c r="D30" s="28" t="str">
        <f aca="false">IF(Data!D30="","",IFERROR(VLOOKUP(Data!D30,Codes!$A$11:$B$14,2,FALSE()),"Invalid ("&amp;Data!D30&amp;")"))</f>
        <v>Asymptomatic</v>
      </c>
      <c r="E30" s="20" t="n">
        <f aca="false">IF(Data!E30="","",Data!E30)</f>
        <v>150</v>
      </c>
      <c r="F30" s="20" t="n">
        <f aca="false">IF(Data!F30="","",Data!F30)</f>
        <v>247</v>
      </c>
      <c r="G30" s="28" t="str">
        <f aca="false">IF(Data!G30="","",IFERROR(VLOOKUP(Data!G30,Codes!$A$18:$B$19,2,FALSE()),"Invalid ("&amp;Data!G30&amp;")"))</f>
        <v>No</v>
      </c>
      <c r="H30" s="28" t="str">
        <f aca="false">IF(Data!H30="","",IFERROR(VLOOKUP(Data!H30,Codes!$A$23:$B$25,2,FALSE()),"Invalid ("&amp;Data!H30&amp;")"))</f>
        <v>Normal</v>
      </c>
      <c r="I30" s="20" t="n">
        <f aca="false">IF(Data!I30="","",Data!I30)</f>
        <v>171</v>
      </c>
      <c r="J30" s="28" t="str">
        <f aca="false">IF(Data!J30="","",IFERROR(VLOOKUP(Data!J30,Codes!$A$29:$B$30,2,FALSE()),"Invalid ("&amp;Data!J30&amp;")"))</f>
        <v>No</v>
      </c>
      <c r="K30" s="21" t="n">
        <f aca="false">IF(Data!K30="","",Data!K30)</f>
        <v>1.5</v>
      </c>
      <c r="L30" s="28" t="str">
        <f aca="false">IF(Data!L30="","",IFERROR(VLOOKUP(Data!L30,Codes!$A$34:$B$36,2,FALSE()),"Invalid ("&amp;Data!L30&amp;")"))</f>
        <v>Upsloping</v>
      </c>
      <c r="M30" s="20" t="n">
        <f aca="false">IF(Data!M30="","",Data!M30)</f>
        <v>0</v>
      </c>
      <c r="N30" s="28" t="str">
        <f aca="false">IF(Data!N30="","",IFERROR(VLOOKUP(Data!N30,Codes!$A$47:$B$49,2,FALSE()),"Invalid ("&amp;Data!N30&amp;")"))</f>
        <v>Normal</v>
      </c>
      <c r="O30" s="28" t="str">
        <f aca="false">IF(Data!O30="","",IFERROR(VLOOKUP(Data!O30,Codes!$A$53:$B$57,2,FALSE()),"Invalid ("&amp;Data!O30&amp;")"))</f>
        <v>No disease</v>
      </c>
      <c r="P30" s="22" t="str">
        <f aca="false">IF(Data!P30="","",IFERROR(VLOOKUP(Data!P30,Codes!$A$61:$B$64,2,FALSE()),"Invalid ("&amp;Data!P30&amp;")"))</f>
        <v>Cleveland Clinic</v>
      </c>
    </row>
    <row r="31" customFormat="false" ht="15" hidden="false" customHeight="false" outlineLevel="0" collapsed="false">
      <c r="A31" s="19" t="n">
        <f aca="false">Data!A31</f>
        <v>30</v>
      </c>
      <c r="B31" s="20" t="n">
        <f aca="false">IF(Data!B31="","",Data!B31)</f>
        <v>40</v>
      </c>
      <c r="C31" s="28" t="str">
        <f aca="false">IF(Data!C31="","",IFERROR(VLOOKUP(Data!C31,Codes!$A$6:$B$7,2,FALSE()),"Invalid ("&amp;Data!C31&amp;")"))</f>
        <v>Male</v>
      </c>
      <c r="D31" s="28" t="str">
        <f aca="false">IF(Data!D31="","",IFERROR(VLOOKUP(Data!D31,Codes!$A$11:$B$14,2,FALSE()),"Invalid ("&amp;Data!D31&amp;")"))</f>
        <v>Asymptomatic</v>
      </c>
      <c r="E31" s="20" t="n">
        <f aca="false">IF(Data!E31="","",Data!E31)</f>
        <v>110</v>
      </c>
      <c r="F31" s="20" t="n">
        <f aca="false">IF(Data!F31="","",Data!F31)</f>
        <v>167</v>
      </c>
      <c r="G31" s="28" t="str">
        <f aca="false">IF(Data!G31="","",IFERROR(VLOOKUP(Data!G31,Codes!$A$18:$B$19,2,FALSE()),"Invalid ("&amp;Data!G31&amp;")"))</f>
        <v>No</v>
      </c>
      <c r="H31" s="28" t="str">
        <f aca="false">IF(Data!H31="","",IFERROR(VLOOKUP(Data!H31,Codes!$A$23:$B$25,2,FALSE()),"Invalid ("&amp;Data!H31&amp;")"))</f>
        <v>Left ventricular hypertrophy</v>
      </c>
      <c r="I31" s="20" t="n">
        <f aca="false">IF(Data!I31="","",Data!I31)</f>
        <v>114</v>
      </c>
      <c r="J31" s="28" t="str">
        <f aca="false">IF(Data!J31="","",IFERROR(VLOOKUP(Data!J31,Codes!$A$29:$B$30,2,FALSE()),"Invalid ("&amp;Data!J31&amp;")"))</f>
        <v>Yes</v>
      </c>
      <c r="K31" s="21" t="n">
        <f aca="false">IF(Data!K31="","",Data!K31)</f>
        <v>2</v>
      </c>
      <c r="L31" s="28" t="str">
        <f aca="false">IF(Data!L31="","",IFERROR(VLOOKUP(Data!L31,Codes!$A$34:$B$36,2,FALSE()),"Invalid ("&amp;Data!L31&amp;")"))</f>
        <v>Flat</v>
      </c>
      <c r="M31" s="20" t="n">
        <f aca="false">IF(Data!M31="","",Data!M31)</f>
        <v>0</v>
      </c>
      <c r="N31" s="28" t="str">
        <f aca="false">IF(Data!N31="","",IFERROR(VLOOKUP(Data!N31,Codes!$A$47:$B$49,2,FALSE()),"Invalid ("&amp;Data!N31&amp;")"))</f>
        <v>Reversible defect</v>
      </c>
      <c r="O31" s="28" t="str">
        <f aca="false">IF(Data!O31="","",IFERROR(VLOOKUP(Data!O31,Codes!$A$53:$B$57,2,FALSE()),"Invalid ("&amp;Data!O31&amp;")"))</f>
        <v>Disease (3)</v>
      </c>
      <c r="P31" s="22" t="str">
        <f aca="false">IF(Data!P31="","",IFERROR(VLOOKUP(Data!P31,Codes!$A$61:$B$64,2,FALSE()),"Invalid ("&amp;Data!P31&amp;")"))</f>
        <v>Cleveland Clinic</v>
      </c>
    </row>
    <row r="32" customFormat="false" ht="15" hidden="false" customHeight="false" outlineLevel="0" collapsed="false">
      <c r="A32" s="19" t="n">
        <f aca="false">Data!A32</f>
        <v>31</v>
      </c>
      <c r="B32" s="20" t="n">
        <f aca="false">IF(Data!B32="","",Data!B32)</f>
        <v>69</v>
      </c>
      <c r="C32" s="28" t="str">
        <f aca="false">IF(Data!C32="","",IFERROR(VLOOKUP(Data!C32,Codes!$A$6:$B$7,2,FALSE()),"Invalid ("&amp;Data!C32&amp;")"))</f>
        <v>Female</v>
      </c>
      <c r="D32" s="28" t="str">
        <f aca="false">IF(Data!D32="","",IFERROR(VLOOKUP(Data!D32,Codes!$A$11:$B$14,2,FALSE()),"Invalid ("&amp;Data!D32&amp;")"))</f>
        <v>Typical angina</v>
      </c>
      <c r="E32" s="20" t="n">
        <f aca="false">IF(Data!E32="","",Data!E32)</f>
        <v>140</v>
      </c>
      <c r="F32" s="20" t="n">
        <f aca="false">IF(Data!F32="","",Data!F32)</f>
        <v>239</v>
      </c>
      <c r="G32" s="28" t="str">
        <f aca="false">IF(Data!G32="","",IFERROR(VLOOKUP(Data!G32,Codes!$A$18:$B$19,2,FALSE()),"Invalid ("&amp;Data!G32&amp;")"))</f>
        <v>No</v>
      </c>
      <c r="H32" s="28" t="str">
        <f aca="false">IF(Data!H32="","",IFERROR(VLOOKUP(Data!H32,Codes!$A$23:$B$25,2,FALSE()),"Invalid ("&amp;Data!H32&amp;")"))</f>
        <v>Normal</v>
      </c>
      <c r="I32" s="20" t="n">
        <f aca="false">IF(Data!I32="","",Data!I32)</f>
        <v>151</v>
      </c>
      <c r="J32" s="28" t="str">
        <f aca="false">IF(Data!J32="","",IFERROR(VLOOKUP(Data!J32,Codes!$A$29:$B$30,2,FALSE()),"Invalid ("&amp;Data!J32&amp;")"))</f>
        <v>No</v>
      </c>
      <c r="K32" s="21" t="n">
        <f aca="false">IF(Data!K32="","",Data!K32)</f>
        <v>1.8</v>
      </c>
      <c r="L32" s="28" t="str">
        <f aca="false">IF(Data!L32="","",IFERROR(VLOOKUP(Data!L32,Codes!$A$34:$B$36,2,FALSE()),"Invalid ("&amp;Data!L32&amp;")"))</f>
        <v>Upsloping</v>
      </c>
      <c r="M32" s="20" t="n">
        <f aca="false">IF(Data!M32="","",Data!M32)</f>
        <v>2</v>
      </c>
      <c r="N32" s="28" t="str">
        <f aca="false">IF(Data!N32="","",IFERROR(VLOOKUP(Data!N32,Codes!$A$47:$B$49,2,FALSE()),"Invalid ("&amp;Data!N32&amp;")"))</f>
        <v>Normal</v>
      </c>
      <c r="O32" s="28" t="str">
        <f aca="false">IF(Data!O32="","",IFERROR(VLOOKUP(Data!O32,Codes!$A$53:$B$57,2,FALSE()),"Invalid ("&amp;Data!O32&amp;")"))</f>
        <v>No disease</v>
      </c>
      <c r="P32" s="22" t="str">
        <f aca="false">IF(Data!P32="","",IFERROR(VLOOKUP(Data!P32,Codes!$A$61:$B$64,2,FALSE()),"Invalid ("&amp;Data!P32&amp;")"))</f>
        <v>Cleveland Clinic</v>
      </c>
    </row>
    <row r="33" customFormat="false" ht="15" hidden="false" customHeight="false" outlineLevel="0" collapsed="false">
      <c r="A33" s="19" t="n">
        <f aca="false">Data!A33</f>
        <v>32</v>
      </c>
      <c r="B33" s="20" t="n">
        <f aca="false">IF(Data!B33="","",Data!B33)</f>
        <v>60</v>
      </c>
      <c r="C33" s="28" t="str">
        <f aca="false">IF(Data!C33="","",IFERROR(VLOOKUP(Data!C33,Codes!$A$6:$B$7,2,FALSE()),"Invalid ("&amp;Data!C33&amp;")"))</f>
        <v>Male</v>
      </c>
      <c r="D33" s="28" t="str">
        <f aca="false">IF(Data!D33="","",IFERROR(VLOOKUP(Data!D33,Codes!$A$11:$B$14,2,FALSE()),"Invalid ("&amp;Data!D33&amp;")"))</f>
        <v>Asymptomatic</v>
      </c>
      <c r="E33" s="20" t="n">
        <f aca="false">IF(Data!E33="","",Data!E33)</f>
        <v>117</v>
      </c>
      <c r="F33" s="20" t="n">
        <f aca="false">IF(Data!F33="","",Data!F33)</f>
        <v>230</v>
      </c>
      <c r="G33" s="28" t="str">
        <f aca="false">IF(Data!G33="","",IFERROR(VLOOKUP(Data!G33,Codes!$A$18:$B$19,2,FALSE()),"Invalid ("&amp;Data!G33&amp;")"))</f>
        <v>Yes</v>
      </c>
      <c r="H33" s="28" t="str">
        <f aca="false">IF(Data!H33="","",IFERROR(VLOOKUP(Data!H33,Codes!$A$23:$B$25,2,FALSE()),"Invalid ("&amp;Data!H33&amp;")"))</f>
        <v>Normal</v>
      </c>
      <c r="I33" s="20" t="n">
        <f aca="false">IF(Data!I33="","",Data!I33)</f>
        <v>160</v>
      </c>
      <c r="J33" s="28" t="str">
        <f aca="false">IF(Data!J33="","",IFERROR(VLOOKUP(Data!J33,Codes!$A$29:$B$30,2,FALSE()),"Invalid ("&amp;Data!J33&amp;")"))</f>
        <v>Yes</v>
      </c>
      <c r="K33" s="21" t="n">
        <f aca="false">IF(Data!K33="","",Data!K33)</f>
        <v>1.4</v>
      </c>
      <c r="L33" s="28" t="str">
        <f aca="false">IF(Data!L33="","",IFERROR(VLOOKUP(Data!L33,Codes!$A$34:$B$36,2,FALSE()),"Invalid ("&amp;Data!L33&amp;")"))</f>
        <v>Upsloping</v>
      </c>
      <c r="M33" s="20" t="n">
        <f aca="false">IF(Data!M33="","",Data!M33)</f>
        <v>2</v>
      </c>
      <c r="N33" s="28" t="str">
        <f aca="false">IF(Data!N33="","",IFERROR(VLOOKUP(Data!N33,Codes!$A$47:$B$49,2,FALSE()),"Invalid ("&amp;Data!N33&amp;")"))</f>
        <v>Reversible defect</v>
      </c>
      <c r="O33" s="28" t="str">
        <f aca="false">IF(Data!O33="","",IFERROR(VLOOKUP(Data!O33,Codes!$A$53:$B$57,2,FALSE()),"Invalid ("&amp;Data!O33&amp;")"))</f>
        <v>Disease (2)</v>
      </c>
      <c r="P33" s="22" t="str">
        <f aca="false">IF(Data!P33="","",IFERROR(VLOOKUP(Data!P33,Codes!$A$61:$B$64,2,FALSE()),"Invalid ("&amp;Data!P33&amp;")"))</f>
        <v>Cleveland Clinic</v>
      </c>
    </row>
    <row r="34" customFormat="false" ht="15" hidden="false" customHeight="false" outlineLevel="0" collapsed="false">
      <c r="A34" s="19" t="n">
        <f aca="false">Data!A34</f>
        <v>33</v>
      </c>
      <c r="B34" s="20" t="n">
        <f aca="false">IF(Data!B34="","",Data!B34)</f>
        <v>64</v>
      </c>
      <c r="C34" s="28" t="str">
        <f aca="false">IF(Data!C34="","",IFERROR(VLOOKUP(Data!C34,Codes!$A$6:$B$7,2,FALSE()),"Invalid ("&amp;Data!C34&amp;")"))</f>
        <v>Male</v>
      </c>
      <c r="D34" s="28" t="str">
        <f aca="false">IF(Data!D34="","",IFERROR(VLOOKUP(Data!D34,Codes!$A$11:$B$14,2,FALSE()),"Invalid ("&amp;Data!D34&amp;")"))</f>
        <v>Non-anginal pain</v>
      </c>
      <c r="E34" s="20" t="n">
        <f aca="false">IF(Data!E34="","",Data!E34)</f>
        <v>140</v>
      </c>
      <c r="F34" s="20" t="n">
        <f aca="false">IF(Data!F34="","",Data!F34)</f>
        <v>335</v>
      </c>
      <c r="G34" s="28" t="str">
        <f aca="false">IF(Data!G34="","",IFERROR(VLOOKUP(Data!G34,Codes!$A$18:$B$19,2,FALSE()),"Invalid ("&amp;Data!G34&amp;")"))</f>
        <v>No</v>
      </c>
      <c r="H34" s="28" t="str">
        <f aca="false">IF(Data!H34="","",IFERROR(VLOOKUP(Data!H34,Codes!$A$23:$B$25,2,FALSE()),"Invalid ("&amp;Data!H34&amp;")"))</f>
        <v>Normal</v>
      </c>
      <c r="I34" s="20" t="n">
        <f aca="false">IF(Data!I34="","",Data!I34)</f>
        <v>158</v>
      </c>
      <c r="J34" s="28" t="str">
        <f aca="false">IF(Data!J34="","",IFERROR(VLOOKUP(Data!J34,Codes!$A$29:$B$30,2,FALSE()),"Invalid ("&amp;Data!J34&amp;")"))</f>
        <v>No</v>
      </c>
      <c r="K34" s="21" t="n">
        <f aca="false">IF(Data!K34="","",Data!K34)</f>
        <v>0</v>
      </c>
      <c r="L34" s="28" t="str">
        <f aca="false">IF(Data!L34="","",IFERROR(VLOOKUP(Data!L34,Codes!$A$34:$B$36,2,FALSE()),"Invalid ("&amp;Data!L34&amp;")"))</f>
        <v>Upsloping</v>
      </c>
      <c r="M34" s="20" t="n">
        <f aca="false">IF(Data!M34="","",Data!M34)</f>
        <v>0</v>
      </c>
      <c r="N34" s="28" t="str">
        <f aca="false">IF(Data!N34="","",IFERROR(VLOOKUP(Data!N34,Codes!$A$47:$B$49,2,FALSE()),"Invalid ("&amp;Data!N34&amp;")"))</f>
        <v>Normal</v>
      </c>
      <c r="O34" s="28" t="str">
        <f aca="false">IF(Data!O34="","",IFERROR(VLOOKUP(Data!O34,Codes!$A$53:$B$57,2,FALSE()),"Invalid ("&amp;Data!O34&amp;")"))</f>
        <v>Disease (1)</v>
      </c>
      <c r="P34" s="22" t="str">
        <f aca="false">IF(Data!P34="","",IFERROR(VLOOKUP(Data!P34,Codes!$A$61:$B$64,2,FALSE()),"Invalid ("&amp;Data!P34&amp;")"))</f>
        <v>Cleveland Clinic</v>
      </c>
    </row>
    <row r="35" customFormat="false" ht="15" hidden="false" customHeight="false" outlineLevel="0" collapsed="false">
      <c r="A35" s="19" t="n">
        <f aca="false">Data!A35</f>
        <v>34</v>
      </c>
      <c r="B35" s="20" t="n">
        <f aca="false">IF(Data!B35="","",Data!B35)</f>
        <v>59</v>
      </c>
      <c r="C35" s="28" t="str">
        <f aca="false">IF(Data!C35="","",IFERROR(VLOOKUP(Data!C35,Codes!$A$6:$B$7,2,FALSE()),"Invalid ("&amp;Data!C35&amp;")"))</f>
        <v>Male</v>
      </c>
      <c r="D35" s="28" t="str">
        <f aca="false">IF(Data!D35="","",IFERROR(VLOOKUP(Data!D35,Codes!$A$11:$B$14,2,FALSE()),"Invalid ("&amp;Data!D35&amp;")"))</f>
        <v>Asymptomatic</v>
      </c>
      <c r="E35" s="20" t="n">
        <f aca="false">IF(Data!E35="","",Data!E35)</f>
        <v>135</v>
      </c>
      <c r="F35" s="20" t="n">
        <f aca="false">IF(Data!F35="","",Data!F35)</f>
        <v>234</v>
      </c>
      <c r="G35" s="28" t="str">
        <f aca="false">IF(Data!G35="","",IFERROR(VLOOKUP(Data!G35,Codes!$A$18:$B$19,2,FALSE()),"Invalid ("&amp;Data!G35&amp;")"))</f>
        <v>No</v>
      </c>
      <c r="H35" s="28" t="str">
        <f aca="false">IF(Data!H35="","",IFERROR(VLOOKUP(Data!H35,Codes!$A$23:$B$25,2,FALSE()),"Invalid ("&amp;Data!H35&amp;")"))</f>
        <v>Normal</v>
      </c>
      <c r="I35" s="20" t="n">
        <f aca="false">IF(Data!I35="","",Data!I35)</f>
        <v>161</v>
      </c>
      <c r="J35" s="28" t="str">
        <f aca="false">IF(Data!J35="","",IFERROR(VLOOKUP(Data!J35,Codes!$A$29:$B$30,2,FALSE()),"Invalid ("&amp;Data!J35&amp;")"))</f>
        <v>No</v>
      </c>
      <c r="K35" s="21" t="n">
        <f aca="false">IF(Data!K35="","",Data!K35)</f>
        <v>0.5</v>
      </c>
      <c r="L35" s="28" t="str">
        <f aca="false">IF(Data!L35="","",IFERROR(VLOOKUP(Data!L35,Codes!$A$34:$B$36,2,FALSE()),"Invalid ("&amp;Data!L35&amp;")"))</f>
        <v>Flat</v>
      </c>
      <c r="M35" s="20" t="n">
        <f aca="false">IF(Data!M35="","",Data!M35)</f>
        <v>0</v>
      </c>
      <c r="N35" s="28" t="str">
        <f aca="false">IF(Data!N35="","",IFERROR(VLOOKUP(Data!N35,Codes!$A$47:$B$49,2,FALSE()),"Invalid ("&amp;Data!N35&amp;")"))</f>
        <v>Reversible defect</v>
      </c>
      <c r="O35" s="28" t="str">
        <f aca="false">IF(Data!O35="","",IFERROR(VLOOKUP(Data!O35,Codes!$A$53:$B$57,2,FALSE()),"Invalid ("&amp;Data!O35&amp;")"))</f>
        <v>No disease</v>
      </c>
      <c r="P35" s="22" t="str">
        <f aca="false">IF(Data!P35="","",IFERROR(VLOOKUP(Data!P35,Codes!$A$61:$B$64,2,FALSE()),"Invalid ("&amp;Data!P35&amp;")"))</f>
        <v>Cleveland Clinic</v>
      </c>
    </row>
    <row r="36" customFormat="false" ht="15" hidden="false" customHeight="false" outlineLevel="0" collapsed="false">
      <c r="A36" s="19" t="n">
        <f aca="false">Data!A36</f>
        <v>35</v>
      </c>
      <c r="B36" s="20" t="n">
        <f aca="false">IF(Data!B36="","",Data!B36)</f>
        <v>44</v>
      </c>
      <c r="C36" s="28" t="str">
        <f aca="false">IF(Data!C36="","",IFERROR(VLOOKUP(Data!C36,Codes!$A$6:$B$7,2,FALSE()),"Invalid ("&amp;Data!C36&amp;")"))</f>
        <v>Male</v>
      </c>
      <c r="D36" s="28" t="str">
        <f aca="false">IF(Data!D36="","",IFERROR(VLOOKUP(Data!D36,Codes!$A$11:$B$14,2,FALSE()),"Invalid ("&amp;Data!D36&amp;")"))</f>
        <v>Non-anginal pain</v>
      </c>
      <c r="E36" s="20" t="n">
        <f aca="false">IF(Data!E36="","",Data!E36)</f>
        <v>130</v>
      </c>
      <c r="F36" s="20" t="n">
        <f aca="false">IF(Data!F36="","",Data!F36)</f>
        <v>233</v>
      </c>
      <c r="G36" s="28" t="str">
        <f aca="false">IF(Data!G36="","",IFERROR(VLOOKUP(Data!G36,Codes!$A$18:$B$19,2,FALSE()),"Invalid ("&amp;Data!G36&amp;")"))</f>
        <v>No</v>
      </c>
      <c r="H36" s="28" t="str">
        <f aca="false">IF(Data!H36="","",IFERROR(VLOOKUP(Data!H36,Codes!$A$23:$B$25,2,FALSE()),"Invalid ("&amp;Data!H36&amp;")"))</f>
        <v>Normal</v>
      </c>
      <c r="I36" s="20" t="n">
        <f aca="false">IF(Data!I36="","",Data!I36)</f>
        <v>179</v>
      </c>
      <c r="J36" s="28" t="str">
        <f aca="false">IF(Data!J36="","",IFERROR(VLOOKUP(Data!J36,Codes!$A$29:$B$30,2,FALSE()),"Invalid ("&amp;Data!J36&amp;")"))</f>
        <v>Yes</v>
      </c>
      <c r="K36" s="21" t="n">
        <f aca="false">IF(Data!K36="","",Data!K36)</f>
        <v>0.4</v>
      </c>
      <c r="L36" s="28" t="str">
        <f aca="false">IF(Data!L36="","",IFERROR(VLOOKUP(Data!L36,Codes!$A$34:$B$36,2,FALSE()),"Invalid ("&amp;Data!L36&amp;")"))</f>
        <v>Upsloping</v>
      </c>
      <c r="M36" s="20" t="n">
        <f aca="false">IF(Data!M36="","",Data!M36)</f>
        <v>0</v>
      </c>
      <c r="N36" s="28" t="str">
        <f aca="false">IF(Data!N36="","",IFERROR(VLOOKUP(Data!N36,Codes!$A$47:$B$49,2,FALSE()),"Invalid ("&amp;Data!N36&amp;")"))</f>
        <v>Normal</v>
      </c>
      <c r="O36" s="28" t="str">
        <f aca="false">IF(Data!O36="","",IFERROR(VLOOKUP(Data!O36,Codes!$A$53:$B$57,2,FALSE()),"Invalid ("&amp;Data!O36&amp;")"))</f>
        <v>No disease</v>
      </c>
      <c r="P36" s="22" t="str">
        <f aca="false">IF(Data!P36="","",IFERROR(VLOOKUP(Data!P36,Codes!$A$61:$B$64,2,FALSE()),"Invalid ("&amp;Data!P36&amp;")"))</f>
        <v>Cleveland Clinic</v>
      </c>
    </row>
    <row r="37" customFormat="false" ht="15" hidden="false" customHeight="false" outlineLevel="0" collapsed="false">
      <c r="A37" s="19" t="n">
        <f aca="false">Data!A37</f>
        <v>36</v>
      </c>
      <c r="B37" s="20" t="n">
        <f aca="false">IF(Data!B37="","",Data!B37)</f>
        <v>42</v>
      </c>
      <c r="C37" s="28" t="str">
        <f aca="false">IF(Data!C37="","",IFERROR(VLOOKUP(Data!C37,Codes!$A$6:$B$7,2,FALSE()),"Invalid ("&amp;Data!C37&amp;")"))</f>
        <v>Male</v>
      </c>
      <c r="D37" s="28" t="str">
        <f aca="false">IF(Data!D37="","",IFERROR(VLOOKUP(Data!D37,Codes!$A$11:$B$14,2,FALSE()),"Invalid ("&amp;Data!D37&amp;")"))</f>
        <v>Asymptomatic</v>
      </c>
      <c r="E37" s="20" t="n">
        <f aca="false">IF(Data!E37="","",Data!E37)</f>
        <v>140</v>
      </c>
      <c r="F37" s="20" t="n">
        <f aca="false">IF(Data!F37="","",Data!F37)</f>
        <v>226</v>
      </c>
      <c r="G37" s="28" t="str">
        <f aca="false">IF(Data!G37="","",IFERROR(VLOOKUP(Data!G37,Codes!$A$18:$B$19,2,FALSE()),"Invalid ("&amp;Data!G37&amp;")"))</f>
        <v>No</v>
      </c>
      <c r="H37" s="28" t="str">
        <f aca="false">IF(Data!H37="","",IFERROR(VLOOKUP(Data!H37,Codes!$A$23:$B$25,2,FALSE()),"Invalid ("&amp;Data!H37&amp;")"))</f>
        <v>Normal</v>
      </c>
      <c r="I37" s="20" t="n">
        <f aca="false">IF(Data!I37="","",Data!I37)</f>
        <v>178</v>
      </c>
      <c r="J37" s="28" t="str">
        <f aca="false">IF(Data!J37="","",IFERROR(VLOOKUP(Data!J37,Codes!$A$29:$B$30,2,FALSE()),"Invalid ("&amp;Data!J37&amp;")"))</f>
        <v>No</v>
      </c>
      <c r="K37" s="21" t="n">
        <f aca="false">IF(Data!K37="","",Data!K37)</f>
        <v>0</v>
      </c>
      <c r="L37" s="28" t="str">
        <f aca="false">IF(Data!L37="","",IFERROR(VLOOKUP(Data!L37,Codes!$A$34:$B$36,2,FALSE()),"Invalid ("&amp;Data!L37&amp;")"))</f>
        <v>Upsloping</v>
      </c>
      <c r="M37" s="20" t="n">
        <f aca="false">IF(Data!M37="","",Data!M37)</f>
        <v>0</v>
      </c>
      <c r="N37" s="28" t="str">
        <f aca="false">IF(Data!N37="","",IFERROR(VLOOKUP(Data!N37,Codes!$A$47:$B$49,2,FALSE()),"Invalid ("&amp;Data!N37&amp;")"))</f>
        <v>Normal</v>
      </c>
      <c r="O37" s="28" t="str">
        <f aca="false">IF(Data!O37="","",IFERROR(VLOOKUP(Data!O37,Codes!$A$53:$B$57,2,FALSE()),"Invalid ("&amp;Data!O37&amp;")"))</f>
        <v>No disease</v>
      </c>
      <c r="P37" s="22" t="str">
        <f aca="false">IF(Data!P37="","",IFERROR(VLOOKUP(Data!P37,Codes!$A$61:$B$64,2,FALSE()),"Invalid ("&amp;Data!P37&amp;")"))</f>
        <v>Cleveland Clinic</v>
      </c>
    </row>
    <row r="38" customFormat="false" ht="15" hidden="false" customHeight="false" outlineLevel="0" collapsed="false">
      <c r="A38" s="19" t="n">
        <f aca="false">Data!A38</f>
        <v>37</v>
      </c>
      <c r="B38" s="20" t="n">
        <f aca="false">IF(Data!B38="","",Data!B38)</f>
        <v>43</v>
      </c>
      <c r="C38" s="28" t="str">
        <f aca="false">IF(Data!C38="","",IFERROR(VLOOKUP(Data!C38,Codes!$A$6:$B$7,2,FALSE()),"Invalid ("&amp;Data!C38&amp;")"))</f>
        <v>Male</v>
      </c>
      <c r="D38" s="28" t="str">
        <f aca="false">IF(Data!D38="","",IFERROR(VLOOKUP(Data!D38,Codes!$A$11:$B$14,2,FALSE()),"Invalid ("&amp;Data!D38&amp;")"))</f>
        <v>Asymptomatic</v>
      </c>
      <c r="E38" s="20" t="n">
        <f aca="false">IF(Data!E38="","",Data!E38)</f>
        <v>120</v>
      </c>
      <c r="F38" s="20" t="n">
        <f aca="false">IF(Data!F38="","",Data!F38)</f>
        <v>177</v>
      </c>
      <c r="G38" s="28" t="str">
        <f aca="false">IF(Data!G38="","",IFERROR(VLOOKUP(Data!G38,Codes!$A$18:$B$19,2,FALSE()),"Invalid ("&amp;Data!G38&amp;")"))</f>
        <v>No</v>
      </c>
      <c r="H38" s="28" t="str">
        <f aca="false">IF(Data!H38="","",IFERROR(VLOOKUP(Data!H38,Codes!$A$23:$B$25,2,FALSE()),"Invalid ("&amp;Data!H38&amp;")"))</f>
        <v>Left ventricular hypertrophy</v>
      </c>
      <c r="I38" s="20" t="n">
        <f aca="false">IF(Data!I38="","",Data!I38)</f>
        <v>120</v>
      </c>
      <c r="J38" s="28" t="str">
        <f aca="false">IF(Data!J38="","",IFERROR(VLOOKUP(Data!J38,Codes!$A$29:$B$30,2,FALSE()),"Invalid ("&amp;Data!J38&amp;")"))</f>
        <v>Yes</v>
      </c>
      <c r="K38" s="21" t="n">
        <f aca="false">IF(Data!K38="","",Data!K38)</f>
        <v>2.5</v>
      </c>
      <c r="L38" s="28" t="str">
        <f aca="false">IF(Data!L38="","",IFERROR(VLOOKUP(Data!L38,Codes!$A$34:$B$36,2,FALSE()),"Invalid ("&amp;Data!L38&amp;")"))</f>
        <v>Flat</v>
      </c>
      <c r="M38" s="20" t="n">
        <f aca="false">IF(Data!M38="","",Data!M38)</f>
        <v>0</v>
      </c>
      <c r="N38" s="28" t="str">
        <f aca="false">IF(Data!N38="","",IFERROR(VLOOKUP(Data!N38,Codes!$A$47:$B$49,2,FALSE()),"Invalid ("&amp;Data!N38&amp;")"))</f>
        <v>Reversible defect</v>
      </c>
      <c r="O38" s="28" t="str">
        <f aca="false">IF(Data!O38="","",IFERROR(VLOOKUP(Data!O38,Codes!$A$53:$B$57,2,FALSE()),"Invalid ("&amp;Data!O38&amp;")"))</f>
        <v>Disease (3)</v>
      </c>
      <c r="P38" s="22" t="str">
        <f aca="false">IF(Data!P38="","",IFERROR(VLOOKUP(Data!P38,Codes!$A$61:$B$64,2,FALSE()),"Invalid ("&amp;Data!P38&amp;")"))</f>
        <v>Cleveland Clinic</v>
      </c>
    </row>
    <row r="39" customFormat="false" ht="15" hidden="false" customHeight="false" outlineLevel="0" collapsed="false">
      <c r="A39" s="19" t="n">
        <f aca="false">Data!A39</f>
        <v>38</v>
      </c>
      <c r="B39" s="20" t="n">
        <f aca="false">IF(Data!B39="","",Data!B39)</f>
        <v>57</v>
      </c>
      <c r="C39" s="28" t="str">
        <f aca="false">IF(Data!C39="","",IFERROR(VLOOKUP(Data!C39,Codes!$A$6:$B$7,2,FALSE()),"Invalid ("&amp;Data!C39&amp;")"))</f>
        <v>Male</v>
      </c>
      <c r="D39" s="28" t="str">
        <f aca="false">IF(Data!D39="","",IFERROR(VLOOKUP(Data!D39,Codes!$A$11:$B$14,2,FALSE()),"Invalid ("&amp;Data!D39&amp;")"))</f>
        <v>Asymptomatic</v>
      </c>
      <c r="E39" s="20" t="n">
        <f aca="false">IF(Data!E39="","",Data!E39)</f>
        <v>150</v>
      </c>
      <c r="F39" s="20" t="n">
        <f aca="false">IF(Data!F39="","",Data!F39)</f>
        <v>276</v>
      </c>
      <c r="G39" s="28" t="str">
        <f aca="false">IF(Data!G39="","",IFERROR(VLOOKUP(Data!G39,Codes!$A$18:$B$19,2,FALSE()),"Invalid ("&amp;Data!G39&amp;")"))</f>
        <v>No</v>
      </c>
      <c r="H39" s="28" t="str">
        <f aca="false">IF(Data!H39="","",IFERROR(VLOOKUP(Data!H39,Codes!$A$23:$B$25,2,FALSE()),"Invalid ("&amp;Data!H39&amp;")"))</f>
        <v>Left ventricular hypertrophy</v>
      </c>
      <c r="I39" s="20" t="n">
        <f aca="false">IF(Data!I39="","",Data!I39)</f>
        <v>112</v>
      </c>
      <c r="J39" s="28" t="str">
        <f aca="false">IF(Data!J39="","",IFERROR(VLOOKUP(Data!J39,Codes!$A$29:$B$30,2,FALSE()),"Invalid ("&amp;Data!J39&amp;")"))</f>
        <v>Yes</v>
      </c>
      <c r="K39" s="21" t="n">
        <f aca="false">IF(Data!K39="","",Data!K39)</f>
        <v>0.6</v>
      </c>
      <c r="L39" s="28" t="str">
        <f aca="false">IF(Data!L39="","",IFERROR(VLOOKUP(Data!L39,Codes!$A$34:$B$36,2,FALSE()),"Invalid ("&amp;Data!L39&amp;")"))</f>
        <v>Flat</v>
      </c>
      <c r="M39" s="20" t="n">
        <f aca="false">IF(Data!M39="","",Data!M39)</f>
        <v>1</v>
      </c>
      <c r="N39" s="28" t="str">
        <f aca="false">IF(Data!N39="","",IFERROR(VLOOKUP(Data!N39,Codes!$A$47:$B$49,2,FALSE()),"Invalid ("&amp;Data!N39&amp;")"))</f>
        <v>Fixed defect</v>
      </c>
      <c r="O39" s="28" t="str">
        <f aca="false">IF(Data!O39="","",IFERROR(VLOOKUP(Data!O39,Codes!$A$53:$B$57,2,FALSE()),"Invalid ("&amp;Data!O39&amp;")"))</f>
        <v>Disease (1)</v>
      </c>
      <c r="P39" s="22" t="str">
        <f aca="false">IF(Data!P39="","",IFERROR(VLOOKUP(Data!P39,Codes!$A$61:$B$64,2,FALSE()),"Invalid ("&amp;Data!P39&amp;")"))</f>
        <v>Cleveland Clinic</v>
      </c>
    </row>
    <row r="40" customFormat="false" ht="15" hidden="false" customHeight="false" outlineLevel="0" collapsed="false">
      <c r="A40" s="19" t="n">
        <f aca="false">Data!A40</f>
        <v>39</v>
      </c>
      <c r="B40" s="20" t="n">
        <f aca="false">IF(Data!B40="","",Data!B40)</f>
        <v>55</v>
      </c>
      <c r="C40" s="28" t="str">
        <f aca="false">IF(Data!C40="","",IFERROR(VLOOKUP(Data!C40,Codes!$A$6:$B$7,2,FALSE()),"Invalid ("&amp;Data!C40&amp;")"))</f>
        <v>Male</v>
      </c>
      <c r="D40" s="28" t="str">
        <f aca="false">IF(Data!D40="","",IFERROR(VLOOKUP(Data!D40,Codes!$A$11:$B$14,2,FALSE()),"Invalid ("&amp;Data!D40&amp;")"))</f>
        <v>Asymptomatic</v>
      </c>
      <c r="E40" s="20" t="n">
        <f aca="false">IF(Data!E40="","",Data!E40)</f>
        <v>132</v>
      </c>
      <c r="F40" s="20" t="n">
        <f aca="false">IF(Data!F40="","",Data!F40)</f>
        <v>353</v>
      </c>
      <c r="G40" s="28" t="str">
        <f aca="false">IF(Data!G40="","",IFERROR(VLOOKUP(Data!G40,Codes!$A$18:$B$19,2,FALSE()),"Invalid ("&amp;Data!G40&amp;")"))</f>
        <v>No</v>
      </c>
      <c r="H40" s="28" t="str">
        <f aca="false">IF(Data!H40="","",IFERROR(VLOOKUP(Data!H40,Codes!$A$23:$B$25,2,FALSE()),"Invalid ("&amp;Data!H40&amp;")"))</f>
        <v>Normal</v>
      </c>
      <c r="I40" s="20" t="n">
        <f aca="false">IF(Data!I40="","",Data!I40)</f>
        <v>132</v>
      </c>
      <c r="J40" s="28" t="str">
        <f aca="false">IF(Data!J40="","",IFERROR(VLOOKUP(Data!J40,Codes!$A$29:$B$30,2,FALSE()),"Invalid ("&amp;Data!J40&amp;")"))</f>
        <v>Yes</v>
      </c>
      <c r="K40" s="21" t="n">
        <f aca="false">IF(Data!K40="","",Data!K40)</f>
        <v>1.2</v>
      </c>
      <c r="L40" s="28" t="str">
        <f aca="false">IF(Data!L40="","",IFERROR(VLOOKUP(Data!L40,Codes!$A$34:$B$36,2,FALSE()),"Invalid ("&amp;Data!L40&amp;")"))</f>
        <v>Flat</v>
      </c>
      <c r="M40" s="20" t="n">
        <f aca="false">IF(Data!M40="","",Data!M40)</f>
        <v>1</v>
      </c>
      <c r="N40" s="28" t="str">
        <f aca="false">IF(Data!N40="","",IFERROR(VLOOKUP(Data!N40,Codes!$A$47:$B$49,2,FALSE()),"Invalid ("&amp;Data!N40&amp;")"))</f>
        <v>Reversible defect</v>
      </c>
      <c r="O40" s="28" t="str">
        <f aca="false">IF(Data!O40="","",IFERROR(VLOOKUP(Data!O40,Codes!$A$53:$B$57,2,FALSE()),"Invalid ("&amp;Data!O40&amp;")"))</f>
        <v>Disease (3)</v>
      </c>
      <c r="P40" s="22" t="str">
        <f aca="false">IF(Data!P40="","",IFERROR(VLOOKUP(Data!P40,Codes!$A$61:$B$64,2,FALSE()),"Invalid ("&amp;Data!P40&amp;")"))</f>
        <v>Cleveland Clinic</v>
      </c>
    </row>
    <row r="41" customFormat="false" ht="15" hidden="false" customHeight="false" outlineLevel="0" collapsed="false">
      <c r="A41" s="19" t="n">
        <f aca="false">Data!A41</f>
        <v>40</v>
      </c>
      <c r="B41" s="20" t="n">
        <f aca="false">IF(Data!B41="","",Data!B41)</f>
        <v>61</v>
      </c>
      <c r="C41" s="28" t="str">
        <f aca="false">IF(Data!C41="","",IFERROR(VLOOKUP(Data!C41,Codes!$A$6:$B$7,2,FALSE()),"Invalid ("&amp;Data!C41&amp;")"))</f>
        <v>Male</v>
      </c>
      <c r="D41" s="28" t="str">
        <f aca="false">IF(Data!D41="","",IFERROR(VLOOKUP(Data!D41,Codes!$A$11:$B$14,2,FALSE()),"Invalid ("&amp;Data!D41&amp;")"))</f>
        <v>Non-anginal pain</v>
      </c>
      <c r="E41" s="20" t="n">
        <f aca="false">IF(Data!E41="","",Data!E41)</f>
        <v>150</v>
      </c>
      <c r="F41" s="20" t="n">
        <f aca="false">IF(Data!F41="","",Data!F41)</f>
        <v>243</v>
      </c>
      <c r="G41" s="28" t="str">
        <f aca="false">IF(Data!G41="","",IFERROR(VLOOKUP(Data!G41,Codes!$A$18:$B$19,2,FALSE()),"Invalid ("&amp;Data!G41&amp;")"))</f>
        <v>Yes</v>
      </c>
      <c r="H41" s="28" t="str">
        <f aca="false">IF(Data!H41="","",IFERROR(VLOOKUP(Data!H41,Codes!$A$23:$B$25,2,FALSE()),"Invalid ("&amp;Data!H41&amp;")"))</f>
        <v>Normal</v>
      </c>
      <c r="I41" s="20" t="n">
        <f aca="false">IF(Data!I41="","",Data!I41)</f>
        <v>137</v>
      </c>
      <c r="J41" s="28" t="str">
        <f aca="false">IF(Data!J41="","",IFERROR(VLOOKUP(Data!J41,Codes!$A$29:$B$30,2,FALSE()),"Invalid ("&amp;Data!J41&amp;")"))</f>
        <v>Yes</v>
      </c>
      <c r="K41" s="21" t="n">
        <f aca="false">IF(Data!K41="","",Data!K41)</f>
        <v>1</v>
      </c>
      <c r="L41" s="28" t="str">
        <f aca="false">IF(Data!L41="","",IFERROR(VLOOKUP(Data!L41,Codes!$A$34:$B$36,2,FALSE()),"Invalid ("&amp;Data!L41&amp;")"))</f>
        <v>Flat</v>
      </c>
      <c r="M41" s="20" t="n">
        <f aca="false">IF(Data!M41="","",Data!M41)</f>
        <v>0</v>
      </c>
      <c r="N41" s="28" t="str">
        <f aca="false">IF(Data!N41="","",IFERROR(VLOOKUP(Data!N41,Codes!$A$47:$B$49,2,FALSE()),"Invalid ("&amp;Data!N41&amp;")"))</f>
        <v>Normal</v>
      </c>
      <c r="O41" s="28" t="str">
        <f aca="false">IF(Data!O41="","",IFERROR(VLOOKUP(Data!O41,Codes!$A$53:$B$57,2,FALSE()),"Invalid ("&amp;Data!O41&amp;")"))</f>
        <v>No disease</v>
      </c>
      <c r="P41" s="22" t="str">
        <f aca="false">IF(Data!P41="","",IFERROR(VLOOKUP(Data!P41,Codes!$A$61:$B$64,2,FALSE()),"Invalid ("&amp;Data!P41&amp;")"))</f>
        <v>Cleveland Clinic</v>
      </c>
    </row>
    <row r="42" customFormat="false" ht="15" hidden="false" customHeight="false" outlineLevel="0" collapsed="false">
      <c r="A42" s="19" t="n">
        <f aca="false">Data!A42</f>
        <v>41</v>
      </c>
      <c r="B42" s="20" t="n">
        <f aca="false">IF(Data!B42="","",Data!B42)</f>
        <v>65</v>
      </c>
      <c r="C42" s="28" t="str">
        <f aca="false">IF(Data!C42="","",IFERROR(VLOOKUP(Data!C42,Codes!$A$6:$B$7,2,FALSE()),"Invalid ("&amp;Data!C42&amp;")"))</f>
        <v>Female</v>
      </c>
      <c r="D42" s="28" t="str">
        <f aca="false">IF(Data!D42="","",IFERROR(VLOOKUP(Data!D42,Codes!$A$11:$B$14,2,FALSE()),"Invalid ("&amp;Data!D42&amp;")"))</f>
        <v>Asymptomatic</v>
      </c>
      <c r="E42" s="20" t="n">
        <f aca="false">IF(Data!E42="","",Data!E42)</f>
        <v>150</v>
      </c>
      <c r="F42" s="20" t="n">
        <f aca="false">IF(Data!F42="","",Data!F42)</f>
        <v>225</v>
      </c>
      <c r="G42" s="28" t="str">
        <f aca="false">IF(Data!G42="","",IFERROR(VLOOKUP(Data!G42,Codes!$A$18:$B$19,2,FALSE()),"Invalid ("&amp;Data!G42&amp;")"))</f>
        <v>No</v>
      </c>
      <c r="H42" s="28" t="str">
        <f aca="false">IF(Data!H42="","",IFERROR(VLOOKUP(Data!H42,Codes!$A$23:$B$25,2,FALSE()),"Invalid ("&amp;Data!H42&amp;")"))</f>
        <v>Left ventricular hypertrophy</v>
      </c>
      <c r="I42" s="20" t="n">
        <f aca="false">IF(Data!I42="","",Data!I42)</f>
        <v>114</v>
      </c>
      <c r="J42" s="28" t="str">
        <f aca="false">IF(Data!J42="","",IFERROR(VLOOKUP(Data!J42,Codes!$A$29:$B$30,2,FALSE()),"Invalid ("&amp;Data!J42&amp;")"))</f>
        <v>No</v>
      </c>
      <c r="K42" s="21" t="n">
        <f aca="false">IF(Data!K42="","",Data!K42)</f>
        <v>1</v>
      </c>
      <c r="L42" s="28" t="str">
        <f aca="false">IF(Data!L42="","",IFERROR(VLOOKUP(Data!L42,Codes!$A$34:$B$36,2,FALSE()),"Invalid ("&amp;Data!L42&amp;")"))</f>
        <v>Flat</v>
      </c>
      <c r="M42" s="20" t="n">
        <f aca="false">IF(Data!M42="","",Data!M42)</f>
        <v>3</v>
      </c>
      <c r="N42" s="28" t="str">
        <f aca="false">IF(Data!N42="","",IFERROR(VLOOKUP(Data!N42,Codes!$A$47:$B$49,2,FALSE()),"Invalid ("&amp;Data!N42&amp;")"))</f>
        <v>Reversible defect</v>
      </c>
      <c r="O42" s="28" t="str">
        <f aca="false">IF(Data!O42="","",IFERROR(VLOOKUP(Data!O42,Codes!$A$53:$B$57,2,FALSE()),"Invalid ("&amp;Data!O42&amp;")"))</f>
        <v>Disease (4)</v>
      </c>
      <c r="P42" s="22" t="str">
        <f aca="false">IF(Data!P42="","",IFERROR(VLOOKUP(Data!P42,Codes!$A$61:$B$64,2,FALSE()),"Invalid ("&amp;Data!P42&amp;")"))</f>
        <v>Cleveland Clinic</v>
      </c>
    </row>
    <row r="43" customFormat="false" ht="15" hidden="false" customHeight="false" outlineLevel="0" collapsed="false">
      <c r="A43" s="19" t="n">
        <f aca="false">Data!A43</f>
        <v>42</v>
      </c>
      <c r="B43" s="20" t="n">
        <f aca="false">IF(Data!B43="","",Data!B43)</f>
        <v>40</v>
      </c>
      <c r="C43" s="28" t="str">
        <f aca="false">IF(Data!C43="","",IFERROR(VLOOKUP(Data!C43,Codes!$A$6:$B$7,2,FALSE()),"Invalid ("&amp;Data!C43&amp;")"))</f>
        <v>Male</v>
      </c>
      <c r="D43" s="28" t="str">
        <f aca="false">IF(Data!D43="","",IFERROR(VLOOKUP(Data!D43,Codes!$A$11:$B$14,2,FALSE()),"Invalid ("&amp;Data!D43&amp;")"))</f>
        <v>Typical angina</v>
      </c>
      <c r="E43" s="20" t="n">
        <f aca="false">IF(Data!E43="","",Data!E43)</f>
        <v>140</v>
      </c>
      <c r="F43" s="20" t="n">
        <f aca="false">IF(Data!F43="","",Data!F43)</f>
        <v>199</v>
      </c>
      <c r="G43" s="28" t="str">
        <f aca="false">IF(Data!G43="","",IFERROR(VLOOKUP(Data!G43,Codes!$A$18:$B$19,2,FALSE()),"Invalid ("&amp;Data!G43&amp;")"))</f>
        <v>No</v>
      </c>
      <c r="H43" s="28" t="str">
        <f aca="false">IF(Data!H43="","",IFERROR(VLOOKUP(Data!H43,Codes!$A$23:$B$25,2,FALSE()),"Invalid ("&amp;Data!H43&amp;")"))</f>
        <v>Normal</v>
      </c>
      <c r="I43" s="20" t="n">
        <f aca="false">IF(Data!I43="","",Data!I43)</f>
        <v>178</v>
      </c>
      <c r="J43" s="28" t="str">
        <f aca="false">IF(Data!J43="","",IFERROR(VLOOKUP(Data!J43,Codes!$A$29:$B$30,2,FALSE()),"Invalid ("&amp;Data!J43&amp;")"))</f>
        <v>Yes</v>
      </c>
      <c r="K43" s="21" t="n">
        <f aca="false">IF(Data!K43="","",Data!K43)</f>
        <v>1.4</v>
      </c>
      <c r="L43" s="28" t="str">
        <f aca="false">IF(Data!L43="","",IFERROR(VLOOKUP(Data!L43,Codes!$A$34:$B$36,2,FALSE()),"Invalid ("&amp;Data!L43&amp;")"))</f>
        <v>Upsloping</v>
      </c>
      <c r="M43" s="20" t="n">
        <f aca="false">IF(Data!M43="","",Data!M43)</f>
        <v>0</v>
      </c>
      <c r="N43" s="28" t="str">
        <f aca="false">IF(Data!N43="","",IFERROR(VLOOKUP(Data!N43,Codes!$A$47:$B$49,2,FALSE()),"Invalid ("&amp;Data!N43&amp;")"))</f>
        <v>Reversible defect</v>
      </c>
      <c r="O43" s="28" t="str">
        <f aca="false">IF(Data!O43="","",IFERROR(VLOOKUP(Data!O43,Codes!$A$53:$B$57,2,FALSE()),"Invalid ("&amp;Data!O43&amp;")"))</f>
        <v>No disease</v>
      </c>
      <c r="P43" s="22" t="str">
        <f aca="false">IF(Data!P43="","",IFERROR(VLOOKUP(Data!P43,Codes!$A$61:$B$64,2,FALSE()),"Invalid ("&amp;Data!P43&amp;")"))</f>
        <v>Cleveland Clinic</v>
      </c>
    </row>
    <row r="44" customFormat="false" ht="15" hidden="false" customHeight="false" outlineLevel="0" collapsed="false">
      <c r="A44" s="19" t="n">
        <f aca="false">Data!A44</f>
        <v>43</v>
      </c>
      <c r="B44" s="20" t="n">
        <f aca="false">IF(Data!B44="","",Data!B44)</f>
        <v>71</v>
      </c>
      <c r="C44" s="28" t="str">
        <f aca="false">IF(Data!C44="","",IFERROR(VLOOKUP(Data!C44,Codes!$A$6:$B$7,2,FALSE()),"Invalid ("&amp;Data!C44&amp;")"))</f>
        <v>Female</v>
      </c>
      <c r="D44" s="28" t="str">
        <f aca="false">IF(Data!D44="","",IFERROR(VLOOKUP(Data!D44,Codes!$A$11:$B$14,2,FALSE()),"Invalid ("&amp;Data!D44&amp;")"))</f>
        <v>Atypical angina</v>
      </c>
      <c r="E44" s="20" t="n">
        <f aca="false">IF(Data!E44="","",Data!E44)</f>
        <v>160</v>
      </c>
      <c r="F44" s="20" t="n">
        <f aca="false">IF(Data!F44="","",Data!F44)</f>
        <v>302</v>
      </c>
      <c r="G44" s="28" t="str">
        <f aca="false">IF(Data!G44="","",IFERROR(VLOOKUP(Data!G44,Codes!$A$18:$B$19,2,FALSE()),"Invalid ("&amp;Data!G44&amp;")"))</f>
        <v>No</v>
      </c>
      <c r="H44" s="28" t="str">
        <f aca="false">IF(Data!H44="","",IFERROR(VLOOKUP(Data!H44,Codes!$A$23:$B$25,2,FALSE()),"Invalid ("&amp;Data!H44&amp;")"))</f>
        <v>Normal</v>
      </c>
      <c r="I44" s="20" t="n">
        <f aca="false">IF(Data!I44="","",Data!I44)</f>
        <v>162</v>
      </c>
      <c r="J44" s="28" t="str">
        <f aca="false">IF(Data!J44="","",IFERROR(VLOOKUP(Data!J44,Codes!$A$29:$B$30,2,FALSE()),"Invalid ("&amp;Data!J44&amp;")"))</f>
        <v>No</v>
      </c>
      <c r="K44" s="21" t="n">
        <f aca="false">IF(Data!K44="","",Data!K44)</f>
        <v>0.4</v>
      </c>
      <c r="L44" s="28" t="str">
        <f aca="false">IF(Data!L44="","",IFERROR(VLOOKUP(Data!L44,Codes!$A$34:$B$36,2,FALSE()),"Invalid ("&amp;Data!L44&amp;")"))</f>
        <v>Upsloping</v>
      </c>
      <c r="M44" s="20" t="n">
        <f aca="false">IF(Data!M44="","",Data!M44)</f>
        <v>2</v>
      </c>
      <c r="N44" s="28" t="str">
        <f aca="false">IF(Data!N44="","",IFERROR(VLOOKUP(Data!N44,Codes!$A$47:$B$49,2,FALSE()),"Invalid ("&amp;Data!N44&amp;")"))</f>
        <v>Normal</v>
      </c>
      <c r="O44" s="28" t="str">
        <f aca="false">IF(Data!O44="","",IFERROR(VLOOKUP(Data!O44,Codes!$A$53:$B$57,2,FALSE()),"Invalid ("&amp;Data!O44&amp;")"))</f>
        <v>No disease</v>
      </c>
      <c r="P44" s="22" t="str">
        <f aca="false">IF(Data!P44="","",IFERROR(VLOOKUP(Data!P44,Codes!$A$61:$B$64,2,FALSE()),"Invalid ("&amp;Data!P44&amp;")"))</f>
        <v>Cleveland Clinic</v>
      </c>
    </row>
    <row r="45" customFormat="false" ht="15" hidden="false" customHeight="false" outlineLevel="0" collapsed="false">
      <c r="A45" s="19" t="n">
        <f aca="false">Data!A45</f>
        <v>44</v>
      </c>
      <c r="B45" s="20" t="n">
        <f aca="false">IF(Data!B45="","",Data!B45)</f>
        <v>59</v>
      </c>
      <c r="C45" s="28" t="str">
        <f aca="false">IF(Data!C45="","",IFERROR(VLOOKUP(Data!C45,Codes!$A$6:$B$7,2,FALSE()),"Invalid ("&amp;Data!C45&amp;")"))</f>
        <v>Male</v>
      </c>
      <c r="D45" s="28" t="str">
        <f aca="false">IF(Data!D45="","",IFERROR(VLOOKUP(Data!D45,Codes!$A$11:$B$14,2,FALSE()),"Invalid ("&amp;Data!D45&amp;")"))</f>
        <v>Non-anginal pain</v>
      </c>
      <c r="E45" s="20" t="n">
        <f aca="false">IF(Data!E45="","",Data!E45)</f>
        <v>150</v>
      </c>
      <c r="F45" s="20" t="n">
        <f aca="false">IF(Data!F45="","",Data!F45)</f>
        <v>212</v>
      </c>
      <c r="G45" s="28" t="str">
        <f aca="false">IF(Data!G45="","",IFERROR(VLOOKUP(Data!G45,Codes!$A$18:$B$19,2,FALSE()),"Invalid ("&amp;Data!G45&amp;")"))</f>
        <v>Yes</v>
      </c>
      <c r="H45" s="28" t="str">
        <f aca="false">IF(Data!H45="","",IFERROR(VLOOKUP(Data!H45,Codes!$A$23:$B$25,2,FALSE()),"Invalid ("&amp;Data!H45&amp;")"))</f>
        <v>Normal</v>
      </c>
      <c r="I45" s="20" t="n">
        <f aca="false">IF(Data!I45="","",Data!I45)</f>
        <v>157</v>
      </c>
      <c r="J45" s="28" t="str">
        <f aca="false">IF(Data!J45="","",IFERROR(VLOOKUP(Data!J45,Codes!$A$29:$B$30,2,FALSE()),"Invalid ("&amp;Data!J45&amp;")"))</f>
        <v>No</v>
      </c>
      <c r="K45" s="21" t="n">
        <f aca="false">IF(Data!K45="","",Data!K45)</f>
        <v>1.6</v>
      </c>
      <c r="L45" s="28" t="str">
        <f aca="false">IF(Data!L45="","",IFERROR(VLOOKUP(Data!L45,Codes!$A$34:$B$36,2,FALSE()),"Invalid ("&amp;Data!L45&amp;")"))</f>
        <v>Upsloping</v>
      </c>
      <c r="M45" s="20" t="n">
        <f aca="false">IF(Data!M45="","",Data!M45)</f>
        <v>0</v>
      </c>
      <c r="N45" s="28" t="str">
        <f aca="false">IF(Data!N45="","",IFERROR(VLOOKUP(Data!N45,Codes!$A$47:$B$49,2,FALSE()),"Invalid ("&amp;Data!N45&amp;")"))</f>
        <v>Normal</v>
      </c>
      <c r="O45" s="28" t="str">
        <f aca="false">IF(Data!O45="","",IFERROR(VLOOKUP(Data!O45,Codes!$A$53:$B$57,2,FALSE()),"Invalid ("&amp;Data!O45&amp;")"))</f>
        <v>No disease</v>
      </c>
      <c r="P45" s="22" t="str">
        <f aca="false">IF(Data!P45="","",IFERROR(VLOOKUP(Data!P45,Codes!$A$61:$B$64,2,FALSE()),"Invalid ("&amp;Data!P45&amp;")"))</f>
        <v>Cleveland Clinic</v>
      </c>
    </row>
    <row r="46" customFormat="false" ht="15" hidden="false" customHeight="false" outlineLevel="0" collapsed="false">
      <c r="A46" s="19" t="n">
        <f aca="false">Data!A46</f>
        <v>45</v>
      </c>
      <c r="B46" s="20" t="n">
        <f aca="false">IF(Data!B46="","",Data!B46)</f>
        <v>61</v>
      </c>
      <c r="C46" s="28" t="str">
        <f aca="false">IF(Data!C46="","",IFERROR(VLOOKUP(Data!C46,Codes!$A$6:$B$7,2,FALSE()),"Invalid ("&amp;Data!C46&amp;")"))</f>
        <v>Female</v>
      </c>
      <c r="D46" s="28" t="str">
        <f aca="false">IF(Data!D46="","",IFERROR(VLOOKUP(Data!D46,Codes!$A$11:$B$14,2,FALSE()),"Invalid ("&amp;Data!D46&amp;")"))</f>
        <v>Asymptomatic</v>
      </c>
      <c r="E46" s="20" t="n">
        <f aca="false">IF(Data!E46="","",Data!E46)</f>
        <v>130</v>
      </c>
      <c r="F46" s="20" t="n">
        <f aca="false">IF(Data!F46="","",Data!F46)</f>
        <v>330</v>
      </c>
      <c r="G46" s="28" t="str">
        <f aca="false">IF(Data!G46="","",IFERROR(VLOOKUP(Data!G46,Codes!$A$18:$B$19,2,FALSE()),"Invalid ("&amp;Data!G46&amp;")"))</f>
        <v>No</v>
      </c>
      <c r="H46" s="28" t="str">
        <f aca="false">IF(Data!H46="","",IFERROR(VLOOKUP(Data!H46,Codes!$A$23:$B$25,2,FALSE()),"Invalid ("&amp;Data!H46&amp;")"))</f>
        <v>Left ventricular hypertrophy</v>
      </c>
      <c r="I46" s="20" t="n">
        <f aca="false">IF(Data!I46="","",Data!I46)</f>
        <v>169</v>
      </c>
      <c r="J46" s="28" t="str">
        <f aca="false">IF(Data!J46="","",IFERROR(VLOOKUP(Data!J46,Codes!$A$29:$B$30,2,FALSE()),"Invalid ("&amp;Data!J46&amp;")"))</f>
        <v>No</v>
      </c>
      <c r="K46" s="21" t="n">
        <f aca="false">IF(Data!K46="","",Data!K46)</f>
        <v>0</v>
      </c>
      <c r="L46" s="28" t="str">
        <f aca="false">IF(Data!L46="","",IFERROR(VLOOKUP(Data!L46,Codes!$A$34:$B$36,2,FALSE()),"Invalid ("&amp;Data!L46&amp;")"))</f>
        <v>Upsloping</v>
      </c>
      <c r="M46" s="20" t="n">
        <f aca="false">IF(Data!M46="","",Data!M46)</f>
        <v>0</v>
      </c>
      <c r="N46" s="28" t="str">
        <f aca="false">IF(Data!N46="","",IFERROR(VLOOKUP(Data!N46,Codes!$A$47:$B$49,2,FALSE()),"Invalid ("&amp;Data!N46&amp;")"))</f>
        <v>Normal</v>
      </c>
      <c r="O46" s="28" t="str">
        <f aca="false">IF(Data!O46="","",IFERROR(VLOOKUP(Data!O46,Codes!$A$53:$B$57,2,FALSE()),"Invalid ("&amp;Data!O46&amp;")"))</f>
        <v>Disease (1)</v>
      </c>
      <c r="P46" s="22" t="str">
        <f aca="false">IF(Data!P46="","",IFERROR(VLOOKUP(Data!P46,Codes!$A$61:$B$64,2,FALSE()),"Invalid ("&amp;Data!P46&amp;")"))</f>
        <v>Cleveland Clinic</v>
      </c>
    </row>
    <row r="47" customFormat="false" ht="15" hidden="false" customHeight="false" outlineLevel="0" collapsed="false">
      <c r="A47" s="19" t="n">
        <f aca="false">Data!A47</f>
        <v>46</v>
      </c>
      <c r="B47" s="20" t="n">
        <f aca="false">IF(Data!B47="","",Data!B47)</f>
        <v>58</v>
      </c>
      <c r="C47" s="28" t="str">
        <f aca="false">IF(Data!C47="","",IFERROR(VLOOKUP(Data!C47,Codes!$A$6:$B$7,2,FALSE()),"Invalid ("&amp;Data!C47&amp;")"))</f>
        <v>Male</v>
      </c>
      <c r="D47" s="28" t="str">
        <f aca="false">IF(Data!D47="","",IFERROR(VLOOKUP(Data!D47,Codes!$A$11:$B$14,2,FALSE()),"Invalid ("&amp;Data!D47&amp;")"))</f>
        <v>Non-anginal pain</v>
      </c>
      <c r="E47" s="20" t="n">
        <f aca="false">IF(Data!E47="","",Data!E47)</f>
        <v>112</v>
      </c>
      <c r="F47" s="20" t="n">
        <f aca="false">IF(Data!F47="","",Data!F47)</f>
        <v>230</v>
      </c>
      <c r="G47" s="28" t="str">
        <f aca="false">IF(Data!G47="","",IFERROR(VLOOKUP(Data!G47,Codes!$A$18:$B$19,2,FALSE()),"Invalid ("&amp;Data!G47&amp;")"))</f>
        <v>No</v>
      </c>
      <c r="H47" s="28" t="str">
        <f aca="false">IF(Data!H47="","",IFERROR(VLOOKUP(Data!H47,Codes!$A$23:$B$25,2,FALSE()),"Invalid ("&amp;Data!H47&amp;")"))</f>
        <v>Left ventricular hypertrophy</v>
      </c>
      <c r="I47" s="20" t="n">
        <f aca="false">IF(Data!I47="","",Data!I47)</f>
        <v>165</v>
      </c>
      <c r="J47" s="28" t="str">
        <f aca="false">IF(Data!J47="","",IFERROR(VLOOKUP(Data!J47,Codes!$A$29:$B$30,2,FALSE()),"Invalid ("&amp;Data!J47&amp;")"))</f>
        <v>No</v>
      </c>
      <c r="K47" s="21" t="n">
        <f aca="false">IF(Data!K47="","",Data!K47)</f>
        <v>2.5</v>
      </c>
      <c r="L47" s="28" t="str">
        <f aca="false">IF(Data!L47="","",IFERROR(VLOOKUP(Data!L47,Codes!$A$34:$B$36,2,FALSE()),"Invalid ("&amp;Data!L47&amp;")"))</f>
        <v>Flat</v>
      </c>
      <c r="M47" s="20" t="n">
        <f aca="false">IF(Data!M47="","",Data!M47)</f>
        <v>1</v>
      </c>
      <c r="N47" s="28" t="str">
        <f aca="false">IF(Data!N47="","",IFERROR(VLOOKUP(Data!N47,Codes!$A$47:$B$49,2,FALSE()),"Invalid ("&amp;Data!N47&amp;")"))</f>
        <v>Reversible defect</v>
      </c>
      <c r="O47" s="28" t="str">
        <f aca="false">IF(Data!O47="","",IFERROR(VLOOKUP(Data!O47,Codes!$A$53:$B$57,2,FALSE()),"Invalid ("&amp;Data!O47&amp;")"))</f>
        <v>Disease (4)</v>
      </c>
      <c r="P47" s="22" t="str">
        <f aca="false">IF(Data!P47="","",IFERROR(VLOOKUP(Data!P47,Codes!$A$61:$B$64,2,FALSE()),"Invalid ("&amp;Data!P47&amp;")"))</f>
        <v>Cleveland Clinic</v>
      </c>
    </row>
    <row r="48" customFormat="false" ht="15" hidden="false" customHeight="false" outlineLevel="0" collapsed="false">
      <c r="A48" s="19" t="n">
        <f aca="false">Data!A48</f>
        <v>47</v>
      </c>
      <c r="B48" s="20" t="n">
        <f aca="false">IF(Data!B48="","",Data!B48)</f>
        <v>51</v>
      </c>
      <c r="C48" s="28" t="str">
        <f aca="false">IF(Data!C48="","",IFERROR(VLOOKUP(Data!C48,Codes!$A$6:$B$7,2,FALSE()),"Invalid ("&amp;Data!C48&amp;")"))</f>
        <v>Male</v>
      </c>
      <c r="D48" s="28" t="str">
        <f aca="false">IF(Data!D48="","",IFERROR(VLOOKUP(Data!D48,Codes!$A$11:$B$14,2,FALSE()),"Invalid ("&amp;Data!D48&amp;")"))</f>
        <v>Non-anginal pain</v>
      </c>
      <c r="E48" s="20" t="n">
        <f aca="false">IF(Data!E48="","",Data!E48)</f>
        <v>110</v>
      </c>
      <c r="F48" s="20" t="n">
        <f aca="false">IF(Data!F48="","",Data!F48)</f>
        <v>175</v>
      </c>
      <c r="G48" s="28" t="str">
        <f aca="false">IF(Data!G48="","",IFERROR(VLOOKUP(Data!G48,Codes!$A$18:$B$19,2,FALSE()),"Invalid ("&amp;Data!G48&amp;")"))</f>
        <v>No</v>
      </c>
      <c r="H48" s="28" t="str">
        <f aca="false">IF(Data!H48="","",IFERROR(VLOOKUP(Data!H48,Codes!$A$23:$B$25,2,FALSE()),"Invalid ("&amp;Data!H48&amp;")"))</f>
        <v>Normal</v>
      </c>
      <c r="I48" s="20" t="n">
        <f aca="false">IF(Data!I48="","",Data!I48)</f>
        <v>123</v>
      </c>
      <c r="J48" s="28" t="str">
        <f aca="false">IF(Data!J48="","",IFERROR(VLOOKUP(Data!J48,Codes!$A$29:$B$30,2,FALSE()),"Invalid ("&amp;Data!J48&amp;")"))</f>
        <v>No</v>
      </c>
      <c r="K48" s="21" t="n">
        <f aca="false">IF(Data!K48="","",Data!K48)</f>
        <v>0.6</v>
      </c>
      <c r="L48" s="28" t="str">
        <f aca="false">IF(Data!L48="","",IFERROR(VLOOKUP(Data!L48,Codes!$A$34:$B$36,2,FALSE()),"Invalid ("&amp;Data!L48&amp;")"))</f>
        <v>Upsloping</v>
      </c>
      <c r="M48" s="20" t="n">
        <f aca="false">IF(Data!M48="","",Data!M48)</f>
        <v>0</v>
      </c>
      <c r="N48" s="28" t="str">
        <f aca="false">IF(Data!N48="","",IFERROR(VLOOKUP(Data!N48,Codes!$A$47:$B$49,2,FALSE()),"Invalid ("&amp;Data!N48&amp;")"))</f>
        <v>Normal</v>
      </c>
      <c r="O48" s="28" t="str">
        <f aca="false">IF(Data!O48="","",IFERROR(VLOOKUP(Data!O48,Codes!$A$53:$B$57,2,FALSE()),"Invalid ("&amp;Data!O48&amp;")"))</f>
        <v>No disease</v>
      </c>
      <c r="P48" s="22" t="str">
        <f aca="false">IF(Data!P48="","",IFERROR(VLOOKUP(Data!P48,Codes!$A$61:$B$64,2,FALSE()),"Invalid ("&amp;Data!P48&amp;")"))</f>
        <v>Cleveland Clinic</v>
      </c>
    </row>
    <row r="49" customFormat="false" ht="15" hidden="false" customHeight="false" outlineLevel="0" collapsed="false">
      <c r="A49" s="19" t="n">
        <f aca="false">Data!A49</f>
        <v>48</v>
      </c>
      <c r="B49" s="20" t="n">
        <f aca="false">IF(Data!B49="","",Data!B49)</f>
        <v>50</v>
      </c>
      <c r="C49" s="28" t="str">
        <f aca="false">IF(Data!C49="","",IFERROR(VLOOKUP(Data!C49,Codes!$A$6:$B$7,2,FALSE()),"Invalid ("&amp;Data!C49&amp;")"))</f>
        <v>Male</v>
      </c>
      <c r="D49" s="28" t="str">
        <f aca="false">IF(Data!D49="","",IFERROR(VLOOKUP(Data!D49,Codes!$A$11:$B$14,2,FALSE()),"Invalid ("&amp;Data!D49&amp;")"))</f>
        <v>Asymptomatic</v>
      </c>
      <c r="E49" s="20" t="n">
        <f aca="false">IF(Data!E49="","",Data!E49)</f>
        <v>150</v>
      </c>
      <c r="F49" s="20" t="n">
        <f aca="false">IF(Data!F49="","",Data!F49)</f>
        <v>243</v>
      </c>
      <c r="G49" s="28" t="str">
        <f aca="false">IF(Data!G49="","",IFERROR(VLOOKUP(Data!G49,Codes!$A$18:$B$19,2,FALSE()),"Invalid ("&amp;Data!G49&amp;")"))</f>
        <v>No</v>
      </c>
      <c r="H49" s="28" t="str">
        <f aca="false">IF(Data!H49="","",IFERROR(VLOOKUP(Data!H49,Codes!$A$23:$B$25,2,FALSE()),"Invalid ("&amp;Data!H49&amp;")"))</f>
        <v>Left ventricular hypertrophy</v>
      </c>
      <c r="I49" s="20" t="n">
        <f aca="false">IF(Data!I49="","",Data!I49)</f>
        <v>128</v>
      </c>
      <c r="J49" s="28" t="str">
        <f aca="false">IF(Data!J49="","",IFERROR(VLOOKUP(Data!J49,Codes!$A$29:$B$30,2,FALSE()),"Invalid ("&amp;Data!J49&amp;")"))</f>
        <v>No</v>
      </c>
      <c r="K49" s="21" t="n">
        <f aca="false">IF(Data!K49="","",Data!K49)</f>
        <v>2.6</v>
      </c>
      <c r="L49" s="28" t="str">
        <f aca="false">IF(Data!L49="","",IFERROR(VLOOKUP(Data!L49,Codes!$A$34:$B$36,2,FALSE()),"Invalid ("&amp;Data!L49&amp;")"))</f>
        <v>Flat</v>
      </c>
      <c r="M49" s="20" t="n">
        <f aca="false">IF(Data!M49="","",Data!M49)</f>
        <v>0</v>
      </c>
      <c r="N49" s="28" t="str">
        <f aca="false">IF(Data!N49="","",IFERROR(VLOOKUP(Data!N49,Codes!$A$47:$B$49,2,FALSE()),"Invalid ("&amp;Data!N49&amp;")"))</f>
        <v>Reversible defect</v>
      </c>
      <c r="O49" s="28" t="str">
        <f aca="false">IF(Data!O49="","",IFERROR(VLOOKUP(Data!O49,Codes!$A$53:$B$57,2,FALSE()),"Invalid ("&amp;Data!O49&amp;")"))</f>
        <v>Disease (4)</v>
      </c>
      <c r="P49" s="22" t="str">
        <f aca="false">IF(Data!P49="","",IFERROR(VLOOKUP(Data!P49,Codes!$A$61:$B$64,2,FALSE()),"Invalid ("&amp;Data!P49&amp;")"))</f>
        <v>Cleveland Clinic</v>
      </c>
    </row>
    <row r="50" customFormat="false" ht="15" hidden="false" customHeight="false" outlineLevel="0" collapsed="false">
      <c r="A50" s="19" t="n">
        <f aca="false">Data!A50</f>
        <v>49</v>
      </c>
      <c r="B50" s="20" t="n">
        <f aca="false">IF(Data!B50="","",Data!B50)</f>
        <v>65</v>
      </c>
      <c r="C50" s="28" t="str">
        <f aca="false">IF(Data!C50="","",IFERROR(VLOOKUP(Data!C50,Codes!$A$6:$B$7,2,FALSE()),"Invalid ("&amp;Data!C50&amp;")"))</f>
        <v>Female</v>
      </c>
      <c r="D50" s="28" t="str">
        <f aca="false">IF(Data!D50="","",IFERROR(VLOOKUP(Data!D50,Codes!$A$11:$B$14,2,FALSE()),"Invalid ("&amp;Data!D50&amp;")"))</f>
        <v>Non-anginal pain</v>
      </c>
      <c r="E50" s="20" t="n">
        <f aca="false">IF(Data!E50="","",Data!E50)</f>
        <v>140</v>
      </c>
      <c r="F50" s="20" t="n">
        <f aca="false">IF(Data!F50="","",Data!F50)</f>
        <v>417</v>
      </c>
      <c r="G50" s="28" t="str">
        <f aca="false">IF(Data!G50="","",IFERROR(VLOOKUP(Data!G50,Codes!$A$18:$B$19,2,FALSE()),"Invalid ("&amp;Data!G50&amp;")"))</f>
        <v>Yes</v>
      </c>
      <c r="H50" s="28" t="str">
        <f aca="false">IF(Data!H50="","",IFERROR(VLOOKUP(Data!H50,Codes!$A$23:$B$25,2,FALSE()),"Invalid ("&amp;Data!H50&amp;")"))</f>
        <v>Left ventricular hypertrophy</v>
      </c>
      <c r="I50" s="20" t="n">
        <f aca="false">IF(Data!I50="","",Data!I50)</f>
        <v>157</v>
      </c>
      <c r="J50" s="28" t="str">
        <f aca="false">IF(Data!J50="","",IFERROR(VLOOKUP(Data!J50,Codes!$A$29:$B$30,2,FALSE()),"Invalid ("&amp;Data!J50&amp;")"))</f>
        <v>No</v>
      </c>
      <c r="K50" s="21" t="n">
        <f aca="false">IF(Data!K50="","",Data!K50)</f>
        <v>0.8</v>
      </c>
      <c r="L50" s="28" t="str">
        <f aca="false">IF(Data!L50="","",IFERROR(VLOOKUP(Data!L50,Codes!$A$34:$B$36,2,FALSE()),"Invalid ("&amp;Data!L50&amp;")"))</f>
        <v>Upsloping</v>
      </c>
      <c r="M50" s="20" t="n">
        <f aca="false">IF(Data!M50="","",Data!M50)</f>
        <v>1</v>
      </c>
      <c r="N50" s="28" t="str">
        <f aca="false">IF(Data!N50="","",IFERROR(VLOOKUP(Data!N50,Codes!$A$47:$B$49,2,FALSE()),"Invalid ("&amp;Data!N50&amp;")"))</f>
        <v>Normal</v>
      </c>
      <c r="O50" s="28" t="str">
        <f aca="false">IF(Data!O50="","",IFERROR(VLOOKUP(Data!O50,Codes!$A$53:$B$57,2,FALSE()),"Invalid ("&amp;Data!O50&amp;")"))</f>
        <v>No disease</v>
      </c>
      <c r="P50" s="22" t="str">
        <f aca="false">IF(Data!P50="","",IFERROR(VLOOKUP(Data!P50,Codes!$A$61:$B$64,2,FALSE()),"Invalid ("&amp;Data!P50&amp;")"))</f>
        <v>Cleveland Clinic</v>
      </c>
    </row>
    <row r="51" customFormat="false" ht="15" hidden="false" customHeight="false" outlineLevel="0" collapsed="false">
      <c r="A51" s="19" t="n">
        <f aca="false">Data!A51</f>
        <v>50</v>
      </c>
      <c r="B51" s="20" t="n">
        <f aca="false">IF(Data!B51="","",Data!B51)</f>
        <v>53</v>
      </c>
      <c r="C51" s="28" t="str">
        <f aca="false">IF(Data!C51="","",IFERROR(VLOOKUP(Data!C51,Codes!$A$6:$B$7,2,FALSE()),"Invalid ("&amp;Data!C51&amp;")"))</f>
        <v>Male</v>
      </c>
      <c r="D51" s="28" t="str">
        <f aca="false">IF(Data!D51="","",IFERROR(VLOOKUP(Data!D51,Codes!$A$11:$B$14,2,FALSE()),"Invalid ("&amp;Data!D51&amp;")"))</f>
        <v>Non-anginal pain</v>
      </c>
      <c r="E51" s="20" t="n">
        <f aca="false">IF(Data!E51="","",Data!E51)</f>
        <v>130</v>
      </c>
      <c r="F51" s="20" t="n">
        <f aca="false">IF(Data!F51="","",Data!F51)</f>
        <v>197</v>
      </c>
      <c r="G51" s="28" t="str">
        <f aca="false">IF(Data!G51="","",IFERROR(VLOOKUP(Data!G51,Codes!$A$18:$B$19,2,FALSE()),"Invalid ("&amp;Data!G51&amp;")"))</f>
        <v>Yes</v>
      </c>
      <c r="H51" s="28" t="str">
        <f aca="false">IF(Data!H51="","",IFERROR(VLOOKUP(Data!H51,Codes!$A$23:$B$25,2,FALSE()),"Invalid ("&amp;Data!H51&amp;")"))</f>
        <v>Left ventricular hypertrophy</v>
      </c>
      <c r="I51" s="20" t="n">
        <f aca="false">IF(Data!I51="","",Data!I51)</f>
        <v>152</v>
      </c>
      <c r="J51" s="28" t="str">
        <f aca="false">IF(Data!J51="","",IFERROR(VLOOKUP(Data!J51,Codes!$A$29:$B$30,2,FALSE()),"Invalid ("&amp;Data!J51&amp;")"))</f>
        <v>No</v>
      </c>
      <c r="K51" s="21" t="n">
        <f aca="false">IF(Data!K51="","",Data!K51)</f>
        <v>1.2</v>
      </c>
      <c r="L51" s="28" t="str">
        <f aca="false">IF(Data!L51="","",IFERROR(VLOOKUP(Data!L51,Codes!$A$34:$B$36,2,FALSE()),"Invalid ("&amp;Data!L51&amp;")"))</f>
        <v>Downsloping</v>
      </c>
      <c r="M51" s="20" t="n">
        <f aca="false">IF(Data!M51="","",Data!M51)</f>
        <v>0</v>
      </c>
      <c r="N51" s="28" t="str">
        <f aca="false">IF(Data!N51="","",IFERROR(VLOOKUP(Data!N51,Codes!$A$47:$B$49,2,FALSE()),"Invalid ("&amp;Data!N51&amp;")"))</f>
        <v>Normal</v>
      </c>
      <c r="O51" s="28" t="str">
        <f aca="false">IF(Data!O51="","",IFERROR(VLOOKUP(Data!O51,Codes!$A$53:$B$57,2,FALSE()),"Invalid ("&amp;Data!O51&amp;")"))</f>
        <v>No disease</v>
      </c>
      <c r="P51" s="22" t="str">
        <f aca="false">IF(Data!P51="","",IFERROR(VLOOKUP(Data!P51,Codes!$A$61:$B$64,2,FALSE()),"Invalid ("&amp;Data!P51&amp;")"))</f>
        <v>Cleveland Clinic</v>
      </c>
    </row>
    <row r="52" customFormat="false" ht="15" hidden="false" customHeight="false" outlineLevel="0" collapsed="false">
      <c r="A52" s="19" t="n">
        <f aca="false">Data!A52</f>
        <v>51</v>
      </c>
      <c r="B52" s="20" t="n">
        <f aca="false">IF(Data!B52="","",Data!B52)</f>
        <v>41</v>
      </c>
      <c r="C52" s="28" t="str">
        <f aca="false">IF(Data!C52="","",IFERROR(VLOOKUP(Data!C52,Codes!$A$6:$B$7,2,FALSE()),"Invalid ("&amp;Data!C52&amp;")"))</f>
        <v>Female</v>
      </c>
      <c r="D52" s="28" t="str">
        <f aca="false">IF(Data!D52="","",IFERROR(VLOOKUP(Data!D52,Codes!$A$11:$B$14,2,FALSE()),"Invalid ("&amp;Data!D52&amp;")"))</f>
        <v>Atypical angina</v>
      </c>
      <c r="E52" s="20" t="n">
        <f aca="false">IF(Data!E52="","",Data!E52)</f>
        <v>105</v>
      </c>
      <c r="F52" s="20" t="n">
        <f aca="false">IF(Data!F52="","",Data!F52)</f>
        <v>198</v>
      </c>
      <c r="G52" s="28" t="str">
        <f aca="false">IF(Data!G52="","",IFERROR(VLOOKUP(Data!G52,Codes!$A$18:$B$19,2,FALSE()),"Invalid ("&amp;Data!G52&amp;")"))</f>
        <v>No</v>
      </c>
      <c r="H52" s="28" t="str">
        <f aca="false">IF(Data!H52="","",IFERROR(VLOOKUP(Data!H52,Codes!$A$23:$B$25,2,FALSE()),"Invalid ("&amp;Data!H52&amp;")"))</f>
        <v>Normal</v>
      </c>
      <c r="I52" s="20" t="n">
        <f aca="false">IF(Data!I52="","",Data!I52)</f>
        <v>168</v>
      </c>
      <c r="J52" s="28" t="str">
        <f aca="false">IF(Data!J52="","",IFERROR(VLOOKUP(Data!J52,Codes!$A$29:$B$30,2,FALSE()),"Invalid ("&amp;Data!J52&amp;")"))</f>
        <v>No</v>
      </c>
      <c r="K52" s="21" t="n">
        <f aca="false">IF(Data!K52="","",Data!K52)</f>
        <v>0</v>
      </c>
      <c r="L52" s="28" t="str">
        <f aca="false">IF(Data!L52="","",IFERROR(VLOOKUP(Data!L52,Codes!$A$34:$B$36,2,FALSE()),"Invalid ("&amp;Data!L52&amp;")"))</f>
        <v>Upsloping</v>
      </c>
      <c r="M52" s="20" t="n">
        <f aca="false">IF(Data!M52="","",Data!M52)</f>
        <v>1</v>
      </c>
      <c r="N52" s="28" t="str">
        <f aca="false">IF(Data!N52="","",IFERROR(VLOOKUP(Data!N52,Codes!$A$47:$B$49,2,FALSE()),"Invalid ("&amp;Data!N52&amp;")"))</f>
        <v>Normal</v>
      </c>
      <c r="O52" s="28" t="str">
        <f aca="false">IF(Data!O52="","",IFERROR(VLOOKUP(Data!O52,Codes!$A$53:$B$57,2,FALSE()),"Invalid ("&amp;Data!O52&amp;")"))</f>
        <v>No disease</v>
      </c>
      <c r="P52" s="22" t="str">
        <f aca="false">IF(Data!P52="","",IFERROR(VLOOKUP(Data!P52,Codes!$A$61:$B$64,2,FALSE()),"Invalid ("&amp;Data!P52&amp;")"))</f>
        <v>Cleveland Clinic</v>
      </c>
    </row>
    <row r="53" customFormat="false" ht="15" hidden="false" customHeight="false" outlineLevel="0" collapsed="false">
      <c r="A53" s="19" t="n">
        <f aca="false">Data!A53</f>
        <v>52</v>
      </c>
      <c r="B53" s="20" t="n">
        <f aca="false">IF(Data!B53="","",Data!B53)</f>
        <v>65</v>
      </c>
      <c r="C53" s="28" t="str">
        <f aca="false">IF(Data!C53="","",IFERROR(VLOOKUP(Data!C53,Codes!$A$6:$B$7,2,FALSE()),"Invalid ("&amp;Data!C53&amp;")"))</f>
        <v>Male</v>
      </c>
      <c r="D53" s="28" t="str">
        <f aca="false">IF(Data!D53="","",IFERROR(VLOOKUP(Data!D53,Codes!$A$11:$B$14,2,FALSE()),"Invalid ("&amp;Data!D53&amp;")"))</f>
        <v>Asymptomatic</v>
      </c>
      <c r="E53" s="20" t="n">
        <f aca="false">IF(Data!E53="","",Data!E53)</f>
        <v>120</v>
      </c>
      <c r="F53" s="20" t="n">
        <f aca="false">IF(Data!F53="","",Data!F53)</f>
        <v>177</v>
      </c>
      <c r="G53" s="28" t="str">
        <f aca="false">IF(Data!G53="","",IFERROR(VLOOKUP(Data!G53,Codes!$A$18:$B$19,2,FALSE()),"Invalid ("&amp;Data!G53&amp;")"))</f>
        <v>No</v>
      </c>
      <c r="H53" s="28" t="str">
        <f aca="false">IF(Data!H53="","",IFERROR(VLOOKUP(Data!H53,Codes!$A$23:$B$25,2,FALSE()),"Invalid ("&amp;Data!H53&amp;")"))</f>
        <v>Normal</v>
      </c>
      <c r="I53" s="20" t="n">
        <f aca="false">IF(Data!I53="","",Data!I53)</f>
        <v>140</v>
      </c>
      <c r="J53" s="28" t="str">
        <f aca="false">IF(Data!J53="","",IFERROR(VLOOKUP(Data!J53,Codes!$A$29:$B$30,2,FALSE()),"Invalid ("&amp;Data!J53&amp;")"))</f>
        <v>No</v>
      </c>
      <c r="K53" s="21" t="n">
        <f aca="false">IF(Data!K53="","",Data!K53)</f>
        <v>0.4</v>
      </c>
      <c r="L53" s="28" t="str">
        <f aca="false">IF(Data!L53="","",IFERROR(VLOOKUP(Data!L53,Codes!$A$34:$B$36,2,FALSE()),"Invalid ("&amp;Data!L53&amp;")"))</f>
        <v>Upsloping</v>
      </c>
      <c r="M53" s="20" t="n">
        <f aca="false">IF(Data!M53="","",Data!M53)</f>
        <v>0</v>
      </c>
      <c r="N53" s="28" t="str">
        <f aca="false">IF(Data!N53="","",IFERROR(VLOOKUP(Data!N53,Codes!$A$47:$B$49,2,FALSE()),"Invalid ("&amp;Data!N53&amp;")"))</f>
        <v>Reversible defect</v>
      </c>
      <c r="O53" s="28" t="str">
        <f aca="false">IF(Data!O53="","",IFERROR(VLOOKUP(Data!O53,Codes!$A$53:$B$57,2,FALSE()),"Invalid ("&amp;Data!O53&amp;")"))</f>
        <v>No disease</v>
      </c>
      <c r="P53" s="22" t="str">
        <f aca="false">IF(Data!P53="","",IFERROR(VLOOKUP(Data!P53,Codes!$A$61:$B$64,2,FALSE()),"Invalid ("&amp;Data!P53&amp;")"))</f>
        <v>Cleveland Clinic</v>
      </c>
    </row>
    <row r="54" customFormat="false" ht="15" hidden="false" customHeight="false" outlineLevel="0" collapsed="false">
      <c r="A54" s="19" t="n">
        <f aca="false">Data!A54</f>
        <v>53</v>
      </c>
      <c r="B54" s="20" t="n">
        <f aca="false">IF(Data!B54="","",Data!B54)</f>
        <v>44</v>
      </c>
      <c r="C54" s="28" t="str">
        <f aca="false">IF(Data!C54="","",IFERROR(VLOOKUP(Data!C54,Codes!$A$6:$B$7,2,FALSE()),"Invalid ("&amp;Data!C54&amp;")"))</f>
        <v>Male</v>
      </c>
      <c r="D54" s="28" t="str">
        <f aca="false">IF(Data!D54="","",IFERROR(VLOOKUP(Data!D54,Codes!$A$11:$B$14,2,FALSE()),"Invalid ("&amp;Data!D54&amp;")"))</f>
        <v>Asymptomatic</v>
      </c>
      <c r="E54" s="20" t="n">
        <f aca="false">IF(Data!E54="","",Data!E54)</f>
        <v>112</v>
      </c>
      <c r="F54" s="20" t="n">
        <f aca="false">IF(Data!F54="","",Data!F54)</f>
        <v>290</v>
      </c>
      <c r="G54" s="28" t="str">
        <f aca="false">IF(Data!G54="","",IFERROR(VLOOKUP(Data!G54,Codes!$A$18:$B$19,2,FALSE()),"Invalid ("&amp;Data!G54&amp;")"))</f>
        <v>No</v>
      </c>
      <c r="H54" s="28" t="str">
        <f aca="false">IF(Data!H54="","",IFERROR(VLOOKUP(Data!H54,Codes!$A$23:$B$25,2,FALSE()),"Invalid ("&amp;Data!H54&amp;")"))</f>
        <v>Left ventricular hypertrophy</v>
      </c>
      <c r="I54" s="20" t="n">
        <f aca="false">IF(Data!I54="","",Data!I54)</f>
        <v>153</v>
      </c>
      <c r="J54" s="28" t="str">
        <f aca="false">IF(Data!J54="","",IFERROR(VLOOKUP(Data!J54,Codes!$A$29:$B$30,2,FALSE()),"Invalid ("&amp;Data!J54&amp;")"))</f>
        <v>No</v>
      </c>
      <c r="K54" s="21" t="n">
        <f aca="false">IF(Data!K54="","",Data!K54)</f>
        <v>0</v>
      </c>
      <c r="L54" s="28" t="str">
        <f aca="false">IF(Data!L54="","",IFERROR(VLOOKUP(Data!L54,Codes!$A$34:$B$36,2,FALSE()),"Invalid ("&amp;Data!L54&amp;")"))</f>
        <v>Upsloping</v>
      </c>
      <c r="M54" s="20" t="n">
        <f aca="false">IF(Data!M54="","",Data!M54)</f>
        <v>1</v>
      </c>
      <c r="N54" s="28" t="str">
        <f aca="false">IF(Data!N54="","",IFERROR(VLOOKUP(Data!N54,Codes!$A$47:$B$49,2,FALSE()),"Invalid ("&amp;Data!N54&amp;")"))</f>
        <v>Normal</v>
      </c>
      <c r="O54" s="28" t="str">
        <f aca="false">IF(Data!O54="","",IFERROR(VLOOKUP(Data!O54,Codes!$A$53:$B$57,2,FALSE()),"Invalid ("&amp;Data!O54&amp;")"))</f>
        <v>Disease (2)</v>
      </c>
      <c r="P54" s="22" t="str">
        <f aca="false">IF(Data!P54="","",IFERROR(VLOOKUP(Data!P54,Codes!$A$61:$B$64,2,FALSE()),"Invalid ("&amp;Data!P54&amp;")"))</f>
        <v>Cleveland Clinic</v>
      </c>
    </row>
    <row r="55" customFormat="false" ht="15" hidden="false" customHeight="false" outlineLevel="0" collapsed="false">
      <c r="A55" s="19" t="n">
        <f aca="false">Data!A55</f>
        <v>54</v>
      </c>
      <c r="B55" s="20" t="n">
        <f aca="false">IF(Data!B55="","",Data!B55)</f>
        <v>44</v>
      </c>
      <c r="C55" s="28" t="str">
        <f aca="false">IF(Data!C55="","",IFERROR(VLOOKUP(Data!C55,Codes!$A$6:$B$7,2,FALSE()),"Invalid ("&amp;Data!C55&amp;")"))</f>
        <v>Male</v>
      </c>
      <c r="D55" s="28" t="str">
        <f aca="false">IF(Data!D55="","",IFERROR(VLOOKUP(Data!D55,Codes!$A$11:$B$14,2,FALSE()),"Invalid ("&amp;Data!D55&amp;")"))</f>
        <v>Atypical angina</v>
      </c>
      <c r="E55" s="20" t="n">
        <f aca="false">IF(Data!E55="","",Data!E55)</f>
        <v>130</v>
      </c>
      <c r="F55" s="20" t="n">
        <f aca="false">IF(Data!F55="","",Data!F55)</f>
        <v>219</v>
      </c>
      <c r="G55" s="28" t="str">
        <f aca="false">IF(Data!G55="","",IFERROR(VLOOKUP(Data!G55,Codes!$A$18:$B$19,2,FALSE()),"Invalid ("&amp;Data!G55&amp;")"))</f>
        <v>No</v>
      </c>
      <c r="H55" s="28" t="str">
        <f aca="false">IF(Data!H55="","",IFERROR(VLOOKUP(Data!H55,Codes!$A$23:$B$25,2,FALSE()),"Invalid ("&amp;Data!H55&amp;")"))</f>
        <v>Left ventricular hypertrophy</v>
      </c>
      <c r="I55" s="20" t="n">
        <f aca="false">IF(Data!I55="","",Data!I55)</f>
        <v>188</v>
      </c>
      <c r="J55" s="28" t="str">
        <f aca="false">IF(Data!J55="","",IFERROR(VLOOKUP(Data!J55,Codes!$A$29:$B$30,2,FALSE()),"Invalid ("&amp;Data!J55&amp;")"))</f>
        <v>No</v>
      </c>
      <c r="K55" s="21" t="n">
        <f aca="false">IF(Data!K55="","",Data!K55)</f>
        <v>0</v>
      </c>
      <c r="L55" s="28" t="str">
        <f aca="false">IF(Data!L55="","",IFERROR(VLOOKUP(Data!L55,Codes!$A$34:$B$36,2,FALSE()),"Invalid ("&amp;Data!L55&amp;")"))</f>
        <v>Upsloping</v>
      </c>
      <c r="M55" s="20" t="n">
        <f aca="false">IF(Data!M55="","",Data!M55)</f>
        <v>0</v>
      </c>
      <c r="N55" s="28" t="str">
        <f aca="false">IF(Data!N55="","",IFERROR(VLOOKUP(Data!N55,Codes!$A$47:$B$49,2,FALSE()),"Invalid ("&amp;Data!N55&amp;")"))</f>
        <v>Normal</v>
      </c>
      <c r="O55" s="28" t="str">
        <f aca="false">IF(Data!O55="","",IFERROR(VLOOKUP(Data!O55,Codes!$A$53:$B$57,2,FALSE()),"Invalid ("&amp;Data!O55&amp;")"))</f>
        <v>No disease</v>
      </c>
      <c r="P55" s="22" t="str">
        <f aca="false">IF(Data!P55="","",IFERROR(VLOOKUP(Data!P55,Codes!$A$61:$B$64,2,FALSE()),"Invalid ("&amp;Data!P55&amp;")"))</f>
        <v>Cleveland Clinic</v>
      </c>
    </row>
    <row r="56" customFormat="false" ht="15" hidden="false" customHeight="false" outlineLevel="0" collapsed="false">
      <c r="A56" s="19" t="n">
        <f aca="false">Data!A56</f>
        <v>55</v>
      </c>
      <c r="B56" s="20" t="n">
        <f aca="false">IF(Data!B56="","",Data!B56)</f>
        <v>60</v>
      </c>
      <c r="C56" s="28" t="str">
        <f aca="false">IF(Data!C56="","",IFERROR(VLOOKUP(Data!C56,Codes!$A$6:$B$7,2,FALSE()),"Invalid ("&amp;Data!C56&amp;")"))</f>
        <v>Male</v>
      </c>
      <c r="D56" s="28" t="str">
        <f aca="false">IF(Data!D56="","",IFERROR(VLOOKUP(Data!D56,Codes!$A$11:$B$14,2,FALSE()),"Invalid ("&amp;Data!D56&amp;")"))</f>
        <v>Asymptomatic</v>
      </c>
      <c r="E56" s="20" t="n">
        <f aca="false">IF(Data!E56="","",Data!E56)</f>
        <v>130</v>
      </c>
      <c r="F56" s="20" t="n">
        <f aca="false">IF(Data!F56="","",Data!F56)</f>
        <v>253</v>
      </c>
      <c r="G56" s="28" t="str">
        <f aca="false">IF(Data!G56="","",IFERROR(VLOOKUP(Data!G56,Codes!$A$18:$B$19,2,FALSE()),"Invalid ("&amp;Data!G56&amp;")"))</f>
        <v>No</v>
      </c>
      <c r="H56" s="28" t="str">
        <f aca="false">IF(Data!H56="","",IFERROR(VLOOKUP(Data!H56,Codes!$A$23:$B$25,2,FALSE()),"Invalid ("&amp;Data!H56&amp;")"))</f>
        <v>Normal</v>
      </c>
      <c r="I56" s="20" t="n">
        <f aca="false">IF(Data!I56="","",Data!I56)</f>
        <v>144</v>
      </c>
      <c r="J56" s="28" t="str">
        <f aca="false">IF(Data!J56="","",IFERROR(VLOOKUP(Data!J56,Codes!$A$29:$B$30,2,FALSE()),"Invalid ("&amp;Data!J56&amp;")"))</f>
        <v>Yes</v>
      </c>
      <c r="K56" s="21" t="n">
        <f aca="false">IF(Data!K56="","",Data!K56)</f>
        <v>1.4</v>
      </c>
      <c r="L56" s="28" t="str">
        <f aca="false">IF(Data!L56="","",IFERROR(VLOOKUP(Data!L56,Codes!$A$34:$B$36,2,FALSE()),"Invalid ("&amp;Data!L56&amp;")"))</f>
        <v>Upsloping</v>
      </c>
      <c r="M56" s="20" t="n">
        <f aca="false">IF(Data!M56="","",Data!M56)</f>
        <v>1</v>
      </c>
      <c r="N56" s="28" t="str">
        <f aca="false">IF(Data!N56="","",IFERROR(VLOOKUP(Data!N56,Codes!$A$47:$B$49,2,FALSE()),"Invalid ("&amp;Data!N56&amp;")"))</f>
        <v>Reversible defect</v>
      </c>
      <c r="O56" s="28" t="str">
        <f aca="false">IF(Data!O56="","",IFERROR(VLOOKUP(Data!O56,Codes!$A$53:$B$57,2,FALSE()),"Invalid ("&amp;Data!O56&amp;")"))</f>
        <v>Disease (1)</v>
      </c>
      <c r="P56" s="22" t="str">
        <f aca="false">IF(Data!P56="","",IFERROR(VLOOKUP(Data!P56,Codes!$A$61:$B$64,2,FALSE()),"Invalid ("&amp;Data!P56&amp;")"))</f>
        <v>Cleveland Clinic</v>
      </c>
    </row>
    <row r="57" customFormat="false" ht="15" hidden="false" customHeight="false" outlineLevel="0" collapsed="false">
      <c r="A57" s="19" t="n">
        <f aca="false">Data!A57</f>
        <v>56</v>
      </c>
      <c r="B57" s="20" t="n">
        <f aca="false">IF(Data!B57="","",Data!B57)</f>
        <v>54</v>
      </c>
      <c r="C57" s="28" t="str">
        <f aca="false">IF(Data!C57="","",IFERROR(VLOOKUP(Data!C57,Codes!$A$6:$B$7,2,FALSE()),"Invalid ("&amp;Data!C57&amp;")"))</f>
        <v>Male</v>
      </c>
      <c r="D57" s="28" t="str">
        <f aca="false">IF(Data!D57="","",IFERROR(VLOOKUP(Data!D57,Codes!$A$11:$B$14,2,FALSE()),"Invalid ("&amp;Data!D57&amp;")"))</f>
        <v>Asymptomatic</v>
      </c>
      <c r="E57" s="20" t="n">
        <f aca="false">IF(Data!E57="","",Data!E57)</f>
        <v>124</v>
      </c>
      <c r="F57" s="20" t="n">
        <f aca="false">IF(Data!F57="","",Data!F57)</f>
        <v>266</v>
      </c>
      <c r="G57" s="28" t="str">
        <f aca="false">IF(Data!G57="","",IFERROR(VLOOKUP(Data!G57,Codes!$A$18:$B$19,2,FALSE()),"Invalid ("&amp;Data!G57&amp;")"))</f>
        <v>No</v>
      </c>
      <c r="H57" s="28" t="str">
        <f aca="false">IF(Data!H57="","",IFERROR(VLOOKUP(Data!H57,Codes!$A$23:$B$25,2,FALSE()),"Invalid ("&amp;Data!H57&amp;")"))</f>
        <v>Left ventricular hypertrophy</v>
      </c>
      <c r="I57" s="20" t="n">
        <f aca="false">IF(Data!I57="","",Data!I57)</f>
        <v>109</v>
      </c>
      <c r="J57" s="28" t="str">
        <f aca="false">IF(Data!J57="","",IFERROR(VLOOKUP(Data!J57,Codes!$A$29:$B$30,2,FALSE()),"Invalid ("&amp;Data!J57&amp;")"))</f>
        <v>Yes</v>
      </c>
      <c r="K57" s="21" t="n">
        <f aca="false">IF(Data!K57="","",Data!K57)</f>
        <v>2.2</v>
      </c>
      <c r="L57" s="28" t="str">
        <f aca="false">IF(Data!L57="","",IFERROR(VLOOKUP(Data!L57,Codes!$A$34:$B$36,2,FALSE()),"Invalid ("&amp;Data!L57&amp;")"))</f>
        <v>Flat</v>
      </c>
      <c r="M57" s="20" t="n">
        <f aca="false">IF(Data!M57="","",Data!M57)</f>
        <v>1</v>
      </c>
      <c r="N57" s="28" t="str">
        <f aca="false">IF(Data!N57="","",IFERROR(VLOOKUP(Data!N57,Codes!$A$47:$B$49,2,FALSE()),"Invalid ("&amp;Data!N57&amp;")"))</f>
        <v>Reversible defect</v>
      </c>
      <c r="O57" s="28" t="str">
        <f aca="false">IF(Data!O57="","",IFERROR(VLOOKUP(Data!O57,Codes!$A$53:$B$57,2,FALSE()),"Invalid ("&amp;Data!O57&amp;")"))</f>
        <v>Disease (1)</v>
      </c>
      <c r="P57" s="22" t="str">
        <f aca="false">IF(Data!P57="","",IFERROR(VLOOKUP(Data!P57,Codes!$A$61:$B$64,2,FALSE()),"Invalid ("&amp;Data!P57&amp;")"))</f>
        <v>Cleveland Clinic</v>
      </c>
    </row>
    <row r="58" customFormat="false" ht="15" hidden="false" customHeight="false" outlineLevel="0" collapsed="false">
      <c r="A58" s="19" t="n">
        <f aca="false">Data!A58</f>
        <v>57</v>
      </c>
      <c r="B58" s="20" t="n">
        <f aca="false">IF(Data!B58="","",Data!B58)</f>
        <v>50</v>
      </c>
      <c r="C58" s="28" t="str">
        <f aca="false">IF(Data!C58="","",IFERROR(VLOOKUP(Data!C58,Codes!$A$6:$B$7,2,FALSE()),"Invalid ("&amp;Data!C58&amp;")"))</f>
        <v>Male</v>
      </c>
      <c r="D58" s="28" t="str">
        <f aca="false">IF(Data!D58="","",IFERROR(VLOOKUP(Data!D58,Codes!$A$11:$B$14,2,FALSE()),"Invalid ("&amp;Data!D58&amp;")"))</f>
        <v>Non-anginal pain</v>
      </c>
      <c r="E58" s="20" t="n">
        <f aca="false">IF(Data!E58="","",Data!E58)</f>
        <v>140</v>
      </c>
      <c r="F58" s="20" t="n">
        <f aca="false">IF(Data!F58="","",Data!F58)</f>
        <v>233</v>
      </c>
      <c r="G58" s="28" t="str">
        <f aca="false">IF(Data!G58="","",IFERROR(VLOOKUP(Data!G58,Codes!$A$18:$B$19,2,FALSE()),"Invalid ("&amp;Data!G58&amp;")"))</f>
        <v>No</v>
      </c>
      <c r="H58" s="28" t="str">
        <f aca="false">IF(Data!H58="","",IFERROR(VLOOKUP(Data!H58,Codes!$A$23:$B$25,2,FALSE()),"Invalid ("&amp;Data!H58&amp;")"))</f>
        <v>Normal</v>
      </c>
      <c r="I58" s="20" t="n">
        <f aca="false">IF(Data!I58="","",Data!I58)</f>
        <v>163</v>
      </c>
      <c r="J58" s="28" t="str">
        <f aca="false">IF(Data!J58="","",IFERROR(VLOOKUP(Data!J58,Codes!$A$29:$B$30,2,FALSE()),"Invalid ("&amp;Data!J58&amp;")"))</f>
        <v>No</v>
      </c>
      <c r="K58" s="21" t="n">
        <f aca="false">IF(Data!K58="","",Data!K58)</f>
        <v>0.6</v>
      </c>
      <c r="L58" s="28" t="str">
        <f aca="false">IF(Data!L58="","",IFERROR(VLOOKUP(Data!L58,Codes!$A$34:$B$36,2,FALSE()),"Invalid ("&amp;Data!L58&amp;")"))</f>
        <v>Flat</v>
      </c>
      <c r="M58" s="20" t="n">
        <f aca="false">IF(Data!M58="","",Data!M58)</f>
        <v>1</v>
      </c>
      <c r="N58" s="28" t="str">
        <f aca="false">IF(Data!N58="","",IFERROR(VLOOKUP(Data!N58,Codes!$A$47:$B$49,2,FALSE()),"Invalid ("&amp;Data!N58&amp;")"))</f>
        <v>Reversible defect</v>
      </c>
      <c r="O58" s="28" t="str">
        <f aca="false">IF(Data!O58="","",IFERROR(VLOOKUP(Data!O58,Codes!$A$53:$B$57,2,FALSE()),"Invalid ("&amp;Data!O58&amp;")"))</f>
        <v>Disease (1)</v>
      </c>
      <c r="P58" s="22" t="str">
        <f aca="false">IF(Data!P58="","",IFERROR(VLOOKUP(Data!P58,Codes!$A$61:$B$64,2,FALSE()),"Invalid ("&amp;Data!P58&amp;")"))</f>
        <v>Cleveland Clinic</v>
      </c>
    </row>
    <row r="59" customFormat="false" ht="15" hidden="false" customHeight="false" outlineLevel="0" collapsed="false">
      <c r="A59" s="19" t="n">
        <f aca="false">Data!A59</f>
        <v>58</v>
      </c>
      <c r="B59" s="20" t="n">
        <f aca="false">IF(Data!B59="","",Data!B59)</f>
        <v>41</v>
      </c>
      <c r="C59" s="28" t="str">
        <f aca="false">IF(Data!C59="","",IFERROR(VLOOKUP(Data!C59,Codes!$A$6:$B$7,2,FALSE()),"Invalid ("&amp;Data!C59&amp;")"))</f>
        <v>Male</v>
      </c>
      <c r="D59" s="28" t="str">
        <f aca="false">IF(Data!D59="","",IFERROR(VLOOKUP(Data!D59,Codes!$A$11:$B$14,2,FALSE()),"Invalid ("&amp;Data!D59&amp;")"))</f>
        <v>Asymptomatic</v>
      </c>
      <c r="E59" s="20" t="n">
        <f aca="false">IF(Data!E59="","",Data!E59)</f>
        <v>110</v>
      </c>
      <c r="F59" s="20" t="n">
        <f aca="false">IF(Data!F59="","",Data!F59)</f>
        <v>172</v>
      </c>
      <c r="G59" s="28" t="str">
        <f aca="false">IF(Data!G59="","",IFERROR(VLOOKUP(Data!G59,Codes!$A$18:$B$19,2,FALSE()),"Invalid ("&amp;Data!G59&amp;")"))</f>
        <v>No</v>
      </c>
      <c r="H59" s="28" t="str">
        <f aca="false">IF(Data!H59="","",IFERROR(VLOOKUP(Data!H59,Codes!$A$23:$B$25,2,FALSE()),"Invalid ("&amp;Data!H59&amp;")"))</f>
        <v>Left ventricular hypertrophy</v>
      </c>
      <c r="I59" s="20" t="n">
        <f aca="false">IF(Data!I59="","",Data!I59)</f>
        <v>158</v>
      </c>
      <c r="J59" s="28" t="str">
        <f aca="false">IF(Data!J59="","",IFERROR(VLOOKUP(Data!J59,Codes!$A$29:$B$30,2,FALSE()),"Invalid ("&amp;Data!J59&amp;")"))</f>
        <v>No</v>
      </c>
      <c r="K59" s="21" t="n">
        <f aca="false">IF(Data!K59="","",Data!K59)</f>
        <v>0</v>
      </c>
      <c r="L59" s="28" t="str">
        <f aca="false">IF(Data!L59="","",IFERROR(VLOOKUP(Data!L59,Codes!$A$34:$B$36,2,FALSE()),"Invalid ("&amp;Data!L59&amp;")"))</f>
        <v>Upsloping</v>
      </c>
      <c r="M59" s="20" t="n">
        <f aca="false">IF(Data!M59="","",Data!M59)</f>
        <v>0</v>
      </c>
      <c r="N59" s="28" t="str">
        <f aca="false">IF(Data!N59="","",IFERROR(VLOOKUP(Data!N59,Codes!$A$47:$B$49,2,FALSE()),"Invalid ("&amp;Data!N59&amp;")"))</f>
        <v>Reversible defect</v>
      </c>
      <c r="O59" s="28" t="str">
        <f aca="false">IF(Data!O59="","",IFERROR(VLOOKUP(Data!O59,Codes!$A$53:$B$57,2,FALSE()),"Invalid ("&amp;Data!O59&amp;")"))</f>
        <v>Disease (1)</v>
      </c>
      <c r="P59" s="22" t="str">
        <f aca="false">IF(Data!P59="","",IFERROR(VLOOKUP(Data!P59,Codes!$A$61:$B$64,2,FALSE()),"Invalid ("&amp;Data!P59&amp;")"))</f>
        <v>Cleveland Clinic</v>
      </c>
    </row>
    <row r="60" customFormat="false" ht="15" hidden="false" customHeight="false" outlineLevel="0" collapsed="false">
      <c r="A60" s="19" t="n">
        <f aca="false">Data!A60</f>
        <v>59</v>
      </c>
      <c r="B60" s="20" t="n">
        <f aca="false">IF(Data!B60="","",Data!B60)</f>
        <v>54</v>
      </c>
      <c r="C60" s="28" t="str">
        <f aca="false">IF(Data!C60="","",IFERROR(VLOOKUP(Data!C60,Codes!$A$6:$B$7,2,FALSE()),"Invalid ("&amp;Data!C60&amp;")"))</f>
        <v>Male</v>
      </c>
      <c r="D60" s="28" t="str">
        <f aca="false">IF(Data!D60="","",IFERROR(VLOOKUP(Data!D60,Codes!$A$11:$B$14,2,FALSE()),"Invalid ("&amp;Data!D60&amp;")"))</f>
        <v>Non-anginal pain</v>
      </c>
      <c r="E60" s="20" t="n">
        <f aca="false">IF(Data!E60="","",Data!E60)</f>
        <v>125</v>
      </c>
      <c r="F60" s="20" t="n">
        <f aca="false">IF(Data!F60="","",Data!F60)</f>
        <v>273</v>
      </c>
      <c r="G60" s="28" t="str">
        <f aca="false">IF(Data!G60="","",IFERROR(VLOOKUP(Data!G60,Codes!$A$18:$B$19,2,FALSE()),"Invalid ("&amp;Data!G60&amp;")"))</f>
        <v>No</v>
      </c>
      <c r="H60" s="28" t="str">
        <f aca="false">IF(Data!H60="","",IFERROR(VLOOKUP(Data!H60,Codes!$A$23:$B$25,2,FALSE()),"Invalid ("&amp;Data!H60&amp;")"))</f>
        <v>Left ventricular hypertrophy</v>
      </c>
      <c r="I60" s="20" t="n">
        <f aca="false">IF(Data!I60="","",Data!I60)</f>
        <v>152</v>
      </c>
      <c r="J60" s="28" t="str">
        <f aca="false">IF(Data!J60="","",IFERROR(VLOOKUP(Data!J60,Codes!$A$29:$B$30,2,FALSE()),"Invalid ("&amp;Data!J60&amp;")"))</f>
        <v>No</v>
      </c>
      <c r="K60" s="21" t="n">
        <f aca="false">IF(Data!K60="","",Data!K60)</f>
        <v>0.5</v>
      </c>
      <c r="L60" s="28" t="str">
        <f aca="false">IF(Data!L60="","",IFERROR(VLOOKUP(Data!L60,Codes!$A$34:$B$36,2,FALSE()),"Invalid ("&amp;Data!L60&amp;")"))</f>
        <v>Downsloping</v>
      </c>
      <c r="M60" s="20" t="n">
        <f aca="false">IF(Data!M60="","",Data!M60)</f>
        <v>1</v>
      </c>
      <c r="N60" s="28" t="str">
        <f aca="false">IF(Data!N60="","",IFERROR(VLOOKUP(Data!N60,Codes!$A$47:$B$49,2,FALSE()),"Invalid ("&amp;Data!N60&amp;")"))</f>
        <v>Normal</v>
      </c>
      <c r="O60" s="28" t="str">
        <f aca="false">IF(Data!O60="","",IFERROR(VLOOKUP(Data!O60,Codes!$A$53:$B$57,2,FALSE()),"Invalid ("&amp;Data!O60&amp;")"))</f>
        <v>No disease</v>
      </c>
      <c r="P60" s="22" t="str">
        <f aca="false">IF(Data!P60="","",IFERROR(VLOOKUP(Data!P60,Codes!$A$61:$B$64,2,FALSE()),"Invalid ("&amp;Data!P60&amp;")"))</f>
        <v>Cleveland Clinic</v>
      </c>
    </row>
    <row r="61" customFormat="false" ht="15" hidden="false" customHeight="false" outlineLevel="0" collapsed="false">
      <c r="A61" s="19" t="n">
        <f aca="false">Data!A61</f>
        <v>60</v>
      </c>
      <c r="B61" s="20" t="n">
        <f aca="false">IF(Data!B61="","",Data!B61)</f>
        <v>51</v>
      </c>
      <c r="C61" s="28" t="str">
        <f aca="false">IF(Data!C61="","",IFERROR(VLOOKUP(Data!C61,Codes!$A$6:$B$7,2,FALSE()),"Invalid ("&amp;Data!C61&amp;")"))</f>
        <v>Male</v>
      </c>
      <c r="D61" s="28" t="str">
        <f aca="false">IF(Data!D61="","",IFERROR(VLOOKUP(Data!D61,Codes!$A$11:$B$14,2,FALSE()),"Invalid ("&amp;Data!D61&amp;")"))</f>
        <v>Typical angina</v>
      </c>
      <c r="E61" s="20" t="n">
        <f aca="false">IF(Data!E61="","",Data!E61)</f>
        <v>125</v>
      </c>
      <c r="F61" s="20" t="n">
        <f aca="false">IF(Data!F61="","",Data!F61)</f>
        <v>213</v>
      </c>
      <c r="G61" s="28" t="str">
        <f aca="false">IF(Data!G61="","",IFERROR(VLOOKUP(Data!G61,Codes!$A$18:$B$19,2,FALSE()),"Invalid ("&amp;Data!G61&amp;")"))</f>
        <v>No</v>
      </c>
      <c r="H61" s="28" t="str">
        <f aca="false">IF(Data!H61="","",IFERROR(VLOOKUP(Data!H61,Codes!$A$23:$B$25,2,FALSE()),"Invalid ("&amp;Data!H61&amp;")"))</f>
        <v>Left ventricular hypertrophy</v>
      </c>
      <c r="I61" s="20" t="n">
        <f aca="false">IF(Data!I61="","",Data!I61)</f>
        <v>125</v>
      </c>
      <c r="J61" s="28" t="str">
        <f aca="false">IF(Data!J61="","",IFERROR(VLOOKUP(Data!J61,Codes!$A$29:$B$30,2,FALSE()),"Invalid ("&amp;Data!J61&amp;")"))</f>
        <v>Yes</v>
      </c>
      <c r="K61" s="21" t="n">
        <f aca="false">IF(Data!K61="","",Data!K61)</f>
        <v>1.4</v>
      </c>
      <c r="L61" s="28" t="str">
        <f aca="false">IF(Data!L61="","",IFERROR(VLOOKUP(Data!L61,Codes!$A$34:$B$36,2,FALSE()),"Invalid ("&amp;Data!L61&amp;")"))</f>
        <v>Upsloping</v>
      </c>
      <c r="M61" s="20" t="n">
        <f aca="false">IF(Data!M61="","",Data!M61)</f>
        <v>1</v>
      </c>
      <c r="N61" s="28" t="str">
        <f aca="false">IF(Data!N61="","",IFERROR(VLOOKUP(Data!N61,Codes!$A$47:$B$49,2,FALSE()),"Invalid ("&amp;Data!N61&amp;")"))</f>
        <v>Normal</v>
      </c>
      <c r="O61" s="28" t="str">
        <f aca="false">IF(Data!O61="","",IFERROR(VLOOKUP(Data!O61,Codes!$A$53:$B$57,2,FALSE()),"Invalid ("&amp;Data!O61&amp;")"))</f>
        <v>No disease</v>
      </c>
      <c r="P61" s="22" t="str">
        <f aca="false">IF(Data!P61="","",IFERROR(VLOOKUP(Data!P61,Codes!$A$61:$B$64,2,FALSE()),"Invalid ("&amp;Data!P61&amp;")"))</f>
        <v>Cleveland Clinic</v>
      </c>
    </row>
    <row r="62" customFormat="false" ht="15" hidden="false" customHeight="false" outlineLevel="0" collapsed="false">
      <c r="A62" s="19" t="n">
        <f aca="false">Data!A62</f>
        <v>61</v>
      </c>
      <c r="B62" s="20" t="n">
        <f aca="false">IF(Data!B62="","",Data!B62)</f>
        <v>51</v>
      </c>
      <c r="C62" s="28" t="str">
        <f aca="false">IF(Data!C62="","",IFERROR(VLOOKUP(Data!C62,Codes!$A$6:$B$7,2,FALSE()),"Invalid ("&amp;Data!C62&amp;")"))</f>
        <v>Female</v>
      </c>
      <c r="D62" s="28" t="str">
        <f aca="false">IF(Data!D62="","",IFERROR(VLOOKUP(Data!D62,Codes!$A$11:$B$14,2,FALSE()),"Invalid ("&amp;Data!D62&amp;")"))</f>
        <v>Asymptomatic</v>
      </c>
      <c r="E62" s="20" t="n">
        <f aca="false">IF(Data!E62="","",Data!E62)</f>
        <v>130</v>
      </c>
      <c r="F62" s="20" t="n">
        <f aca="false">IF(Data!F62="","",Data!F62)</f>
        <v>305</v>
      </c>
      <c r="G62" s="28" t="str">
        <f aca="false">IF(Data!G62="","",IFERROR(VLOOKUP(Data!G62,Codes!$A$18:$B$19,2,FALSE()),"Invalid ("&amp;Data!G62&amp;")"))</f>
        <v>No</v>
      </c>
      <c r="H62" s="28" t="str">
        <f aca="false">IF(Data!H62="","",IFERROR(VLOOKUP(Data!H62,Codes!$A$23:$B$25,2,FALSE()),"Invalid ("&amp;Data!H62&amp;")"))</f>
        <v>Normal</v>
      </c>
      <c r="I62" s="20" t="n">
        <f aca="false">IF(Data!I62="","",Data!I62)</f>
        <v>142</v>
      </c>
      <c r="J62" s="28" t="str">
        <f aca="false">IF(Data!J62="","",IFERROR(VLOOKUP(Data!J62,Codes!$A$29:$B$30,2,FALSE()),"Invalid ("&amp;Data!J62&amp;")"))</f>
        <v>Yes</v>
      </c>
      <c r="K62" s="21" t="n">
        <f aca="false">IF(Data!K62="","",Data!K62)</f>
        <v>1.2</v>
      </c>
      <c r="L62" s="28" t="str">
        <f aca="false">IF(Data!L62="","",IFERROR(VLOOKUP(Data!L62,Codes!$A$34:$B$36,2,FALSE()),"Invalid ("&amp;Data!L62&amp;")"))</f>
        <v>Flat</v>
      </c>
      <c r="M62" s="20" t="n">
        <f aca="false">IF(Data!M62="","",Data!M62)</f>
        <v>0</v>
      </c>
      <c r="N62" s="28" t="str">
        <f aca="false">IF(Data!N62="","",IFERROR(VLOOKUP(Data!N62,Codes!$A$47:$B$49,2,FALSE()),"Invalid ("&amp;Data!N62&amp;")"))</f>
        <v>Reversible defect</v>
      </c>
      <c r="O62" s="28" t="str">
        <f aca="false">IF(Data!O62="","",IFERROR(VLOOKUP(Data!O62,Codes!$A$53:$B$57,2,FALSE()),"Invalid ("&amp;Data!O62&amp;")"))</f>
        <v>Disease (2)</v>
      </c>
      <c r="P62" s="22" t="str">
        <f aca="false">IF(Data!P62="","",IFERROR(VLOOKUP(Data!P62,Codes!$A$61:$B$64,2,FALSE()),"Invalid ("&amp;Data!P62&amp;")"))</f>
        <v>Cleveland Clinic</v>
      </c>
    </row>
    <row r="63" customFormat="false" ht="15" hidden="false" customHeight="false" outlineLevel="0" collapsed="false">
      <c r="A63" s="19" t="n">
        <f aca="false">Data!A63</f>
        <v>62</v>
      </c>
      <c r="B63" s="20" t="n">
        <f aca="false">IF(Data!B63="","",Data!B63)</f>
        <v>46</v>
      </c>
      <c r="C63" s="28" t="str">
        <f aca="false">IF(Data!C63="","",IFERROR(VLOOKUP(Data!C63,Codes!$A$6:$B$7,2,FALSE()),"Invalid ("&amp;Data!C63&amp;")"))</f>
        <v>Female</v>
      </c>
      <c r="D63" s="28" t="str">
        <f aca="false">IF(Data!D63="","",IFERROR(VLOOKUP(Data!D63,Codes!$A$11:$B$14,2,FALSE()),"Invalid ("&amp;Data!D63&amp;")"))</f>
        <v>Non-anginal pain</v>
      </c>
      <c r="E63" s="20" t="n">
        <f aca="false">IF(Data!E63="","",Data!E63)</f>
        <v>142</v>
      </c>
      <c r="F63" s="20" t="n">
        <f aca="false">IF(Data!F63="","",Data!F63)</f>
        <v>177</v>
      </c>
      <c r="G63" s="28" t="str">
        <f aca="false">IF(Data!G63="","",IFERROR(VLOOKUP(Data!G63,Codes!$A$18:$B$19,2,FALSE()),"Invalid ("&amp;Data!G63&amp;")"))</f>
        <v>No</v>
      </c>
      <c r="H63" s="28" t="str">
        <f aca="false">IF(Data!H63="","",IFERROR(VLOOKUP(Data!H63,Codes!$A$23:$B$25,2,FALSE()),"Invalid ("&amp;Data!H63&amp;")"))</f>
        <v>Left ventricular hypertrophy</v>
      </c>
      <c r="I63" s="20" t="n">
        <f aca="false">IF(Data!I63="","",Data!I63)</f>
        <v>160</v>
      </c>
      <c r="J63" s="28" t="str">
        <f aca="false">IF(Data!J63="","",IFERROR(VLOOKUP(Data!J63,Codes!$A$29:$B$30,2,FALSE()),"Invalid ("&amp;Data!J63&amp;")"))</f>
        <v>Yes</v>
      </c>
      <c r="K63" s="21" t="n">
        <f aca="false">IF(Data!K63="","",Data!K63)</f>
        <v>1.4</v>
      </c>
      <c r="L63" s="28" t="str">
        <f aca="false">IF(Data!L63="","",IFERROR(VLOOKUP(Data!L63,Codes!$A$34:$B$36,2,FALSE()),"Invalid ("&amp;Data!L63&amp;")"))</f>
        <v>Downsloping</v>
      </c>
      <c r="M63" s="20" t="n">
        <f aca="false">IF(Data!M63="","",Data!M63)</f>
        <v>0</v>
      </c>
      <c r="N63" s="28" t="str">
        <f aca="false">IF(Data!N63="","",IFERROR(VLOOKUP(Data!N63,Codes!$A$47:$B$49,2,FALSE()),"Invalid ("&amp;Data!N63&amp;")"))</f>
        <v>Normal</v>
      </c>
      <c r="O63" s="28" t="str">
        <f aca="false">IF(Data!O63="","",IFERROR(VLOOKUP(Data!O63,Codes!$A$53:$B$57,2,FALSE()),"Invalid ("&amp;Data!O63&amp;")"))</f>
        <v>No disease</v>
      </c>
      <c r="P63" s="22" t="str">
        <f aca="false">IF(Data!P63="","",IFERROR(VLOOKUP(Data!P63,Codes!$A$61:$B$64,2,FALSE()),"Invalid ("&amp;Data!P63&amp;")"))</f>
        <v>Cleveland Clinic</v>
      </c>
    </row>
    <row r="64" customFormat="false" ht="15" hidden="false" customHeight="false" outlineLevel="0" collapsed="false">
      <c r="A64" s="19" t="n">
        <f aca="false">Data!A64</f>
        <v>63</v>
      </c>
      <c r="B64" s="20" t="n">
        <f aca="false">IF(Data!B64="","",Data!B64)</f>
        <v>58</v>
      </c>
      <c r="C64" s="28" t="str">
        <f aca="false">IF(Data!C64="","",IFERROR(VLOOKUP(Data!C64,Codes!$A$6:$B$7,2,FALSE()),"Invalid ("&amp;Data!C64&amp;")"))</f>
        <v>Male</v>
      </c>
      <c r="D64" s="28" t="str">
        <f aca="false">IF(Data!D64="","",IFERROR(VLOOKUP(Data!D64,Codes!$A$11:$B$14,2,FALSE()),"Invalid ("&amp;Data!D64&amp;")"))</f>
        <v>Asymptomatic</v>
      </c>
      <c r="E64" s="20" t="n">
        <f aca="false">IF(Data!E64="","",Data!E64)</f>
        <v>128</v>
      </c>
      <c r="F64" s="20" t="n">
        <f aca="false">IF(Data!F64="","",Data!F64)</f>
        <v>216</v>
      </c>
      <c r="G64" s="28" t="str">
        <f aca="false">IF(Data!G64="","",IFERROR(VLOOKUP(Data!G64,Codes!$A$18:$B$19,2,FALSE()),"Invalid ("&amp;Data!G64&amp;")"))</f>
        <v>No</v>
      </c>
      <c r="H64" s="28" t="str">
        <f aca="false">IF(Data!H64="","",IFERROR(VLOOKUP(Data!H64,Codes!$A$23:$B$25,2,FALSE()),"Invalid ("&amp;Data!H64&amp;")"))</f>
        <v>Left ventricular hypertrophy</v>
      </c>
      <c r="I64" s="20" t="n">
        <f aca="false">IF(Data!I64="","",Data!I64)</f>
        <v>131</v>
      </c>
      <c r="J64" s="28" t="str">
        <f aca="false">IF(Data!J64="","",IFERROR(VLOOKUP(Data!J64,Codes!$A$29:$B$30,2,FALSE()),"Invalid ("&amp;Data!J64&amp;")"))</f>
        <v>Yes</v>
      </c>
      <c r="K64" s="21" t="n">
        <f aca="false">IF(Data!K64="","",Data!K64)</f>
        <v>2.2</v>
      </c>
      <c r="L64" s="28" t="str">
        <f aca="false">IF(Data!L64="","",IFERROR(VLOOKUP(Data!L64,Codes!$A$34:$B$36,2,FALSE()),"Invalid ("&amp;Data!L64&amp;")"))</f>
        <v>Flat</v>
      </c>
      <c r="M64" s="20" t="n">
        <f aca="false">IF(Data!M64="","",Data!M64)</f>
        <v>3</v>
      </c>
      <c r="N64" s="28" t="str">
        <f aca="false">IF(Data!N64="","",IFERROR(VLOOKUP(Data!N64,Codes!$A$47:$B$49,2,FALSE()),"Invalid ("&amp;Data!N64&amp;")"))</f>
        <v>Reversible defect</v>
      </c>
      <c r="O64" s="28" t="str">
        <f aca="false">IF(Data!O64="","",IFERROR(VLOOKUP(Data!O64,Codes!$A$53:$B$57,2,FALSE()),"Invalid ("&amp;Data!O64&amp;")"))</f>
        <v>Disease (1)</v>
      </c>
      <c r="P64" s="22" t="str">
        <f aca="false">IF(Data!P64="","",IFERROR(VLOOKUP(Data!P64,Codes!$A$61:$B$64,2,FALSE()),"Invalid ("&amp;Data!P64&amp;")"))</f>
        <v>Cleveland Clinic</v>
      </c>
    </row>
    <row r="65" customFormat="false" ht="15" hidden="false" customHeight="false" outlineLevel="0" collapsed="false">
      <c r="A65" s="19" t="n">
        <f aca="false">Data!A65</f>
        <v>64</v>
      </c>
      <c r="B65" s="20" t="n">
        <f aca="false">IF(Data!B65="","",Data!B65)</f>
        <v>54</v>
      </c>
      <c r="C65" s="28" t="str">
        <f aca="false">IF(Data!C65="","",IFERROR(VLOOKUP(Data!C65,Codes!$A$6:$B$7,2,FALSE()),"Invalid ("&amp;Data!C65&amp;")"))</f>
        <v>Female</v>
      </c>
      <c r="D65" s="28" t="str">
        <f aca="false">IF(Data!D65="","",IFERROR(VLOOKUP(Data!D65,Codes!$A$11:$B$14,2,FALSE()),"Invalid ("&amp;Data!D65&amp;")"))</f>
        <v>Non-anginal pain</v>
      </c>
      <c r="E65" s="20" t="n">
        <f aca="false">IF(Data!E65="","",Data!E65)</f>
        <v>135</v>
      </c>
      <c r="F65" s="20" t="n">
        <f aca="false">IF(Data!F65="","",Data!F65)</f>
        <v>304</v>
      </c>
      <c r="G65" s="28" t="str">
        <f aca="false">IF(Data!G65="","",IFERROR(VLOOKUP(Data!G65,Codes!$A$18:$B$19,2,FALSE()),"Invalid ("&amp;Data!G65&amp;")"))</f>
        <v>Yes</v>
      </c>
      <c r="H65" s="28" t="str">
        <f aca="false">IF(Data!H65="","",IFERROR(VLOOKUP(Data!H65,Codes!$A$23:$B$25,2,FALSE()),"Invalid ("&amp;Data!H65&amp;")"))</f>
        <v>Normal</v>
      </c>
      <c r="I65" s="20" t="n">
        <f aca="false">IF(Data!I65="","",Data!I65)</f>
        <v>170</v>
      </c>
      <c r="J65" s="28" t="str">
        <f aca="false">IF(Data!J65="","",IFERROR(VLOOKUP(Data!J65,Codes!$A$29:$B$30,2,FALSE()),"Invalid ("&amp;Data!J65&amp;")"))</f>
        <v>No</v>
      </c>
      <c r="K65" s="21" t="n">
        <f aca="false">IF(Data!K65="","",Data!K65)</f>
        <v>0</v>
      </c>
      <c r="L65" s="28" t="str">
        <f aca="false">IF(Data!L65="","",IFERROR(VLOOKUP(Data!L65,Codes!$A$34:$B$36,2,FALSE()),"Invalid ("&amp;Data!L65&amp;")"))</f>
        <v>Upsloping</v>
      </c>
      <c r="M65" s="20" t="n">
        <f aca="false">IF(Data!M65="","",Data!M65)</f>
        <v>0</v>
      </c>
      <c r="N65" s="28" t="str">
        <f aca="false">IF(Data!N65="","",IFERROR(VLOOKUP(Data!N65,Codes!$A$47:$B$49,2,FALSE()),"Invalid ("&amp;Data!N65&amp;")"))</f>
        <v>Normal</v>
      </c>
      <c r="O65" s="28" t="str">
        <f aca="false">IF(Data!O65="","",IFERROR(VLOOKUP(Data!O65,Codes!$A$53:$B$57,2,FALSE()),"Invalid ("&amp;Data!O65&amp;")"))</f>
        <v>No disease</v>
      </c>
      <c r="P65" s="22" t="str">
        <f aca="false">IF(Data!P65="","",IFERROR(VLOOKUP(Data!P65,Codes!$A$61:$B$64,2,FALSE()),"Invalid ("&amp;Data!P65&amp;")"))</f>
        <v>Cleveland Clinic</v>
      </c>
    </row>
    <row r="66" customFormat="false" ht="15" hidden="false" customHeight="false" outlineLevel="0" collapsed="false">
      <c r="A66" s="19" t="n">
        <f aca="false">Data!A66</f>
        <v>65</v>
      </c>
      <c r="B66" s="20" t="n">
        <f aca="false">IF(Data!B66="","",Data!B66)</f>
        <v>54</v>
      </c>
      <c r="C66" s="28" t="str">
        <f aca="false">IF(Data!C66="","",IFERROR(VLOOKUP(Data!C66,Codes!$A$6:$B$7,2,FALSE()),"Invalid ("&amp;Data!C66&amp;")"))</f>
        <v>Male</v>
      </c>
      <c r="D66" s="28" t="str">
        <f aca="false">IF(Data!D66="","",IFERROR(VLOOKUP(Data!D66,Codes!$A$11:$B$14,2,FALSE()),"Invalid ("&amp;Data!D66&amp;")"))</f>
        <v>Asymptomatic</v>
      </c>
      <c r="E66" s="20" t="n">
        <f aca="false">IF(Data!E66="","",Data!E66)</f>
        <v>120</v>
      </c>
      <c r="F66" s="20" t="n">
        <f aca="false">IF(Data!F66="","",Data!F66)</f>
        <v>188</v>
      </c>
      <c r="G66" s="28" t="str">
        <f aca="false">IF(Data!G66="","",IFERROR(VLOOKUP(Data!G66,Codes!$A$18:$B$19,2,FALSE()),"Invalid ("&amp;Data!G66&amp;")"))</f>
        <v>No</v>
      </c>
      <c r="H66" s="28" t="str">
        <f aca="false">IF(Data!H66="","",IFERROR(VLOOKUP(Data!H66,Codes!$A$23:$B$25,2,FALSE()),"Invalid ("&amp;Data!H66&amp;")"))</f>
        <v>Normal</v>
      </c>
      <c r="I66" s="20" t="n">
        <f aca="false">IF(Data!I66="","",Data!I66)</f>
        <v>113</v>
      </c>
      <c r="J66" s="28" t="str">
        <f aca="false">IF(Data!J66="","",IFERROR(VLOOKUP(Data!J66,Codes!$A$29:$B$30,2,FALSE()),"Invalid ("&amp;Data!J66&amp;")"))</f>
        <v>No</v>
      </c>
      <c r="K66" s="21" t="n">
        <f aca="false">IF(Data!K66="","",Data!K66)</f>
        <v>1.4</v>
      </c>
      <c r="L66" s="28" t="str">
        <f aca="false">IF(Data!L66="","",IFERROR(VLOOKUP(Data!L66,Codes!$A$34:$B$36,2,FALSE()),"Invalid ("&amp;Data!L66&amp;")"))</f>
        <v>Flat</v>
      </c>
      <c r="M66" s="20" t="n">
        <f aca="false">IF(Data!M66="","",Data!M66)</f>
        <v>1</v>
      </c>
      <c r="N66" s="28" t="str">
        <f aca="false">IF(Data!N66="","",IFERROR(VLOOKUP(Data!N66,Codes!$A$47:$B$49,2,FALSE()),"Invalid ("&amp;Data!N66&amp;")"))</f>
        <v>Reversible defect</v>
      </c>
      <c r="O66" s="28" t="str">
        <f aca="false">IF(Data!O66="","",IFERROR(VLOOKUP(Data!O66,Codes!$A$53:$B$57,2,FALSE()),"Invalid ("&amp;Data!O66&amp;")"))</f>
        <v>Disease (2)</v>
      </c>
      <c r="P66" s="22" t="str">
        <f aca="false">IF(Data!P66="","",IFERROR(VLOOKUP(Data!P66,Codes!$A$61:$B$64,2,FALSE()),"Invalid ("&amp;Data!P66&amp;")"))</f>
        <v>Cleveland Clinic</v>
      </c>
    </row>
    <row r="67" customFormat="false" ht="15" hidden="false" customHeight="false" outlineLevel="0" collapsed="false">
      <c r="A67" s="19" t="n">
        <f aca="false">Data!A67</f>
        <v>66</v>
      </c>
      <c r="B67" s="20" t="n">
        <f aca="false">IF(Data!B67="","",Data!B67)</f>
        <v>60</v>
      </c>
      <c r="C67" s="28" t="str">
        <f aca="false">IF(Data!C67="","",IFERROR(VLOOKUP(Data!C67,Codes!$A$6:$B$7,2,FALSE()),"Invalid ("&amp;Data!C67&amp;")"))</f>
        <v>Male</v>
      </c>
      <c r="D67" s="28" t="str">
        <f aca="false">IF(Data!D67="","",IFERROR(VLOOKUP(Data!D67,Codes!$A$11:$B$14,2,FALSE()),"Invalid ("&amp;Data!D67&amp;")"))</f>
        <v>Asymptomatic</v>
      </c>
      <c r="E67" s="20" t="n">
        <f aca="false">IF(Data!E67="","",Data!E67)</f>
        <v>145</v>
      </c>
      <c r="F67" s="20" t="n">
        <f aca="false">IF(Data!F67="","",Data!F67)</f>
        <v>282</v>
      </c>
      <c r="G67" s="28" t="str">
        <f aca="false">IF(Data!G67="","",IFERROR(VLOOKUP(Data!G67,Codes!$A$18:$B$19,2,FALSE()),"Invalid ("&amp;Data!G67&amp;")"))</f>
        <v>No</v>
      </c>
      <c r="H67" s="28" t="str">
        <f aca="false">IF(Data!H67="","",IFERROR(VLOOKUP(Data!H67,Codes!$A$23:$B$25,2,FALSE()),"Invalid ("&amp;Data!H67&amp;")"))</f>
        <v>Left ventricular hypertrophy</v>
      </c>
      <c r="I67" s="20" t="n">
        <f aca="false">IF(Data!I67="","",Data!I67)</f>
        <v>142</v>
      </c>
      <c r="J67" s="28" t="str">
        <f aca="false">IF(Data!J67="","",IFERROR(VLOOKUP(Data!J67,Codes!$A$29:$B$30,2,FALSE()),"Invalid ("&amp;Data!J67&amp;")"))</f>
        <v>Yes</v>
      </c>
      <c r="K67" s="21" t="n">
        <f aca="false">IF(Data!K67="","",Data!K67)</f>
        <v>2.8</v>
      </c>
      <c r="L67" s="28" t="str">
        <f aca="false">IF(Data!L67="","",IFERROR(VLOOKUP(Data!L67,Codes!$A$34:$B$36,2,FALSE()),"Invalid ("&amp;Data!L67&amp;")"))</f>
        <v>Flat</v>
      </c>
      <c r="M67" s="20" t="n">
        <f aca="false">IF(Data!M67="","",Data!M67)</f>
        <v>2</v>
      </c>
      <c r="N67" s="28" t="str">
        <f aca="false">IF(Data!N67="","",IFERROR(VLOOKUP(Data!N67,Codes!$A$47:$B$49,2,FALSE()),"Invalid ("&amp;Data!N67&amp;")"))</f>
        <v>Reversible defect</v>
      </c>
      <c r="O67" s="28" t="str">
        <f aca="false">IF(Data!O67="","",IFERROR(VLOOKUP(Data!O67,Codes!$A$53:$B$57,2,FALSE()),"Invalid ("&amp;Data!O67&amp;")"))</f>
        <v>Disease (2)</v>
      </c>
      <c r="P67" s="22" t="str">
        <f aca="false">IF(Data!P67="","",IFERROR(VLOOKUP(Data!P67,Codes!$A$61:$B$64,2,FALSE()),"Invalid ("&amp;Data!P67&amp;")"))</f>
        <v>Cleveland Clinic</v>
      </c>
    </row>
    <row r="68" customFormat="false" ht="15" hidden="false" customHeight="false" outlineLevel="0" collapsed="false">
      <c r="A68" s="19" t="n">
        <f aca="false">Data!A68</f>
        <v>67</v>
      </c>
      <c r="B68" s="20" t="n">
        <f aca="false">IF(Data!B68="","",Data!B68)</f>
        <v>60</v>
      </c>
      <c r="C68" s="28" t="str">
        <f aca="false">IF(Data!C68="","",IFERROR(VLOOKUP(Data!C68,Codes!$A$6:$B$7,2,FALSE()),"Invalid ("&amp;Data!C68&amp;")"))</f>
        <v>Male</v>
      </c>
      <c r="D68" s="28" t="str">
        <f aca="false">IF(Data!D68="","",IFERROR(VLOOKUP(Data!D68,Codes!$A$11:$B$14,2,FALSE()),"Invalid ("&amp;Data!D68&amp;")"))</f>
        <v>Non-anginal pain</v>
      </c>
      <c r="E68" s="20" t="n">
        <f aca="false">IF(Data!E68="","",Data!E68)</f>
        <v>140</v>
      </c>
      <c r="F68" s="20" t="n">
        <f aca="false">IF(Data!F68="","",Data!F68)</f>
        <v>185</v>
      </c>
      <c r="G68" s="28" t="str">
        <f aca="false">IF(Data!G68="","",IFERROR(VLOOKUP(Data!G68,Codes!$A$18:$B$19,2,FALSE()),"Invalid ("&amp;Data!G68&amp;")"))</f>
        <v>No</v>
      </c>
      <c r="H68" s="28" t="str">
        <f aca="false">IF(Data!H68="","",IFERROR(VLOOKUP(Data!H68,Codes!$A$23:$B$25,2,FALSE()),"Invalid ("&amp;Data!H68&amp;")"))</f>
        <v>Left ventricular hypertrophy</v>
      </c>
      <c r="I68" s="20" t="n">
        <f aca="false">IF(Data!I68="","",Data!I68)</f>
        <v>155</v>
      </c>
      <c r="J68" s="28" t="str">
        <f aca="false">IF(Data!J68="","",IFERROR(VLOOKUP(Data!J68,Codes!$A$29:$B$30,2,FALSE()),"Invalid ("&amp;Data!J68&amp;")"))</f>
        <v>No</v>
      </c>
      <c r="K68" s="21" t="n">
        <f aca="false">IF(Data!K68="","",Data!K68)</f>
        <v>3</v>
      </c>
      <c r="L68" s="28" t="str">
        <f aca="false">IF(Data!L68="","",IFERROR(VLOOKUP(Data!L68,Codes!$A$34:$B$36,2,FALSE()),"Invalid ("&amp;Data!L68&amp;")"))</f>
        <v>Flat</v>
      </c>
      <c r="M68" s="20" t="n">
        <f aca="false">IF(Data!M68="","",Data!M68)</f>
        <v>0</v>
      </c>
      <c r="N68" s="28" t="str">
        <f aca="false">IF(Data!N68="","",IFERROR(VLOOKUP(Data!N68,Codes!$A$47:$B$49,2,FALSE()),"Invalid ("&amp;Data!N68&amp;")"))</f>
        <v>Normal</v>
      </c>
      <c r="O68" s="28" t="str">
        <f aca="false">IF(Data!O68="","",IFERROR(VLOOKUP(Data!O68,Codes!$A$53:$B$57,2,FALSE()),"Invalid ("&amp;Data!O68&amp;")"))</f>
        <v>Disease (1)</v>
      </c>
      <c r="P68" s="22" t="str">
        <f aca="false">IF(Data!P68="","",IFERROR(VLOOKUP(Data!P68,Codes!$A$61:$B$64,2,FALSE()),"Invalid ("&amp;Data!P68&amp;")"))</f>
        <v>Cleveland Clinic</v>
      </c>
    </row>
    <row r="69" customFormat="false" ht="15" hidden="false" customHeight="false" outlineLevel="0" collapsed="false">
      <c r="A69" s="19" t="n">
        <f aca="false">Data!A69</f>
        <v>68</v>
      </c>
      <c r="B69" s="20" t="n">
        <f aca="false">IF(Data!B69="","",Data!B69)</f>
        <v>54</v>
      </c>
      <c r="C69" s="28" t="str">
        <f aca="false">IF(Data!C69="","",IFERROR(VLOOKUP(Data!C69,Codes!$A$6:$B$7,2,FALSE()),"Invalid ("&amp;Data!C69&amp;")"))</f>
        <v>Male</v>
      </c>
      <c r="D69" s="28" t="str">
        <f aca="false">IF(Data!D69="","",IFERROR(VLOOKUP(Data!D69,Codes!$A$11:$B$14,2,FALSE()),"Invalid ("&amp;Data!D69&amp;")"))</f>
        <v>Non-anginal pain</v>
      </c>
      <c r="E69" s="20" t="n">
        <f aca="false">IF(Data!E69="","",Data!E69)</f>
        <v>150</v>
      </c>
      <c r="F69" s="20" t="n">
        <f aca="false">IF(Data!F69="","",Data!F69)</f>
        <v>232</v>
      </c>
      <c r="G69" s="28" t="str">
        <f aca="false">IF(Data!G69="","",IFERROR(VLOOKUP(Data!G69,Codes!$A$18:$B$19,2,FALSE()),"Invalid ("&amp;Data!G69&amp;")"))</f>
        <v>No</v>
      </c>
      <c r="H69" s="28" t="str">
        <f aca="false">IF(Data!H69="","",IFERROR(VLOOKUP(Data!H69,Codes!$A$23:$B$25,2,FALSE()),"Invalid ("&amp;Data!H69&amp;")"))</f>
        <v>Left ventricular hypertrophy</v>
      </c>
      <c r="I69" s="20" t="n">
        <f aca="false">IF(Data!I69="","",Data!I69)</f>
        <v>165</v>
      </c>
      <c r="J69" s="28" t="str">
        <f aca="false">IF(Data!J69="","",IFERROR(VLOOKUP(Data!J69,Codes!$A$29:$B$30,2,FALSE()),"Invalid ("&amp;Data!J69&amp;")"))</f>
        <v>No</v>
      </c>
      <c r="K69" s="21" t="n">
        <f aca="false">IF(Data!K69="","",Data!K69)</f>
        <v>1.6</v>
      </c>
      <c r="L69" s="28" t="str">
        <f aca="false">IF(Data!L69="","",IFERROR(VLOOKUP(Data!L69,Codes!$A$34:$B$36,2,FALSE()),"Invalid ("&amp;Data!L69&amp;")"))</f>
        <v>Upsloping</v>
      </c>
      <c r="M69" s="20" t="n">
        <f aca="false">IF(Data!M69="","",Data!M69)</f>
        <v>0</v>
      </c>
      <c r="N69" s="28" t="str">
        <f aca="false">IF(Data!N69="","",IFERROR(VLOOKUP(Data!N69,Codes!$A$47:$B$49,2,FALSE()),"Invalid ("&amp;Data!N69&amp;")"))</f>
        <v>Reversible defect</v>
      </c>
      <c r="O69" s="28" t="str">
        <f aca="false">IF(Data!O69="","",IFERROR(VLOOKUP(Data!O69,Codes!$A$53:$B$57,2,FALSE()),"Invalid ("&amp;Data!O69&amp;")"))</f>
        <v>No disease</v>
      </c>
      <c r="P69" s="22" t="str">
        <f aca="false">IF(Data!P69="","",IFERROR(VLOOKUP(Data!P69,Codes!$A$61:$B$64,2,FALSE()),"Invalid ("&amp;Data!P69&amp;")"))</f>
        <v>Cleveland Clinic</v>
      </c>
    </row>
    <row r="70" customFormat="false" ht="15" hidden="false" customHeight="false" outlineLevel="0" collapsed="false">
      <c r="A70" s="19" t="n">
        <f aca="false">Data!A70</f>
        <v>69</v>
      </c>
      <c r="B70" s="20" t="n">
        <f aca="false">IF(Data!B70="","",Data!B70)</f>
        <v>59</v>
      </c>
      <c r="C70" s="28" t="str">
        <f aca="false">IF(Data!C70="","",IFERROR(VLOOKUP(Data!C70,Codes!$A$6:$B$7,2,FALSE()),"Invalid ("&amp;Data!C70&amp;")"))</f>
        <v>Male</v>
      </c>
      <c r="D70" s="28" t="str">
        <f aca="false">IF(Data!D70="","",IFERROR(VLOOKUP(Data!D70,Codes!$A$11:$B$14,2,FALSE()),"Invalid ("&amp;Data!D70&amp;")"))</f>
        <v>Asymptomatic</v>
      </c>
      <c r="E70" s="20" t="n">
        <f aca="false">IF(Data!E70="","",Data!E70)</f>
        <v>170</v>
      </c>
      <c r="F70" s="20" t="n">
        <f aca="false">IF(Data!F70="","",Data!F70)</f>
        <v>326</v>
      </c>
      <c r="G70" s="28" t="str">
        <f aca="false">IF(Data!G70="","",IFERROR(VLOOKUP(Data!G70,Codes!$A$18:$B$19,2,FALSE()),"Invalid ("&amp;Data!G70&amp;")"))</f>
        <v>No</v>
      </c>
      <c r="H70" s="28" t="str">
        <f aca="false">IF(Data!H70="","",IFERROR(VLOOKUP(Data!H70,Codes!$A$23:$B$25,2,FALSE()),"Invalid ("&amp;Data!H70&amp;")"))</f>
        <v>Left ventricular hypertrophy</v>
      </c>
      <c r="I70" s="20" t="n">
        <f aca="false">IF(Data!I70="","",Data!I70)</f>
        <v>140</v>
      </c>
      <c r="J70" s="28" t="str">
        <f aca="false">IF(Data!J70="","",IFERROR(VLOOKUP(Data!J70,Codes!$A$29:$B$30,2,FALSE()),"Invalid ("&amp;Data!J70&amp;")"))</f>
        <v>Yes</v>
      </c>
      <c r="K70" s="21" t="n">
        <f aca="false">IF(Data!K70="","",Data!K70)</f>
        <v>3.4</v>
      </c>
      <c r="L70" s="28" t="str">
        <f aca="false">IF(Data!L70="","",IFERROR(VLOOKUP(Data!L70,Codes!$A$34:$B$36,2,FALSE()),"Invalid ("&amp;Data!L70&amp;")"))</f>
        <v>Downsloping</v>
      </c>
      <c r="M70" s="20" t="n">
        <f aca="false">IF(Data!M70="","",Data!M70)</f>
        <v>0</v>
      </c>
      <c r="N70" s="28" t="str">
        <f aca="false">IF(Data!N70="","",IFERROR(VLOOKUP(Data!N70,Codes!$A$47:$B$49,2,FALSE()),"Invalid ("&amp;Data!N70&amp;")"))</f>
        <v>Reversible defect</v>
      </c>
      <c r="O70" s="28" t="str">
        <f aca="false">IF(Data!O70="","",IFERROR(VLOOKUP(Data!O70,Codes!$A$53:$B$57,2,FALSE()),"Invalid ("&amp;Data!O70&amp;")"))</f>
        <v>Disease (2)</v>
      </c>
      <c r="P70" s="22" t="str">
        <f aca="false">IF(Data!P70="","",IFERROR(VLOOKUP(Data!P70,Codes!$A$61:$B$64,2,FALSE()),"Invalid ("&amp;Data!P70&amp;")"))</f>
        <v>Cleveland Clinic</v>
      </c>
    </row>
    <row r="71" customFormat="false" ht="15" hidden="false" customHeight="false" outlineLevel="0" collapsed="false">
      <c r="A71" s="19" t="n">
        <f aca="false">Data!A71</f>
        <v>70</v>
      </c>
      <c r="B71" s="20" t="n">
        <f aca="false">IF(Data!B71="","",Data!B71)</f>
        <v>46</v>
      </c>
      <c r="C71" s="28" t="str">
        <f aca="false">IF(Data!C71="","",IFERROR(VLOOKUP(Data!C71,Codes!$A$6:$B$7,2,FALSE()),"Invalid ("&amp;Data!C71&amp;")"))</f>
        <v>Male</v>
      </c>
      <c r="D71" s="28" t="str">
        <f aca="false">IF(Data!D71="","",IFERROR(VLOOKUP(Data!D71,Codes!$A$11:$B$14,2,FALSE()),"Invalid ("&amp;Data!D71&amp;")"))</f>
        <v>Non-anginal pain</v>
      </c>
      <c r="E71" s="20" t="n">
        <f aca="false">IF(Data!E71="","",Data!E71)</f>
        <v>150</v>
      </c>
      <c r="F71" s="20" t="n">
        <f aca="false">IF(Data!F71="","",Data!F71)</f>
        <v>231</v>
      </c>
      <c r="G71" s="28" t="str">
        <f aca="false">IF(Data!G71="","",IFERROR(VLOOKUP(Data!G71,Codes!$A$18:$B$19,2,FALSE()),"Invalid ("&amp;Data!G71&amp;")"))</f>
        <v>No</v>
      </c>
      <c r="H71" s="28" t="str">
        <f aca="false">IF(Data!H71="","",IFERROR(VLOOKUP(Data!H71,Codes!$A$23:$B$25,2,FALSE()),"Invalid ("&amp;Data!H71&amp;")"))</f>
        <v>Normal</v>
      </c>
      <c r="I71" s="20" t="n">
        <f aca="false">IF(Data!I71="","",Data!I71)</f>
        <v>147</v>
      </c>
      <c r="J71" s="28" t="str">
        <f aca="false">IF(Data!J71="","",IFERROR(VLOOKUP(Data!J71,Codes!$A$29:$B$30,2,FALSE()),"Invalid ("&amp;Data!J71&amp;")"))</f>
        <v>No</v>
      </c>
      <c r="K71" s="21" t="n">
        <f aca="false">IF(Data!K71="","",Data!K71)</f>
        <v>3.6</v>
      </c>
      <c r="L71" s="28" t="str">
        <f aca="false">IF(Data!L71="","",IFERROR(VLOOKUP(Data!L71,Codes!$A$34:$B$36,2,FALSE()),"Invalid ("&amp;Data!L71&amp;")"))</f>
        <v>Flat</v>
      </c>
      <c r="M71" s="20" t="n">
        <f aca="false">IF(Data!M71="","",Data!M71)</f>
        <v>0</v>
      </c>
      <c r="N71" s="28" t="str">
        <f aca="false">IF(Data!N71="","",IFERROR(VLOOKUP(Data!N71,Codes!$A$47:$B$49,2,FALSE()),"Invalid ("&amp;Data!N71&amp;")"))</f>
        <v>Normal</v>
      </c>
      <c r="O71" s="28" t="str">
        <f aca="false">IF(Data!O71="","",IFERROR(VLOOKUP(Data!O71,Codes!$A$53:$B$57,2,FALSE()),"Invalid ("&amp;Data!O71&amp;")"))</f>
        <v>Disease (1)</v>
      </c>
      <c r="P71" s="22" t="str">
        <f aca="false">IF(Data!P71="","",IFERROR(VLOOKUP(Data!P71,Codes!$A$61:$B$64,2,FALSE()),"Invalid ("&amp;Data!P71&amp;")"))</f>
        <v>Cleveland Clinic</v>
      </c>
    </row>
    <row r="72" customFormat="false" ht="15" hidden="false" customHeight="false" outlineLevel="0" collapsed="false">
      <c r="A72" s="19" t="n">
        <f aca="false">Data!A72</f>
        <v>71</v>
      </c>
      <c r="B72" s="20" t="n">
        <f aca="false">IF(Data!B72="","",Data!B72)</f>
        <v>65</v>
      </c>
      <c r="C72" s="28" t="str">
        <f aca="false">IF(Data!C72="","",IFERROR(VLOOKUP(Data!C72,Codes!$A$6:$B$7,2,FALSE()),"Invalid ("&amp;Data!C72&amp;")"))</f>
        <v>Female</v>
      </c>
      <c r="D72" s="28" t="str">
        <f aca="false">IF(Data!D72="","",IFERROR(VLOOKUP(Data!D72,Codes!$A$11:$B$14,2,FALSE()),"Invalid ("&amp;Data!D72&amp;")"))</f>
        <v>Non-anginal pain</v>
      </c>
      <c r="E72" s="20" t="n">
        <f aca="false">IF(Data!E72="","",Data!E72)</f>
        <v>155</v>
      </c>
      <c r="F72" s="20" t="n">
        <f aca="false">IF(Data!F72="","",Data!F72)</f>
        <v>269</v>
      </c>
      <c r="G72" s="28" t="str">
        <f aca="false">IF(Data!G72="","",IFERROR(VLOOKUP(Data!G72,Codes!$A$18:$B$19,2,FALSE()),"Invalid ("&amp;Data!G72&amp;")"))</f>
        <v>No</v>
      </c>
      <c r="H72" s="28" t="str">
        <f aca="false">IF(Data!H72="","",IFERROR(VLOOKUP(Data!H72,Codes!$A$23:$B$25,2,FALSE()),"Invalid ("&amp;Data!H72&amp;")"))</f>
        <v>Normal</v>
      </c>
      <c r="I72" s="20" t="n">
        <f aca="false">IF(Data!I72="","",Data!I72)</f>
        <v>148</v>
      </c>
      <c r="J72" s="28" t="str">
        <f aca="false">IF(Data!J72="","",IFERROR(VLOOKUP(Data!J72,Codes!$A$29:$B$30,2,FALSE()),"Invalid ("&amp;Data!J72&amp;")"))</f>
        <v>No</v>
      </c>
      <c r="K72" s="21" t="n">
        <f aca="false">IF(Data!K72="","",Data!K72)</f>
        <v>0.8</v>
      </c>
      <c r="L72" s="28" t="str">
        <f aca="false">IF(Data!L72="","",IFERROR(VLOOKUP(Data!L72,Codes!$A$34:$B$36,2,FALSE()),"Invalid ("&amp;Data!L72&amp;")"))</f>
        <v>Upsloping</v>
      </c>
      <c r="M72" s="20" t="n">
        <f aca="false">IF(Data!M72="","",Data!M72)</f>
        <v>0</v>
      </c>
      <c r="N72" s="28" t="str">
        <f aca="false">IF(Data!N72="","",IFERROR(VLOOKUP(Data!N72,Codes!$A$47:$B$49,2,FALSE()),"Invalid ("&amp;Data!N72&amp;")"))</f>
        <v>Normal</v>
      </c>
      <c r="O72" s="28" t="str">
        <f aca="false">IF(Data!O72="","",IFERROR(VLOOKUP(Data!O72,Codes!$A$53:$B$57,2,FALSE()),"Invalid ("&amp;Data!O72&amp;")"))</f>
        <v>No disease</v>
      </c>
      <c r="P72" s="22" t="str">
        <f aca="false">IF(Data!P72="","",IFERROR(VLOOKUP(Data!P72,Codes!$A$61:$B$64,2,FALSE()),"Invalid ("&amp;Data!P72&amp;")"))</f>
        <v>Cleveland Clinic</v>
      </c>
    </row>
    <row r="73" customFormat="false" ht="15" hidden="false" customHeight="false" outlineLevel="0" collapsed="false">
      <c r="A73" s="19" t="n">
        <f aca="false">Data!A73</f>
        <v>72</v>
      </c>
      <c r="B73" s="20" t="n">
        <f aca="false">IF(Data!B73="","",Data!B73)</f>
        <v>67</v>
      </c>
      <c r="C73" s="28" t="str">
        <f aca="false">IF(Data!C73="","",IFERROR(VLOOKUP(Data!C73,Codes!$A$6:$B$7,2,FALSE()),"Invalid ("&amp;Data!C73&amp;")"))</f>
        <v>Male</v>
      </c>
      <c r="D73" s="28" t="str">
        <f aca="false">IF(Data!D73="","",IFERROR(VLOOKUP(Data!D73,Codes!$A$11:$B$14,2,FALSE()),"Invalid ("&amp;Data!D73&amp;")"))</f>
        <v>Asymptomatic</v>
      </c>
      <c r="E73" s="20" t="n">
        <f aca="false">IF(Data!E73="","",Data!E73)</f>
        <v>125</v>
      </c>
      <c r="F73" s="20" t="n">
        <f aca="false">IF(Data!F73="","",Data!F73)</f>
        <v>254</v>
      </c>
      <c r="G73" s="28" t="str">
        <f aca="false">IF(Data!G73="","",IFERROR(VLOOKUP(Data!G73,Codes!$A$18:$B$19,2,FALSE()),"Invalid ("&amp;Data!G73&amp;")"))</f>
        <v>Yes</v>
      </c>
      <c r="H73" s="28" t="str">
        <f aca="false">IF(Data!H73="","",IFERROR(VLOOKUP(Data!H73,Codes!$A$23:$B$25,2,FALSE()),"Invalid ("&amp;Data!H73&amp;")"))</f>
        <v>Normal</v>
      </c>
      <c r="I73" s="20" t="n">
        <f aca="false">IF(Data!I73="","",Data!I73)</f>
        <v>163</v>
      </c>
      <c r="J73" s="28" t="str">
        <f aca="false">IF(Data!J73="","",IFERROR(VLOOKUP(Data!J73,Codes!$A$29:$B$30,2,FALSE()),"Invalid ("&amp;Data!J73&amp;")"))</f>
        <v>No</v>
      </c>
      <c r="K73" s="21" t="n">
        <f aca="false">IF(Data!K73="","",Data!K73)</f>
        <v>0.2</v>
      </c>
      <c r="L73" s="28" t="str">
        <f aca="false">IF(Data!L73="","",IFERROR(VLOOKUP(Data!L73,Codes!$A$34:$B$36,2,FALSE()),"Invalid ("&amp;Data!L73&amp;")"))</f>
        <v>Flat</v>
      </c>
      <c r="M73" s="20" t="n">
        <f aca="false">IF(Data!M73="","",Data!M73)</f>
        <v>2</v>
      </c>
      <c r="N73" s="28" t="str">
        <f aca="false">IF(Data!N73="","",IFERROR(VLOOKUP(Data!N73,Codes!$A$47:$B$49,2,FALSE()),"Invalid ("&amp;Data!N73&amp;")"))</f>
        <v>Reversible defect</v>
      </c>
      <c r="O73" s="28" t="str">
        <f aca="false">IF(Data!O73="","",IFERROR(VLOOKUP(Data!O73,Codes!$A$53:$B$57,2,FALSE()),"Invalid ("&amp;Data!O73&amp;")"))</f>
        <v>Disease (3)</v>
      </c>
      <c r="P73" s="22" t="str">
        <f aca="false">IF(Data!P73="","",IFERROR(VLOOKUP(Data!P73,Codes!$A$61:$B$64,2,FALSE()),"Invalid ("&amp;Data!P73&amp;")"))</f>
        <v>Cleveland Clinic</v>
      </c>
    </row>
    <row r="74" customFormat="false" ht="15" hidden="false" customHeight="false" outlineLevel="0" collapsed="false">
      <c r="A74" s="19" t="n">
        <f aca="false">Data!A74</f>
        <v>73</v>
      </c>
      <c r="B74" s="20" t="n">
        <f aca="false">IF(Data!B74="","",Data!B74)</f>
        <v>62</v>
      </c>
      <c r="C74" s="28" t="str">
        <f aca="false">IF(Data!C74="","",IFERROR(VLOOKUP(Data!C74,Codes!$A$6:$B$7,2,FALSE()),"Invalid ("&amp;Data!C74&amp;")"))</f>
        <v>Male</v>
      </c>
      <c r="D74" s="28" t="str">
        <f aca="false">IF(Data!D74="","",IFERROR(VLOOKUP(Data!D74,Codes!$A$11:$B$14,2,FALSE()),"Invalid ("&amp;Data!D74&amp;")"))</f>
        <v>Asymptomatic</v>
      </c>
      <c r="E74" s="20" t="n">
        <f aca="false">IF(Data!E74="","",Data!E74)</f>
        <v>120</v>
      </c>
      <c r="F74" s="20" t="n">
        <f aca="false">IF(Data!F74="","",Data!F74)</f>
        <v>267</v>
      </c>
      <c r="G74" s="28" t="str">
        <f aca="false">IF(Data!G74="","",IFERROR(VLOOKUP(Data!G74,Codes!$A$18:$B$19,2,FALSE()),"Invalid ("&amp;Data!G74&amp;")"))</f>
        <v>No</v>
      </c>
      <c r="H74" s="28" t="str">
        <f aca="false">IF(Data!H74="","",IFERROR(VLOOKUP(Data!H74,Codes!$A$23:$B$25,2,FALSE()),"Invalid ("&amp;Data!H74&amp;")"))</f>
        <v>Normal</v>
      </c>
      <c r="I74" s="20" t="n">
        <f aca="false">IF(Data!I74="","",Data!I74)</f>
        <v>99</v>
      </c>
      <c r="J74" s="28" t="str">
        <f aca="false">IF(Data!J74="","",IFERROR(VLOOKUP(Data!J74,Codes!$A$29:$B$30,2,FALSE()),"Invalid ("&amp;Data!J74&amp;")"))</f>
        <v>Yes</v>
      </c>
      <c r="K74" s="21" t="n">
        <f aca="false">IF(Data!K74="","",Data!K74)</f>
        <v>1.8</v>
      </c>
      <c r="L74" s="28" t="str">
        <f aca="false">IF(Data!L74="","",IFERROR(VLOOKUP(Data!L74,Codes!$A$34:$B$36,2,FALSE()),"Invalid ("&amp;Data!L74&amp;")"))</f>
        <v>Flat</v>
      </c>
      <c r="M74" s="20" t="n">
        <f aca="false">IF(Data!M74="","",Data!M74)</f>
        <v>2</v>
      </c>
      <c r="N74" s="28" t="str">
        <f aca="false">IF(Data!N74="","",IFERROR(VLOOKUP(Data!N74,Codes!$A$47:$B$49,2,FALSE()),"Invalid ("&amp;Data!N74&amp;")"))</f>
        <v>Reversible defect</v>
      </c>
      <c r="O74" s="28" t="str">
        <f aca="false">IF(Data!O74="","",IFERROR(VLOOKUP(Data!O74,Codes!$A$53:$B$57,2,FALSE()),"Invalid ("&amp;Data!O74&amp;")"))</f>
        <v>Disease (1)</v>
      </c>
      <c r="P74" s="22" t="str">
        <f aca="false">IF(Data!P74="","",IFERROR(VLOOKUP(Data!P74,Codes!$A$61:$B$64,2,FALSE()),"Invalid ("&amp;Data!P74&amp;")"))</f>
        <v>Cleveland Clinic</v>
      </c>
    </row>
    <row r="75" customFormat="false" ht="15" hidden="false" customHeight="false" outlineLevel="0" collapsed="false">
      <c r="A75" s="19" t="n">
        <f aca="false">Data!A75</f>
        <v>74</v>
      </c>
      <c r="B75" s="20" t="n">
        <f aca="false">IF(Data!B75="","",Data!B75)</f>
        <v>65</v>
      </c>
      <c r="C75" s="28" t="str">
        <f aca="false">IF(Data!C75="","",IFERROR(VLOOKUP(Data!C75,Codes!$A$6:$B$7,2,FALSE()),"Invalid ("&amp;Data!C75&amp;")"))</f>
        <v>Male</v>
      </c>
      <c r="D75" s="28" t="str">
        <f aca="false">IF(Data!D75="","",IFERROR(VLOOKUP(Data!D75,Codes!$A$11:$B$14,2,FALSE()),"Invalid ("&amp;Data!D75&amp;")"))</f>
        <v>Asymptomatic</v>
      </c>
      <c r="E75" s="20" t="n">
        <f aca="false">IF(Data!E75="","",Data!E75)</f>
        <v>110</v>
      </c>
      <c r="F75" s="20" t="n">
        <f aca="false">IF(Data!F75="","",Data!F75)</f>
        <v>248</v>
      </c>
      <c r="G75" s="28" t="str">
        <f aca="false">IF(Data!G75="","",IFERROR(VLOOKUP(Data!G75,Codes!$A$18:$B$19,2,FALSE()),"Invalid ("&amp;Data!G75&amp;")"))</f>
        <v>No</v>
      </c>
      <c r="H75" s="28" t="str">
        <f aca="false">IF(Data!H75="","",IFERROR(VLOOKUP(Data!H75,Codes!$A$23:$B$25,2,FALSE()),"Invalid ("&amp;Data!H75&amp;")"))</f>
        <v>Left ventricular hypertrophy</v>
      </c>
      <c r="I75" s="20" t="n">
        <f aca="false">IF(Data!I75="","",Data!I75)</f>
        <v>158</v>
      </c>
      <c r="J75" s="28" t="str">
        <f aca="false">IF(Data!J75="","",IFERROR(VLOOKUP(Data!J75,Codes!$A$29:$B$30,2,FALSE()),"Invalid ("&amp;Data!J75&amp;")"))</f>
        <v>No</v>
      </c>
      <c r="K75" s="21" t="n">
        <f aca="false">IF(Data!K75="","",Data!K75)</f>
        <v>0.6</v>
      </c>
      <c r="L75" s="28" t="str">
        <f aca="false">IF(Data!L75="","",IFERROR(VLOOKUP(Data!L75,Codes!$A$34:$B$36,2,FALSE()),"Invalid ("&amp;Data!L75&amp;")"))</f>
        <v>Upsloping</v>
      </c>
      <c r="M75" s="20" t="n">
        <f aca="false">IF(Data!M75="","",Data!M75)</f>
        <v>2</v>
      </c>
      <c r="N75" s="28" t="str">
        <f aca="false">IF(Data!N75="","",IFERROR(VLOOKUP(Data!N75,Codes!$A$47:$B$49,2,FALSE()),"Invalid ("&amp;Data!N75&amp;")"))</f>
        <v>Fixed defect</v>
      </c>
      <c r="O75" s="28" t="str">
        <f aca="false">IF(Data!O75="","",IFERROR(VLOOKUP(Data!O75,Codes!$A$53:$B$57,2,FALSE()),"Invalid ("&amp;Data!O75&amp;")"))</f>
        <v>Disease (1)</v>
      </c>
      <c r="P75" s="22" t="str">
        <f aca="false">IF(Data!P75="","",IFERROR(VLOOKUP(Data!P75,Codes!$A$61:$B$64,2,FALSE()),"Invalid ("&amp;Data!P75&amp;")"))</f>
        <v>Cleveland Clinic</v>
      </c>
    </row>
    <row r="76" customFormat="false" ht="15" hidden="false" customHeight="false" outlineLevel="0" collapsed="false">
      <c r="A76" s="19" t="n">
        <f aca="false">Data!A76</f>
        <v>75</v>
      </c>
      <c r="B76" s="20" t="n">
        <f aca="false">IF(Data!B76="","",Data!B76)</f>
        <v>44</v>
      </c>
      <c r="C76" s="28" t="str">
        <f aca="false">IF(Data!C76="","",IFERROR(VLOOKUP(Data!C76,Codes!$A$6:$B$7,2,FALSE()),"Invalid ("&amp;Data!C76&amp;")"))</f>
        <v>Male</v>
      </c>
      <c r="D76" s="28" t="str">
        <f aca="false">IF(Data!D76="","",IFERROR(VLOOKUP(Data!D76,Codes!$A$11:$B$14,2,FALSE()),"Invalid ("&amp;Data!D76&amp;")"))</f>
        <v>Asymptomatic</v>
      </c>
      <c r="E76" s="20" t="n">
        <f aca="false">IF(Data!E76="","",Data!E76)</f>
        <v>110</v>
      </c>
      <c r="F76" s="20" t="n">
        <f aca="false">IF(Data!F76="","",Data!F76)</f>
        <v>197</v>
      </c>
      <c r="G76" s="28" t="str">
        <f aca="false">IF(Data!G76="","",IFERROR(VLOOKUP(Data!G76,Codes!$A$18:$B$19,2,FALSE()),"Invalid ("&amp;Data!G76&amp;")"))</f>
        <v>No</v>
      </c>
      <c r="H76" s="28" t="str">
        <f aca="false">IF(Data!H76="","",IFERROR(VLOOKUP(Data!H76,Codes!$A$23:$B$25,2,FALSE()),"Invalid ("&amp;Data!H76&amp;")"))</f>
        <v>Left ventricular hypertrophy</v>
      </c>
      <c r="I76" s="20" t="n">
        <f aca="false">IF(Data!I76="","",Data!I76)</f>
        <v>177</v>
      </c>
      <c r="J76" s="28" t="str">
        <f aca="false">IF(Data!J76="","",IFERROR(VLOOKUP(Data!J76,Codes!$A$29:$B$30,2,FALSE()),"Invalid ("&amp;Data!J76&amp;")"))</f>
        <v>No</v>
      </c>
      <c r="K76" s="21" t="n">
        <f aca="false">IF(Data!K76="","",Data!K76)</f>
        <v>0</v>
      </c>
      <c r="L76" s="28" t="str">
        <f aca="false">IF(Data!L76="","",IFERROR(VLOOKUP(Data!L76,Codes!$A$34:$B$36,2,FALSE()),"Invalid ("&amp;Data!L76&amp;")"))</f>
        <v>Upsloping</v>
      </c>
      <c r="M76" s="20" t="n">
        <f aca="false">IF(Data!M76="","",Data!M76)</f>
        <v>1</v>
      </c>
      <c r="N76" s="28" t="str">
        <f aca="false">IF(Data!N76="","",IFERROR(VLOOKUP(Data!N76,Codes!$A$47:$B$49,2,FALSE()),"Invalid ("&amp;Data!N76&amp;")"))</f>
        <v>Normal</v>
      </c>
      <c r="O76" s="28" t="str">
        <f aca="false">IF(Data!O76="","",IFERROR(VLOOKUP(Data!O76,Codes!$A$53:$B$57,2,FALSE()),"Invalid ("&amp;Data!O76&amp;")"))</f>
        <v>Disease (1)</v>
      </c>
      <c r="P76" s="22" t="str">
        <f aca="false">IF(Data!P76="","",IFERROR(VLOOKUP(Data!P76,Codes!$A$61:$B$64,2,FALSE()),"Invalid ("&amp;Data!P76&amp;")"))</f>
        <v>Cleveland Clinic</v>
      </c>
    </row>
    <row r="77" customFormat="false" ht="15" hidden="false" customHeight="false" outlineLevel="0" collapsed="false">
      <c r="A77" s="19" t="n">
        <f aca="false">Data!A77</f>
        <v>76</v>
      </c>
      <c r="B77" s="20" t="n">
        <f aca="false">IF(Data!B77="","",Data!B77)</f>
        <v>65</v>
      </c>
      <c r="C77" s="28" t="str">
        <f aca="false">IF(Data!C77="","",IFERROR(VLOOKUP(Data!C77,Codes!$A$6:$B$7,2,FALSE()),"Invalid ("&amp;Data!C77&amp;")"))</f>
        <v>Female</v>
      </c>
      <c r="D77" s="28" t="str">
        <f aca="false">IF(Data!D77="","",IFERROR(VLOOKUP(Data!D77,Codes!$A$11:$B$14,2,FALSE()),"Invalid ("&amp;Data!D77&amp;")"))</f>
        <v>Non-anginal pain</v>
      </c>
      <c r="E77" s="20" t="n">
        <f aca="false">IF(Data!E77="","",Data!E77)</f>
        <v>160</v>
      </c>
      <c r="F77" s="20" t="n">
        <f aca="false">IF(Data!F77="","",Data!F77)</f>
        <v>360</v>
      </c>
      <c r="G77" s="28" t="str">
        <f aca="false">IF(Data!G77="","",IFERROR(VLOOKUP(Data!G77,Codes!$A$18:$B$19,2,FALSE()),"Invalid ("&amp;Data!G77&amp;")"))</f>
        <v>No</v>
      </c>
      <c r="H77" s="28" t="str">
        <f aca="false">IF(Data!H77="","",IFERROR(VLOOKUP(Data!H77,Codes!$A$23:$B$25,2,FALSE()),"Invalid ("&amp;Data!H77&amp;")"))</f>
        <v>Left ventricular hypertrophy</v>
      </c>
      <c r="I77" s="20" t="n">
        <f aca="false">IF(Data!I77="","",Data!I77)</f>
        <v>151</v>
      </c>
      <c r="J77" s="28" t="str">
        <f aca="false">IF(Data!J77="","",IFERROR(VLOOKUP(Data!J77,Codes!$A$29:$B$30,2,FALSE()),"Invalid ("&amp;Data!J77&amp;")"))</f>
        <v>No</v>
      </c>
      <c r="K77" s="21" t="n">
        <f aca="false">IF(Data!K77="","",Data!K77)</f>
        <v>0.8</v>
      </c>
      <c r="L77" s="28" t="str">
        <f aca="false">IF(Data!L77="","",IFERROR(VLOOKUP(Data!L77,Codes!$A$34:$B$36,2,FALSE()),"Invalid ("&amp;Data!L77&amp;")"))</f>
        <v>Upsloping</v>
      </c>
      <c r="M77" s="20" t="n">
        <f aca="false">IF(Data!M77="","",Data!M77)</f>
        <v>0</v>
      </c>
      <c r="N77" s="28" t="str">
        <f aca="false">IF(Data!N77="","",IFERROR(VLOOKUP(Data!N77,Codes!$A$47:$B$49,2,FALSE()),"Invalid ("&amp;Data!N77&amp;")"))</f>
        <v>Normal</v>
      </c>
      <c r="O77" s="28" t="str">
        <f aca="false">IF(Data!O77="","",IFERROR(VLOOKUP(Data!O77,Codes!$A$53:$B$57,2,FALSE()),"Invalid ("&amp;Data!O77&amp;")"))</f>
        <v>No disease</v>
      </c>
      <c r="P77" s="22" t="str">
        <f aca="false">IF(Data!P77="","",IFERROR(VLOOKUP(Data!P77,Codes!$A$61:$B$64,2,FALSE()),"Invalid ("&amp;Data!P77&amp;")"))</f>
        <v>Cleveland Clinic</v>
      </c>
    </row>
    <row r="78" customFormat="false" ht="15" hidden="false" customHeight="false" outlineLevel="0" collapsed="false">
      <c r="A78" s="19" t="n">
        <f aca="false">Data!A78</f>
        <v>77</v>
      </c>
      <c r="B78" s="20" t="n">
        <f aca="false">IF(Data!B78="","",Data!B78)</f>
        <v>60</v>
      </c>
      <c r="C78" s="28" t="str">
        <f aca="false">IF(Data!C78="","",IFERROR(VLOOKUP(Data!C78,Codes!$A$6:$B$7,2,FALSE()),"Invalid ("&amp;Data!C78&amp;")"))</f>
        <v>Male</v>
      </c>
      <c r="D78" s="28" t="str">
        <f aca="false">IF(Data!D78="","",IFERROR(VLOOKUP(Data!D78,Codes!$A$11:$B$14,2,FALSE()),"Invalid ("&amp;Data!D78&amp;")"))</f>
        <v>Asymptomatic</v>
      </c>
      <c r="E78" s="20" t="n">
        <f aca="false">IF(Data!E78="","",Data!E78)</f>
        <v>125</v>
      </c>
      <c r="F78" s="20" t="n">
        <f aca="false">IF(Data!F78="","",Data!F78)</f>
        <v>258</v>
      </c>
      <c r="G78" s="28" t="str">
        <f aca="false">IF(Data!G78="","",IFERROR(VLOOKUP(Data!G78,Codes!$A$18:$B$19,2,FALSE()),"Invalid ("&amp;Data!G78&amp;")"))</f>
        <v>No</v>
      </c>
      <c r="H78" s="28" t="str">
        <f aca="false">IF(Data!H78="","",IFERROR(VLOOKUP(Data!H78,Codes!$A$23:$B$25,2,FALSE()),"Invalid ("&amp;Data!H78&amp;")"))</f>
        <v>Left ventricular hypertrophy</v>
      </c>
      <c r="I78" s="20" t="n">
        <f aca="false">IF(Data!I78="","",Data!I78)</f>
        <v>141</v>
      </c>
      <c r="J78" s="28" t="str">
        <f aca="false">IF(Data!J78="","",IFERROR(VLOOKUP(Data!J78,Codes!$A$29:$B$30,2,FALSE()),"Invalid ("&amp;Data!J78&amp;")"))</f>
        <v>Yes</v>
      </c>
      <c r="K78" s="21" t="n">
        <f aca="false">IF(Data!K78="","",Data!K78)</f>
        <v>2.8</v>
      </c>
      <c r="L78" s="28" t="str">
        <f aca="false">IF(Data!L78="","",IFERROR(VLOOKUP(Data!L78,Codes!$A$34:$B$36,2,FALSE()),"Invalid ("&amp;Data!L78&amp;")"))</f>
        <v>Flat</v>
      </c>
      <c r="M78" s="20" t="n">
        <f aca="false">IF(Data!M78="","",Data!M78)</f>
        <v>1</v>
      </c>
      <c r="N78" s="28" t="str">
        <f aca="false">IF(Data!N78="","",IFERROR(VLOOKUP(Data!N78,Codes!$A$47:$B$49,2,FALSE()),"Invalid ("&amp;Data!N78&amp;")"))</f>
        <v>Reversible defect</v>
      </c>
      <c r="O78" s="28" t="str">
        <f aca="false">IF(Data!O78="","",IFERROR(VLOOKUP(Data!O78,Codes!$A$53:$B$57,2,FALSE()),"Invalid ("&amp;Data!O78&amp;")"))</f>
        <v>Disease (1)</v>
      </c>
      <c r="P78" s="22" t="str">
        <f aca="false">IF(Data!P78="","",IFERROR(VLOOKUP(Data!P78,Codes!$A$61:$B$64,2,FALSE()),"Invalid ("&amp;Data!P78&amp;")"))</f>
        <v>Cleveland Clinic</v>
      </c>
    </row>
    <row r="79" customFormat="false" ht="15" hidden="false" customHeight="false" outlineLevel="0" collapsed="false">
      <c r="A79" s="19" t="n">
        <f aca="false">Data!A79</f>
        <v>78</v>
      </c>
      <c r="B79" s="20" t="n">
        <f aca="false">IF(Data!B79="","",Data!B79)</f>
        <v>51</v>
      </c>
      <c r="C79" s="28" t="str">
        <f aca="false">IF(Data!C79="","",IFERROR(VLOOKUP(Data!C79,Codes!$A$6:$B$7,2,FALSE()),"Invalid ("&amp;Data!C79&amp;")"))</f>
        <v>Female</v>
      </c>
      <c r="D79" s="28" t="str">
        <f aca="false">IF(Data!D79="","",IFERROR(VLOOKUP(Data!D79,Codes!$A$11:$B$14,2,FALSE()),"Invalid ("&amp;Data!D79&amp;")"))</f>
        <v>Non-anginal pain</v>
      </c>
      <c r="E79" s="20" t="n">
        <f aca="false">IF(Data!E79="","",Data!E79)</f>
        <v>140</v>
      </c>
      <c r="F79" s="20" t="n">
        <f aca="false">IF(Data!F79="","",Data!F79)</f>
        <v>308</v>
      </c>
      <c r="G79" s="28" t="str">
        <f aca="false">IF(Data!G79="","",IFERROR(VLOOKUP(Data!G79,Codes!$A$18:$B$19,2,FALSE()),"Invalid ("&amp;Data!G79&amp;")"))</f>
        <v>No</v>
      </c>
      <c r="H79" s="28" t="str">
        <f aca="false">IF(Data!H79="","",IFERROR(VLOOKUP(Data!H79,Codes!$A$23:$B$25,2,FALSE()),"Invalid ("&amp;Data!H79&amp;")"))</f>
        <v>Left ventricular hypertrophy</v>
      </c>
      <c r="I79" s="20" t="n">
        <f aca="false">IF(Data!I79="","",Data!I79)</f>
        <v>142</v>
      </c>
      <c r="J79" s="28" t="str">
        <f aca="false">IF(Data!J79="","",IFERROR(VLOOKUP(Data!J79,Codes!$A$29:$B$30,2,FALSE()),"Invalid ("&amp;Data!J79&amp;")"))</f>
        <v>No</v>
      </c>
      <c r="K79" s="21" t="n">
        <f aca="false">IF(Data!K79="","",Data!K79)</f>
        <v>1.5</v>
      </c>
      <c r="L79" s="28" t="str">
        <f aca="false">IF(Data!L79="","",IFERROR(VLOOKUP(Data!L79,Codes!$A$34:$B$36,2,FALSE()),"Invalid ("&amp;Data!L79&amp;")"))</f>
        <v>Upsloping</v>
      </c>
      <c r="M79" s="20" t="n">
        <f aca="false">IF(Data!M79="","",Data!M79)</f>
        <v>1</v>
      </c>
      <c r="N79" s="28" t="str">
        <f aca="false">IF(Data!N79="","",IFERROR(VLOOKUP(Data!N79,Codes!$A$47:$B$49,2,FALSE()),"Invalid ("&amp;Data!N79&amp;")"))</f>
        <v>Normal</v>
      </c>
      <c r="O79" s="28" t="str">
        <f aca="false">IF(Data!O79="","",IFERROR(VLOOKUP(Data!O79,Codes!$A$53:$B$57,2,FALSE()),"Invalid ("&amp;Data!O79&amp;")"))</f>
        <v>No disease</v>
      </c>
      <c r="P79" s="22" t="str">
        <f aca="false">IF(Data!P79="","",IFERROR(VLOOKUP(Data!P79,Codes!$A$61:$B$64,2,FALSE()),"Invalid ("&amp;Data!P79&amp;")"))</f>
        <v>Cleveland Clinic</v>
      </c>
    </row>
    <row r="80" customFormat="false" ht="15" hidden="false" customHeight="false" outlineLevel="0" collapsed="false">
      <c r="A80" s="19" t="n">
        <f aca="false">Data!A80</f>
        <v>79</v>
      </c>
      <c r="B80" s="20" t="n">
        <f aca="false">IF(Data!B80="","",Data!B80)</f>
        <v>48</v>
      </c>
      <c r="C80" s="28" t="str">
        <f aca="false">IF(Data!C80="","",IFERROR(VLOOKUP(Data!C80,Codes!$A$6:$B$7,2,FALSE()),"Invalid ("&amp;Data!C80&amp;")"))</f>
        <v>Male</v>
      </c>
      <c r="D80" s="28" t="str">
        <f aca="false">IF(Data!D80="","",IFERROR(VLOOKUP(Data!D80,Codes!$A$11:$B$14,2,FALSE()),"Invalid ("&amp;Data!D80&amp;")"))</f>
        <v>Atypical angina</v>
      </c>
      <c r="E80" s="20" t="n">
        <f aca="false">IF(Data!E80="","",Data!E80)</f>
        <v>130</v>
      </c>
      <c r="F80" s="20" t="n">
        <f aca="false">IF(Data!F80="","",Data!F80)</f>
        <v>245</v>
      </c>
      <c r="G80" s="28" t="str">
        <f aca="false">IF(Data!G80="","",IFERROR(VLOOKUP(Data!G80,Codes!$A$18:$B$19,2,FALSE()),"Invalid ("&amp;Data!G80&amp;")"))</f>
        <v>No</v>
      </c>
      <c r="H80" s="28" t="str">
        <f aca="false">IF(Data!H80="","",IFERROR(VLOOKUP(Data!H80,Codes!$A$23:$B$25,2,FALSE()),"Invalid ("&amp;Data!H80&amp;")"))</f>
        <v>Left ventricular hypertrophy</v>
      </c>
      <c r="I80" s="20" t="n">
        <f aca="false">IF(Data!I80="","",Data!I80)</f>
        <v>180</v>
      </c>
      <c r="J80" s="28" t="str">
        <f aca="false">IF(Data!J80="","",IFERROR(VLOOKUP(Data!J80,Codes!$A$29:$B$30,2,FALSE()),"Invalid ("&amp;Data!J80&amp;")"))</f>
        <v>No</v>
      </c>
      <c r="K80" s="21" t="n">
        <f aca="false">IF(Data!K80="","",Data!K80)</f>
        <v>0.2</v>
      </c>
      <c r="L80" s="28" t="str">
        <f aca="false">IF(Data!L80="","",IFERROR(VLOOKUP(Data!L80,Codes!$A$34:$B$36,2,FALSE()),"Invalid ("&amp;Data!L80&amp;")"))</f>
        <v>Flat</v>
      </c>
      <c r="M80" s="20" t="n">
        <f aca="false">IF(Data!M80="","",Data!M80)</f>
        <v>0</v>
      </c>
      <c r="N80" s="28" t="str">
        <f aca="false">IF(Data!N80="","",IFERROR(VLOOKUP(Data!N80,Codes!$A$47:$B$49,2,FALSE()),"Invalid ("&amp;Data!N80&amp;")"))</f>
        <v>Normal</v>
      </c>
      <c r="O80" s="28" t="str">
        <f aca="false">IF(Data!O80="","",IFERROR(VLOOKUP(Data!O80,Codes!$A$53:$B$57,2,FALSE()),"Invalid ("&amp;Data!O80&amp;")"))</f>
        <v>No disease</v>
      </c>
      <c r="P80" s="22" t="str">
        <f aca="false">IF(Data!P80="","",IFERROR(VLOOKUP(Data!P80,Codes!$A$61:$B$64,2,FALSE()),"Invalid ("&amp;Data!P80&amp;")"))</f>
        <v>Cleveland Clinic</v>
      </c>
    </row>
    <row r="81" customFormat="false" ht="15" hidden="false" customHeight="false" outlineLevel="0" collapsed="false">
      <c r="A81" s="19" t="n">
        <f aca="false">Data!A81</f>
        <v>80</v>
      </c>
      <c r="B81" s="20" t="n">
        <f aca="false">IF(Data!B81="","",Data!B81)</f>
        <v>58</v>
      </c>
      <c r="C81" s="28" t="str">
        <f aca="false">IF(Data!C81="","",IFERROR(VLOOKUP(Data!C81,Codes!$A$6:$B$7,2,FALSE()),"Invalid ("&amp;Data!C81&amp;")"))</f>
        <v>Male</v>
      </c>
      <c r="D81" s="28" t="str">
        <f aca="false">IF(Data!D81="","",IFERROR(VLOOKUP(Data!D81,Codes!$A$11:$B$14,2,FALSE()),"Invalid ("&amp;Data!D81&amp;")"))</f>
        <v>Asymptomatic</v>
      </c>
      <c r="E81" s="20" t="n">
        <f aca="false">IF(Data!E81="","",Data!E81)</f>
        <v>150</v>
      </c>
      <c r="F81" s="20" t="n">
        <f aca="false">IF(Data!F81="","",Data!F81)</f>
        <v>270</v>
      </c>
      <c r="G81" s="28" t="str">
        <f aca="false">IF(Data!G81="","",IFERROR(VLOOKUP(Data!G81,Codes!$A$18:$B$19,2,FALSE()),"Invalid ("&amp;Data!G81&amp;")"))</f>
        <v>No</v>
      </c>
      <c r="H81" s="28" t="str">
        <f aca="false">IF(Data!H81="","",IFERROR(VLOOKUP(Data!H81,Codes!$A$23:$B$25,2,FALSE()),"Invalid ("&amp;Data!H81&amp;")"))</f>
        <v>Left ventricular hypertrophy</v>
      </c>
      <c r="I81" s="20" t="n">
        <f aca="false">IF(Data!I81="","",Data!I81)</f>
        <v>111</v>
      </c>
      <c r="J81" s="28" t="str">
        <f aca="false">IF(Data!J81="","",IFERROR(VLOOKUP(Data!J81,Codes!$A$29:$B$30,2,FALSE()),"Invalid ("&amp;Data!J81&amp;")"))</f>
        <v>Yes</v>
      </c>
      <c r="K81" s="21" t="n">
        <f aca="false">IF(Data!K81="","",Data!K81)</f>
        <v>0.8</v>
      </c>
      <c r="L81" s="28" t="str">
        <f aca="false">IF(Data!L81="","",IFERROR(VLOOKUP(Data!L81,Codes!$A$34:$B$36,2,FALSE()),"Invalid ("&amp;Data!L81&amp;")"))</f>
        <v>Upsloping</v>
      </c>
      <c r="M81" s="20" t="n">
        <f aca="false">IF(Data!M81="","",Data!M81)</f>
        <v>0</v>
      </c>
      <c r="N81" s="28" t="str">
        <f aca="false">IF(Data!N81="","",IFERROR(VLOOKUP(Data!N81,Codes!$A$47:$B$49,2,FALSE()),"Invalid ("&amp;Data!N81&amp;")"))</f>
        <v>Reversible defect</v>
      </c>
      <c r="O81" s="28" t="str">
        <f aca="false">IF(Data!O81="","",IFERROR(VLOOKUP(Data!O81,Codes!$A$53:$B$57,2,FALSE()),"Invalid ("&amp;Data!O81&amp;")"))</f>
        <v>Disease (3)</v>
      </c>
      <c r="P81" s="22" t="str">
        <f aca="false">IF(Data!P81="","",IFERROR(VLOOKUP(Data!P81,Codes!$A$61:$B$64,2,FALSE()),"Invalid ("&amp;Data!P81&amp;")"))</f>
        <v>Cleveland Clinic</v>
      </c>
    </row>
    <row r="82" customFormat="false" ht="15" hidden="false" customHeight="false" outlineLevel="0" collapsed="false">
      <c r="A82" s="19" t="n">
        <f aca="false">Data!A82</f>
        <v>81</v>
      </c>
      <c r="B82" s="20" t="n">
        <f aca="false">IF(Data!B82="","",Data!B82)</f>
        <v>45</v>
      </c>
      <c r="C82" s="28" t="str">
        <f aca="false">IF(Data!C82="","",IFERROR(VLOOKUP(Data!C82,Codes!$A$6:$B$7,2,FALSE()),"Invalid ("&amp;Data!C82&amp;")"))</f>
        <v>Male</v>
      </c>
      <c r="D82" s="28" t="str">
        <f aca="false">IF(Data!D82="","",IFERROR(VLOOKUP(Data!D82,Codes!$A$11:$B$14,2,FALSE()),"Invalid ("&amp;Data!D82&amp;")"))</f>
        <v>Asymptomatic</v>
      </c>
      <c r="E82" s="20" t="n">
        <f aca="false">IF(Data!E82="","",Data!E82)</f>
        <v>104</v>
      </c>
      <c r="F82" s="20" t="n">
        <f aca="false">IF(Data!F82="","",Data!F82)</f>
        <v>208</v>
      </c>
      <c r="G82" s="28" t="str">
        <f aca="false">IF(Data!G82="","",IFERROR(VLOOKUP(Data!G82,Codes!$A$18:$B$19,2,FALSE()),"Invalid ("&amp;Data!G82&amp;")"))</f>
        <v>No</v>
      </c>
      <c r="H82" s="28" t="str">
        <f aca="false">IF(Data!H82="","",IFERROR(VLOOKUP(Data!H82,Codes!$A$23:$B$25,2,FALSE()),"Invalid ("&amp;Data!H82&amp;")"))</f>
        <v>Left ventricular hypertrophy</v>
      </c>
      <c r="I82" s="20" t="n">
        <f aca="false">IF(Data!I82="","",Data!I82)</f>
        <v>148</v>
      </c>
      <c r="J82" s="28" t="str">
        <f aca="false">IF(Data!J82="","",IFERROR(VLOOKUP(Data!J82,Codes!$A$29:$B$30,2,FALSE()),"Invalid ("&amp;Data!J82&amp;")"))</f>
        <v>Yes</v>
      </c>
      <c r="K82" s="21" t="n">
        <f aca="false">IF(Data!K82="","",Data!K82)</f>
        <v>3</v>
      </c>
      <c r="L82" s="28" t="str">
        <f aca="false">IF(Data!L82="","",IFERROR(VLOOKUP(Data!L82,Codes!$A$34:$B$36,2,FALSE()),"Invalid ("&amp;Data!L82&amp;")"))</f>
        <v>Flat</v>
      </c>
      <c r="M82" s="20" t="n">
        <f aca="false">IF(Data!M82="","",Data!M82)</f>
        <v>0</v>
      </c>
      <c r="N82" s="28" t="str">
        <f aca="false">IF(Data!N82="","",IFERROR(VLOOKUP(Data!N82,Codes!$A$47:$B$49,2,FALSE()),"Invalid ("&amp;Data!N82&amp;")"))</f>
        <v>Normal</v>
      </c>
      <c r="O82" s="28" t="str">
        <f aca="false">IF(Data!O82="","",IFERROR(VLOOKUP(Data!O82,Codes!$A$53:$B$57,2,FALSE()),"Invalid ("&amp;Data!O82&amp;")"))</f>
        <v>No disease</v>
      </c>
      <c r="P82" s="22" t="str">
        <f aca="false">IF(Data!P82="","",IFERROR(VLOOKUP(Data!P82,Codes!$A$61:$B$64,2,FALSE()),"Invalid ("&amp;Data!P82&amp;")"))</f>
        <v>Cleveland Clinic</v>
      </c>
    </row>
    <row r="83" customFormat="false" ht="15" hidden="false" customHeight="false" outlineLevel="0" collapsed="false">
      <c r="A83" s="19" t="n">
        <f aca="false">Data!A83</f>
        <v>82</v>
      </c>
      <c r="B83" s="20" t="n">
        <f aca="false">IF(Data!B83="","",Data!B83)</f>
        <v>53</v>
      </c>
      <c r="C83" s="28" t="str">
        <f aca="false">IF(Data!C83="","",IFERROR(VLOOKUP(Data!C83,Codes!$A$6:$B$7,2,FALSE()),"Invalid ("&amp;Data!C83&amp;")"))</f>
        <v>Female</v>
      </c>
      <c r="D83" s="28" t="str">
        <f aca="false">IF(Data!D83="","",IFERROR(VLOOKUP(Data!D83,Codes!$A$11:$B$14,2,FALSE()),"Invalid ("&amp;Data!D83&amp;")"))</f>
        <v>Asymptomatic</v>
      </c>
      <c r="E83" s="20" t="n">
        <f aca="false">IF(Data!E83="","",Data!E83)</f>
        <v>130</v>
      </c>
      <c r="F83" s="20" t="n">
        <f aca="false">IF(Data!F83="","",Data!F83)</f>
        <v>264</v>
      </c>
      <c r="G83" s="28" t="str">
        <f aca="false">IF(Data!G83="","",IFERROR(VLOOKUP(Data!G83,Codes!$A$18:$B$19,2,FALSE()),"Invalid ("&amp;Data!G83&amp;")"))</f>
        <v>No</v>
      </c>
      <c r="H83" s="28" t="str">
        <f aca="false">IF(Data!H83="","",IFERROR(VLOOKUP(Data!H83,Codes!$A$23:$B$25,2,FALSE()),"Invalid ("&amp;Data!H83&amp;")"))</f>
        <v>Left ventricular hypertrophy</v>
      </c>
      <c r="I83" s="20" t="n">
        <f aca="false">IF(Data!I83="","",Data!I83)</f>
        <v>143</v>
      </c>
      <c r="J83" s="28" t="str">
        <f aca="false">IF(Data!J83="","",IFERROR(VLOOKUP(Data!J83,Codes!$A$29:$B$30,2,FALSE()),"Invalid ("&amp;Data!J83&amp;")"))</f>
        <v>No</v>
      </c>
      <c r="K83" s="21" t="n">
        <f aca="false">IF(Data!K83="","",Data!K83)</f>
        <v>0.4</v>
      </c>
      <c r="L83" s="28" t="str">
        <f aca="false">IF(Data!L83="","",IFERROR(VLOOKUP(Data!L83,Codes!$A$34:$B$36,2,FALSE()),"Invalid ("&amp;Data!L83&amp;")"))</f>
        <v>Flat</v>
      </c>
      <c r="M83" s="20" t="n">
        <f aca="false">IF(Data!M83="","",Data!M83)</f>
        <v>0</v>
      </c>
      <c r="N83" s="28" t="str">
        <f aca="false">IF(Data!N83="","",IFERROR(VLOOKUP(Data!N83,Codes!$A$47:$B$49,2,FALSE()),"Invalid ("&amp;Data!N83&amp;")"))</f>
        <v>Normal</v>
      </c>
      <c r="O83" s="28" t="str">
        <f aca="false">IF(Data!O83="","",IFERROR(VLOOKUP(Data!O83,Codes!$A$53:$B$57,2,FALSE()),"Invalid ("&amp;Data!O83&amp;")"))</f>
        <v>No disease</v>
      </c>
      <c r="P83" s="22" t="str">
        <f aca="false">IF(Data!P83="","",IFERROR(VLOOKUP(Data!P83,Codes!$A$61:$B$64,2,FALSE()),"Invalid ("&amp;Data!P83&amp;")"))</f>
        <v>Cleveland Clinic</v>
      </c>
    </row>
    <row r="84" customFormat="false" ht="15" hidden="false" customHeight="false" outlineLevel="0" collapsed="false">
      <c r="A84" s="19" t="n">
        <f aca="false">Data!A84</f>
        <v>83</v>
      </c>
      <c r="B84" s="20" t="n">
        <f aca="false">IF(Data!B84="","",Data!B84)</f>
        <v>39</v>
      </c>
      <c r="C84" s="28" t="str">
        <f aca="false">IF(Data!C84="","",IFERROR(VLOOKUP(Data!C84,Codes!$A$6:$B$7,2,FALSE()),"Invalid ("&amp;Data!C84&amp;")"))</f>
        <v>Male</v>
      </c>
      <c r="D84" s="28" t="str">
        <f aca="false">IF(Data!D84="","",IFERROR(VLOOKUP(Data!D84,Codes!$A$11:$B$14,2,FALSE()),"Invalid ("&amp;Data!D84&amp;")"))</f>
        <v>Non-anginal pain</v>
      </c>
      <c r="E84" s="20" t="n">
        <f aca="false">IF(Data!E84="","",Data!E84)</f>
        <v>140</v>
      </c>
      <c r="F84" s="20" t="n">
        <f aca="false">IF(Data!F84="","",Data!F84)</f>
        <v>321</v>
      </c>
      <c r="G84" s="28" t="str">
        <f aca="false">IF(Data!G84="","",IFERROR(VLOOKUP(Data!G84,Codes!$A$18:$B$19,2,FALSE()),"Invalid ("&amp;Data!G84&amp;")"))</f>
        <v>No</v>
      </c>
      <c r="H84" s="28" t="str">
        <f aca="false">IF(Data!H84="","",IFERROR(VLOOKUP(Data!H84,Codes!$A$23:$B$25,2,FALSE()),"Invalid ("&amp;Data!H84&amp;")"))</f>
        <v>Left ventricular hypertrophy</v>
      </c>
      <c r="I84" s="20" t="n">
        <f aca="false">IF(Data!I84="","",Data!I84)</f>
        <v>182</v>
      </c>
      <c r="J84" s="28" t="str">
        <f aca="false">IF(Data!J84="","",IFERROR(VLOOKUP(Data!J84,Codes!$A$29:$B$30,2,FALSE()),"Invalid ("&amp;Data!J84&amp;")"))</f>
        <v>No</v>
      </c>
      <c r="K84" s="21" t="n">
        <f aca="false">IF(Data!K84="","",Data!K84)</f>
        <v>0</v>
      </c>
      <c r="L84" s="28" t="str">
        <f aca="false">IF(Data!L84="","",IFERROR(VLOOKUP(Data!L84,Codes!$A$34:$B$36,2,FALSE()),"Invalid ("&amp;Data!L84&amp;")"))</f>
        <v>Upsloping</v>
      </c>
      <c r="M84" s="20" t="n">
        <f aca="false">IF(Data!M84="","",Data!M84)</f>
        <v>0</v>
      </c>
      <c r="N84" s="28" t="str">
        <f aca="false">IF(Data!N84="","",IFERROR(VLOOKUP(Data!N84,Codes!$A$47:$B$49,2,FALSE()),"Invalid ("&amp;Data!N84&amp;")"))</f>
        <v>Normal</v>
      </c>
      <c r="O84" s="28" t="str">
        <f aca="false">IF(Data!O84="","",IFERROR(VLOOKUP(Data!O84,Codes!$A$53:$B$57,2,FALSE()),"Invalid ("&amp;Data!O84&amp;")"))</f>
        <v>No disease</v>
      </c>
      <c r="P84" s="22" t="str">
        <f aca="false">IF(Data!P84="","",IFERROR(VLOOKUP(Data!P84,Codes!$A$61:$B$64,2,FALSE()),"Invalid ("&amp;Data!P84&amp;")"))</f>
        <v>Cleveland Clinic</v>
      </c>
    </row>
    <row r="85" customFormat="false" ht="15" hidden="false" customHeight="false" outlineLevel="0" collapsed="false">
      <c r="A85" s="19" t="n">
        <f aca="false">Data!A85</f>
        <v>84</v>
      </c>
      <c r="B85" s="20" t="n">
        <f aca="false">IF(Data!B85="","",Data!B85)</f>
        <v>68</v>
      </c>
      <c r="C85" s="28" t="str">
        <f aca="false">IF(Data!C85="","",IFERROR(VLOOKUP(Data!C85,Codes!$A$6:$B$7,2,FALSE()),"Invalid ("&amp;Data!C85&amp;")"))</f>
        <v>Male</v>
      </c>
      <c r="D85" s="28" t="str">
        <f aca="false">IF(Data!D85="","",IFERROR(VLOOKUP(Data!D85,Codes!$A$11:$B$14,2,FALSE()),"Invalid ("&amp;Data!D85&amp;")"))</f>
        <v>Non-anginal pain</v>
      </c>
      <c r="E85" s="20" t="n">
        <f aca="false">IF(Data!E85="","",Data!E85)</f>
        <v>180</v>
      </c>
      <c r="F85" s="20" t="n">
        <f aca="false">IF(Data!F85="","",Data!F85)</f>
        <v>274</v>
      </c>
      <c r="G85" s="28" t="str">
        <f aca="false">IF(Data!G85="","",IFERROR(VLOOKUP(Data!G85,Codes!$A$18:$B$19,2,FALSE()),"Invalid ("&amp;Data!G85&amp;")"))</f>
        <v>Yes</v>
      </c>
      <c r="H85" s="28" t="str">
        <f aca="false">IF(Data!H85="","",IFERROR(VLOOKUP(Data!H85,Codes!$A$23:$B$25,2,FALSE()),"Invalid ("&amp;Data!H85&amp;")"))</f>
        <v>Left ventricular hypertrophy</v>
      </c>
      <c r="I85" s="20" t="n">
        <f aca="false">IF(Data!I85="","",Data!I85)</f>
        <v>150</v>
      </c>
      <c r="J85" s="28" t="str">
        <f aca="false">IF(Data!J85="","",IFERROR(VLOOKUP(Data!J85,Codes!$A$29:$B$30,2,FALSE()),"Invalid ("&amp;Data!J85&amp;")"))</f>
        <v>Yes</v>
      </c>
      <c r="K85" s="21" t="n">
        <f aca="false">IF(Data!K85="","",Data!K85)</f>
        <v>1.6</v>
      </c>
      <c r="L85" s="28" t="str">
        <f aca="false">IF(Data!L85="","",IFERROR(VLOOKUP(Data!L85,Codes!$A$34:$B$36,2,FALSE()),"Invalid ("&amp;Data!L85&amp;")"))</f>
        <v>Flat</v>
      </c>
      <c r="M85" s="20" t="n">
        <f aca="false">IF(Data!M85="","",Data!M85)</f>
        <v>0</v>
      </c>
      <c r="N85" s="28" t="str">
        <f aca="false">IF(Data!N85="","",IFERROR(VLOOKUP(Data!N85,Codes!$A$47:$B$49,2,FALSE()),"Invalid ("&amp;Data!N85&amp;")"))</f>
        <v>Reversible defect</v>
      </c>
      <c r="O85" s="28" t="str">
        <f aca="false">IF(Data!O85="","",IFERROR(VLOOKUP(Data!O85,Codes!$A$53:$B$57,2,FALSE()),"Invalid ("&amp;Data!O85&amp;")"))</f>
        <v>Disease (3)</v>
      </c>
      <c r="P85" s="22" t="str">
        <f aca="false">IF(Data!P85="","",IFERROR(VLOOKUP(Data!P85,Codes!$A$61:$B$64,2,FALSE()),"Invalid ("&amp;Data!P85&amp;")"))</f>
        <v>Cleveland Clinic</v>
      </c>
    </row>
    <row r="86" customFormat="false" ht="15" hidden="false" customHeight="false" outlineLevel="0" collapsed="false">
      <c r="A86" s="19" t="n">
        <f aca="false">Data!A86</f>
        <v>85</v>
      </c>
      <c r="B86" s="20" t="n">
        <f aca="false">IF(Data!B86="","",Data!B86)</f>
        <v>52</v>
      </c>
      <c r="C86" s="28" t="str">
        <f aca="false">IF(Data!C86="","",IFERROR(VLOOKUP(Data!C86,Codes!$A$6:$B$7,2,FALSE()),"Invalid ("&amp;Data!C86&amp;")"))</f>
        <v>Male</v>
      </c>
      <c r="D86" s="28" t="str">
        <f aca="false">IF(Data!D86="","",IFERROR(VLOOKUP(Data!D86,Codes!$A$11:$B$14,2,FALSE()),"Invalid ("&amp;Data!D86&amp;")"))</f>
        <v>Atypical angina</v>
      </c>
      <c r="E86" s="20" t="n">
        <f aca="false">IF(Data!E86="","",Data!E86)</f>
        <v>120</v>
      </c>
      <c r="F86" s="20" t="n">
        <f aca="false">IF(Data!F86="","",Data!F86)</f>
        <v>325</v>
      </c>
      <c r="G86" s="28" t="str">
        <f aca="false">IF(Data!G86="","",IFERROR(VLOOKUP(Data!G86,Codes!$A$18:$B$19,2,FALSE()),"Invalid ("&amp;Data!G86&amp;")"))</f>
        <v>No</v>
      </c>
      <c r="H86" s="28" t="str">
        <f aca="false">IF(Data!H86="","",IFERROR(VLOOKUP(Data!H86,Codes!$A$23:$B$25,2,FALSE()),"Invalid ("&amp;Data!H86&amp;")"))</f>
        <v>Normal</v>
      </c>
      <c r="I86" s="20" t="n">
        <f aca="false">IF(Data!I86="","",Data!I86)</f>
        <v>172</v>
      </c>
      <c r="J86" s="28" t="str">
        <f aca="false">IF(Data!J86="","",IFERROR(VLOOKUP(Data!J86,Codes!$A$29:$B$30,2,FALSE()),"Invalid ("&amp;Data!J86&amp;")"))</f>
        <v>No</v>
      </c>
      <c r="K86" s="21" t="n">
        <f aca="false">IF(Data!K86="","",Data!K86)</f>
        <v>0.2</v>
      </c>
      <c r="L86" s="28" t="str">
        <f aca="false">IF(Data!L86="","",IFERROR(VLOOKUP(Data!L86,Codes!$A$34:$B$36,2,FALSE()),"Invalid ("&amp;Data!L86&amp;")"))</f>
        <v>Upsloping</v>
      </c>
      <c r="M86" s="20" t="n">
        <f aca="false">IF(Data!M86="","",Data!M86)</f>
        <v>0</v>
      </c>
      <c r="N86" s="28" t="str">
        <f aca="false">IF(Data!N86="","",IFERROR(VLOOKUP(Data!N86,Codes!$A$47:$B$49,2,FALSE()),"Invalid ("&amp;Data!N86&amp;")"))</f>
        <v>Normal</v>
      </c>
      <c r="O86" s="28" t="str">
        <f aca="false">IF(Data!O86="","",IFERROR(VLOOKUP(Data!O86,Codes!$A$53:$B$57,2,FALSE()),"Invalid ("&amp;Data!O86&amp;")"))</f>
        <v>No disease</v>
      </c>
      <c r="P86" s="22" t="str">
        <f aca="false">IF(Data!P86="","",IFERROR(VLOOKUP(Data!P86,Codes!$A$61:$B$64,2,FALSE()),"Invalid ("&amp;Data!P86&amp;")"))</f>
        <v>Cleveland Clinic</v>
      </c>
    </row>
    <row r="87" customFormat="false" ht="15" hidden="false" customHeight="false" outlineLevel="0" collapsed="false">
      <c r="A87" s="19" t="n">
        <f aca="false">Data!A87</f>
        <v>86</v>
      </c>
      <c r="B87" s="20" t="n">
        <f aca="false">IF(Data!B87="","",Data!B87)</f>
        <v>44</v>
      </c>
      <c r="C87" s="28" t="str">
        <f aca="false">IF(Data!C87="","",IFERROR(VLOOKUP(Data!C87,Codes!$A$6:$B$7,2,FALSE()),"Invalid ("&amp;Data!C87&amp;")"))</f>
        <v>Male</v>
      </c>
      <c r="D87" s="28" t="str">
        <f aca="false">IF(Data!D87="","",IFERROR(VLOOKUP(Data!D87,Codes!$A$11:$B$14,2,FALSE()),"Invalid ("&amp;Data!D87&amp;")"))</f>
        <v>Non-anginal pain</v>
      </c>
      <c r="E87" s="20" t="n">
        <f aca="false">IF(Data!E87="","",Data!E87)</f>
        <v>140</v>
      </c>
      <c r="F87" s="20" t="n">
        <f aca="false">IF(Data!F87="","",Data!F87)</f>
        <v>235</v>
      </c>
      <c r="G87" s="28" t="str">
        <f aca="false">IF(Data!G87="","",IFERROR(VLOOKUP(Data!G87,Codes!$A$18:$B$19,2,FALSE()),"Invalid ("&amp;Data!G87&amp;")"))</f>
        <v>No</v>
      </c>
      <c r="H87" s="28" t="str">
        <f aca="false">IF(Data!H87="","",IFERROR(VLOOKUP(Data!H87,Codes!$A$23:$B$25,2,FALSE()),"Invalid ("&amp;Data!H87&amp;")"))</f>
        <v>Left ventricular hypertrophy</v>
      </c>
      <c r="I87" s="20" t="n">
        <f aca="false">IF(Data!I87="","",Data!I87)</f>
        <v>180</v>
      </c>
      <c r="J87" s="28" t="str">
        <f aca="false">IF(Data!J87="","",IFERROR(VLOOKUP(Data!J87,Codes!$A$29:$B$30,2,FALSE()),"Invalid ("&amp;Data!J87&amp;")"))</f>
        <v>No</v>
      </c>
      <c r="K87" s="21" t="n">
        <f aca="false">IF(Data!K87="","",Data!K87)</f>
        <v>0</v>
      </c>
      <c r="L87" s="28" t="str">
        <f aca="false">IF(Data!L87="","",IFERROR(VLOOKUP(Data!L87,Codes!$A$34:$B$36,2,FALSE()),"Invalid ("&amp;Data!L87&amp;")"))</f>
        <v>Upsloping</v>
      </c>
      <c r="M87" s="20" t="n">
        <f aca="false">IF(Data!M87="","",Data!M87)</f>
        <v>0</v>
      </c>
      <c r="N87" s="28" t="str">
        <f aca="false">IF(Data!N87="","",IFERROR(VLOOKUP(Data!N87,Codes!$A$47:$B$49,2,FALSE()),"Invalid ("&amp;Data!N87&amp;")"))</f>
        <v>Normal</v>
      </c>
      <c r="O87" s="28" t="str">
        <f aca="false">IF(Data!O87="","",IFERROR(VLOOKUP(Data!O87,Codes!$A$53:$B$57,2,FALSE()),"Invalid ("&amp;Data!O87&amp;")"))</f>
        <v>No disease</v>
      </c>
      <c r="P87" s="22" t="str">
        <f aca="false">IF(Data!P87="","",IFERROR(VLOOKUP(Data!P87,Codes!$A$61:$B$64,2,FALSE()),"Invalid ("&amp;Data!P87&amp;")"))</f>
        <v>Cleveland Clinic</v>
      </c>
    </row>
    <row r="88" customFormat="false" ht="15" hidden="false" customHeight="false" outlineLevel="0" collapsed="false">
      <c r="A88" s="19" t="n">
        <f aca="false">Data!A88</f>
        <v>87</v>
      </c>
      <c r="B88" s="20" t="n">
        <f aca="false">IF(Data!B88="","",Data!B88)</f>
        <v>47</v>
      </c>
      <c r="C88" s="28" t="str">
        <f aca="false">IF(Data!C88="","",IFERROR(VLOOKUP(Data!C88,Codes!$A$6:$B$7,2,FALSE()),"Invalid ("&amp;Data!C88&amp;")"))</f>
        <v>Male</v>
      </c>
      <c r="D88" s="28" t="str">
        <f aca="false">IF(Data!D88="","",IFERROR(VLOOKUP(Data!D88,Codes!$A$11:$B$14,2,FALSE()),"Invalid ("&amp;Data!D88&amp;")"))</f>
        <v>Non-anginal pain</v>
      </c>
      <c r="E88" s="20" t="n">
        <f aca="false">IF(Data!E88="","",Data!E88)</f>
        <v>138</v>
      </c>
      <c r="F88" s="20" t="n">
        <f aca="false">IF(Data!F88="","",Data!F88)</f>
        <v>257</v>
      </c>
      <c r="G88" s="28" t="str">
        <f aca="false">IF(Data!G88="","",IFERROR(VLOOKUP(Data!G88,Codes!$A$18:$B$19,2,FALSE()),"Invalid ("&amp;Data!G88&amp;")"))</f>
        <v>No</v>
      </c>
      <c r="H88" s="28" t="str">
        <f aca="false">IF(Data!H88="","",IFERROR(VLOOKUP(Data!H88,Codes!$A$23:$B$25,2,FALSE()),"Invalid ("&amp;Data!H88&amp;")"))</f>
        <v>Left ventricular hypertrophy</v>
      </c>
      <c r="I88" s="20" t="n">
        <f aca="false">IF(Data!I88="","",Data!I88)</f>
        <v>156</v>
      </c>
      <c r="J88" s="28" t="str">
        <f aca="false">IF(Data!J88="","",IFERROR(VLOOKUP(Data!J88,Codes!$A$29:$B$30,2,FALSE()),"Invalid ("&amp;Data!J88&amp;")"))</f>
        <v>No</v>
      </c>
      <c r="K88" s="21" t="n">
        <f aca="false">IF(Data!K88="","",Data!K88)</f>
        <v>0</v>
      </c>
      <c r="L88" s="28" t="str">
        <f aca="false">IF(Data!L88="","",IFERROR(VLOOKUP(Data!L88,Codes!$A$34:$B$36,2,FALSE()),"Invalid ("&amp;Data!L88&amp;")"))</f>
        <v>Upsloping</v>
      </c>
      <c r="M88" s="20" t="n">
        <f aca="false">IF(Data!M88="","",Data!M88)</f>
        <v>0</v>
      </c>
      <c r="N88" s="28" t="str">
        <f aca="false">IF(Data!N88="","",IFERROR(VLOOKUP(Data!N88,Codes!$A$47:$B$49,2,FALSE()),"Invalid ("&amp;Data!N88&amp;")"))</f>
        <v>Normal</v>
      </c>
      <c r="O88" s="28" t="str">
        <f aca="false">IF(Data!O88="","",IFERROR(VLOOKUP(Data!O88,Codes!$A$53:$B$57,2,FALSE()),"Invalid ("&amp;Data!O88&amp;")"))</f>
        <v>No disease</v>
      </c>
      <c r="P88" s="22" t="str">
        <f aca="false">IF(Data!P88="","",IFERROR(VLOOKUP(Data!P88,Codes!$A$61:$B$64,2,FALSE()),"Invalid ("&amp;Data!P88&amp;")"))</f>
        <v>Cleveland Clinic</v>
      </c>
    </row>
    <row r="89" customFormat="false" ht="15" hidden="false" customHeight="false" outlineLevel="0" collapsed="false">
      <c r="A89" s="19" t="n">
        <f aca="false">Data!A89</f>
        <v>88</v>
      </c>
      <c r="B89" s="20" t="n">
        <f aca="false">IF(Data!B89="","",Data!B89)</f>
        <v>53</v>
      </c>
      <c r="C89" s="28" t="str">
        <f aca="false">IF(Data!C89="","",IFERROR(VLOOKUP(Data!C89,Codes!$A$6:$B$7,2,FALSE()),"Invalid ("&amp;Data!C89&amp;")"))</f>
        <v>Female</v>
      </c>
      <c r="D89" s="28" t="str">
        <f aca="false">IF(Data!D89="","",IFERROR(VLOOKUP(Data!D89,Codes!$A$11:$B$14,2,FALSE()),"Invalid ("&amp;Data!D89&amp;")"))</f>
        <v>Non-anginal pain</v>
      </c>
      <c r="E89" s="20" t="n">
        <f aca="false">IF(Data!E89="","",Data!E89)</f>
        <v>128</v>
      </c>
      <c r="F89" s="20" t="n">
        <f aca="false">IF(Data!F89="","",Data!F89)</f>
        <v>216</v>
      </c>
      <c r="G89" s="28" t="str">
        <f aca="false">IF(Data!G89="","",IFERROR(VLOOKUP(Data!G89,Codes!$A$18:$B$19,2,FALSE()),"Invalid ("&amp;Data!G89&amp;")"))</f>
        <v>No</v>
      </c>
      <c r="H89" s="28" t="str">
        <f aca="false">IF(Data!H89="","",IFERROR(VLOOKUP(Data!H89,Codes!$A$23:$B$25,2,FALSE()),"Invalid ("&amp;Data!H89&amp;")"))</f>
        <v>Left ventricular hypertrophy</v>
      </c>
      <c r="I89" s="20" t="n">
        <f aca="false">IF(Data!I89="","",Data!I89)</f>
        <v>115</v>
      </c>
      <c r="J89" s="28" t="str">
        <f aca="false">IF(Data!J89="","",IFERROR(VLOOKUP(Data!J89,Codes!$A$29:$B$30,2,FALSE()),"Invalid ("&amp;Data!J89&amp;")"))</f>
        <v>No</v>
      </c>
      <c r="K89" s="21" t="n">
        <f aca="false">IF(Data!K89="","",Data!K89)</f>
        <v>0</v>
      </c>
      <c r="L89" s="28" t="str">
        <f aca="false">IF(Data!L89="","",IFERROR(VLOOKUP(Data!L89,Codes!$A$34:$B$36,2,FALSE()),"Invalid ("&amp;Data!L89&amp;")"))</f>
        <v>Upsloping</v>
      </c>
      <c r="M89" s="20" t="n">
        <f aca="false">IF(Data!M89="","",Data!M89)</f>
        <v>0</v>
      </c>
      <c r="N89" s="28" t="str">
        <f aca="false">IF(Data!N89="","",IFERROR(VLOOKUP(Data!N89,Codes!$A$47:$B$49,2,FALSE()),"Invalid ("&amp;Data!N89&amp;")"))</f>
        <v/>
      </c>
      <c r="O89" s="28" t="str">
        <f aca="false">IF(Data!O89="","",IFERROR(VLOOKUP(Data!O89,Codes!$A$53:$B$57,2,FALSE()),"Invalid ("&amp;Data!O89&amp;")"))</f>
        <v>No disease</v>
      </c>
      <c r="P89" s="22" t="str">
        <f aca="false">IF(Data!P89="","",IFERROR(VLOOKUP(Data!P89,Codes!$A$61:$B$64,2,FALSE()),"Invalid ("&amp;Data!P89&amp;")"))</f>
        <v>Cleveland Clinic</v>
      </c>
    </row>
    <row r="90" customFormat="false" ht="15" hidden="false" customHeight="false" outlineLevel="0" collapsed="false">
      <c r="A90" s="19" t="n">
        <f aca="false">Data!A90</f>
        <v>89</v>
      </c>
      <c r="B90" s="20" t="n">
        <f aca="false">IF(Data!B90="","",Data!B90)</f>
        <v>53</v>
      </c>
      <c r="C90" s="28" t="str">
        <f aca="false">IF(Data!C90="","",IFERROR(VLOOKUP(Data!C90,Codes!$A$6:$B$7,2,FALSE()),"Invalid ("&amp;Data!C90&amp;")"))</f>
        <v>Female</v>
      </c>
      <c r="D90" s="28" t="str">
        <f aca="false">IF(Data!D90="","",IFERROR(VLOOKUP(Data!D90,Codes!$A$11:$B$14,2,FALSE()),"Invalid ("&amp;Data!D90&amp;")"))</f>
        <v>Asymptomatic</v>
      </c>
      <c r="E90" s="20" t="n">
        <f aca="false">IF(Data!E90="","",Data!E90)</f>
        <v>138</v>
      </c>
      <c r="F90" s="20" t="n">
        <f aca="false">IF(Data!F90="","",Data!F90)</f>
        <v>234</v>
      </c>
      <c r="G90" s="28" t="str">
        <f aca="false">IF(Data!G90="","",IFERROR(VLOOKUP(Data!G90,Codes!$A$18:$B$19,2,FALSE()),"Invalid ("&amp;Data!G90&amp;")"))</f>
        <v>No</v>
      </c>
      <c r="H90" s="28" t="str">
        <f aca="false">IF(Data!H90="","",IFERROR(VLOOKUP(Data!H90,Codes!$A$23:$B$25,2,FALSE()),"Invalid ("&amp;Data!H90&amp;")"))</f>
        <v>Left ventricular hypertrophy</v>
      </c>
      <c r="I90" s="20" t="n">
        <f aca="false">IF(Data!I90="","",Data!I90)</f>
        <v>160</v>
      </c>
      <c r="J90" s="28" t="str">
        <f aca="false">IF(Data!J90="","",IFERROR(VLOOKUP(Data!J90,Codes!$A$29:$B$30,2,FALSE()),"Invalid ("&amp;Data!J90&amp;")"))</f>
        <v>No</v>
      </c>
      <c r="K90" s="21" t="n">
        <f aca="false">IF(Data!K90="","",Data!K90)</f>
        <v>0</v>
      </c>
      <c r="L90" s="28" t="str">
        <f aca="false">IF(Data!L90="","",IFERROR(VLOOKUP(Data!L90,Codes!$A$34:$B$36,2,FALSE()),"Invalid ("&amp;Data!L90&amp;")"))</f>
        <v>Upsloping</v>
      </c>
      <c r="M90" s="20" t="n">
        <f aca="false">IF(Data!M90="","",Data!M90)</f>
        <v>0</v>
      </c>
      <c r="N90" s="28" t="str">
        <f aca="false">IF(Data!N90="","",IFERROR(VLOOKUP(Data!N90,Codes!$A$47:$B$49,2,FALSE()),"Invalid ("&amp;Data!N90&amp;")"))</f>
        <v>Normal</v>
      </c>
      <c r="O90" s="28" t="str">
        <f aca="false">IF(Data!O90="","",IFERROR(VLOOKUP(Data!O90,Codes!$A$53:$B$57,2,FALSE()),"Invalid ("&amp;Data!O90&amp;")"))</f>
        <v>No disease</v>
      </c>
      <c r="P90" s="22" t="str">
        <f aca="false">IF(Data!P90="","",IFERROR(VLOOKUP(Data!P90,Codes!$A$61:$B$64,2,FALSE()),"Invalid ("&amp;Data!P90&amp;")"))</f>
        <v>Cleveland Clinic</v>
      </c>
    </row>
    <row r="91" customFormat="false" ht="15" hidden="false" customHeight="false" outlineLevel="0" collapsed="false">
      <c r="A91" s="19" t="n">
        <f aca="false">Data!A91</f>
        <v>90</v>
      </c>
      <c r="B91" s="20" t="n">
        <f aca="false">IF(Data!B91="","",Data!B91)</f>
        <v>51</v>
      </c>
      <c r="C91" s="28" t="str">
        <f aca="false">IF(Data!C91="","",IFERROR(VLOOKUP(Data!C91,Codes!$A$6:$B$7,2,FALSE()),"Invalid ("&amp;Data!C91&amp;")"))</f>
        <v>Female</v>
      </c>
      <c r="D91" s="28" t="str">
        <f aca="false">IF(Data!D91="","",IFERROR(VLOOKUP(Data!D91,Codes!$A$11:$B$14,2,FALSE()),"Invalid ("&amp;Data!D91&amp;")"))</f>
        <v>Non-anginal pain</v>
      </c>
      <c r="E91" s="20" t="n">
        <f aca="false">IF(Data!E91="","",Data!E91)</f>
        <v>130</v>
      </c>
      <c r="F91" s="20" t="n">
        <f aca="false">IF(Data!F91="","",Data!F91)</f>
        <v>256</v>
      </c>
      <c r="G91" s="28" t="str">
        <f aca="false">IF(Data!G91="","",IFERROR(VLOOKUP(Data!G91,Codes!$A$18:$B$19,2,FALSE()),"Invalid ("&amp;Data!G91&amp;")"))</f>
        <v>No</v>
      </c>
      <c r="H91" s="28" t="str">
        <f aca="false">IF(Data!H91="","",IFERROR(VLOOKUP(Data!H91,Codes!$A$23:$B$25,2,FALSE()),"Invalid ("&amp;Data!H91&amp;")"))</f>
        <v>Left ventricular hypertrophy</v>
      </c>
      <c r="I91" s="20" t="n">
        <f aca="false">IF(Data!I91="","",Data!I91)</f>
        <v>149</v>
      </c>
      <c r="J91" s="28" t="str">
        <f aca="false">IF(Data!J91="","",IFERROR(VLOOKUP(Data!J91,Codes!$A$29:$B$30,2,FALSE()),"Invalid ("&amp;Data!J91&amp;")"))</f>
        <v>No</v>
      </c>
      <c r="K91" s="21" t="n">
        <f aca="false">IF(Data!K91="","",Data!K91)</f>
        <v>0.5</v>
      </c>
      <c r="L91" s="28" t="str">
        <f aca="false">IF(Data!L91="","",IFERROR(VLOOKUP(Data!L91,Codes!$A$34:$B$36,2,FALSE()),"Invalid ("&amp;Data!L91&amp;")"))</f>
        <v>Upsloping</v>
      </c>
      <c r="M91" s="20" t="n">
        <f aca="false">IF(Data!M91="","",Data!M91)</f>
        <v>0</v>
      </c>
      <c r="N91" s="28" t="str">
        <f aca="false">IF(Data!N91="","",IFERROR(VLOOKUP(Data!N91,Codes!$A$47:$B$49,2,FALSE()),"Invalid ("&amp;Data!N91&amp;")"))</f>
        <v>Normal</v>
      </c>
      <c r="O91" s="28" t="str">
        <f aca="false">IF(Data!O91="","",IFERROR(VLOOKUP(Data!O91,Codes!$A$53:$B$57,2,FALSE()),"Invalid ("&amp;Data!O91&amp;")"))</f>
        <v>No disease</v>
      </c>
      <c r="P91" s="22" t="str">
        <f aca="false">IF(Data!P91="","",IFERROR(VLOOKUP(Data!P91,Codes!$A$61:$B$64,2,FALSE()),"Invalid ("&amp;Data!P91&amp;")"))</f>
        <v>Cleveland Clinic</v>
      </c>
    </row>
    <row r="92" customFormat="false" ht="15" hidden="false" customHeight="false" outlineLevel="0" collapsed="false">
      <c r="A92" s="19" t="n">
        <f aca="false">Data!A92</f>
        <v>91</v>
      </c>
      <c r="B92" s="20" t="n">
        <f aca="false">IF(Data!B92="","",Data!B92)</f>
        <v>66</v>
      </c>
      <c r="C92" s="28" t="str">
        <f aca="false">IF(Data!C92="","",IFERROR(VLOOKUP(Data!C92,Codes!$A$6:$B$7,2,FALSE()),"Invalid ("&amp;Data!C92&amp;")"))</f>
        <v>Male</v>
      </c>
      <c r="D92" s="28" t="str">
        <f aca="false">IF(Data!D92="","",IFERROR(VLOOKUP(Data!D92,Codes!$A$11:$B$14,2,FALSE()),"Invalid ("&amp;Data!D92&amp;")"))</f>
        <v>Asymptomatic</v>
      </c>
      <c r="E92" s="20" t="n">
        <f aca="false">IF(Data!E92="","",Data!E92)</f>
        <v>120</v>
      </c>
      <c r="F92" s="20" t="n">
        <f aca="false">IF(Data!F92="","",Data!F92)</f>
        <v>302</v>
      </c>
      <c r="G92" s="28" t="str">
        <f aca="false">IF(Data!G92="","",IFERROR(VLOOKUP(Data!G92,Codes!$A$18:$B$19,2,FALSE()),"Invalid ("&amp;Data!G92&amp;")"))</f>
        <v>No</v>
      </c>
      <c r="H92" s="28" t="str">
        <f aca="false">IF(Data!H92="","",IFERROR(VLOOKUP(Data!H92,Codes!$A$23:$B$25,2,FALSE()),"Invalid ("&amp;Data!H92&amp;")"))</f>
        <v>Left ventricular hypertrophy</v>
      </c>
      <c r="I92" s="20" t="n">
        <f aca="false">IF(Data!I92="","",Data!I92)</f>
        <v>151</v>
      </c>
      <c r="J92" s="28" t="str">
        <f aca="false">IF(Data!J92="","",IFERROR(VLOOKUP(Data!J92,Codes!$A$29:$B$30,2,FALSE()),"Invalid ("&amp;Data!J92&amp;")"))</f>
        <v>No</v>
      </c>
      <c r="K92" s="21" t="n">
        <f aca="false">IF(Data!K92="","",Data!K92)</f>
        <v>0.4</v>
      </c>
      <c r="L92" s="28" t="str">
        <f aca="false">IF(Data!L92="","",IFERROR(VLOOKUP(Data!L92,Codes!$A$34:$B$36,2,FALSE()),"Invalid ("&amp;Data!L92&amp;")"))</f>
        <v>Flat</v>
      </c>
      <c r="M92" s="20" t="n">
        <f aca="false">IF(Data!M92="","",Data!M92)</f>
        <v>0</v>
      </c>
      <c r="N92" s="28" t="str">
        <f aca="false">IF(Data!N92="","",IFERROR(VLOOKUP(Data!N92,Codes!$A$47:$B$49,2,FALSE()),"Invalid ("&amp;Data!N92&amp;")"))</f>
        <v>Normal</v>
      </c>
      <c r="O92" s="28" t="str">
        <f aca="false">IF(Data!O92="","",IFERROR(VLOOKUP(Data!O92,Codes!$A$53:$B$57,2,FALSE()),"Invalid ("&amp;Data!O92&amp;")"))</f>
        <v>No disease</v>
      </c>
      <c r="P92" s="22" t="str">
        <f aca="false">IF(Data!P92="","",IFERROR(VLOOKUP(Data!P92,Codes!$A$61:$B$64,2,FALSE()),"Invalid ("&amp;Data!P92&amp;")"))</f>
        <v>Cleveland Clinic</v>
      </c>
    </row>
    <row r="93" customFormat="false" ht="15" hidden="false" customHeight="false" outlineLevel="0" collapsed="false">
      <c r="A93" s="19" t="n">
        <f aca="false">Data!A93</f>
        <v>92</v>
      </c>
      <c r="B93" s="20" t="n">
        <f aca="false">IF(Data!B93="","",Data!B93)</f>
        <v>62</v>
      </c>
      <c r="C93" s="28" t="str">
        <f aca="false">IF(Data!C93="","",IFERROR(VLOOKUP(Data!C93,Codes!$A$6:$B$7,2,FALSE()),"Invalid ("&amp;Data!C93&amp;")"))</f>
        <v>Female</v>
      </c>
      <c r="D93" s="28" t="str">
        <f aca="false">IF(Data!D93="","",IFERROR(VLOOKUP(Data!D93,Codes!$A$11:$B$14,2,FALSE()),"Invalid ("&amp;Data!D93&amp;")"))</f>
        <v>Asymptomatic</v>
      </c>
      <c r="E93" s="20" t="n">
        <f aca="false">IF(Data!E93="","",Data!E93)</f>
        <v>160</v>
      </c>
      <c r="F93" s="20" t="n">
        <f aca="false">IF(Data!F93="","",Data!F93)</f>
        <v>164</v>
      </c>
      <c r="G93" s="28" t="str">
        <f aca="false">IF(Data!G93="","",IFERROR(VLOOKUP(Data!G93,Codes!$A$18:$B$19,2,FALSE()),"Invalid ("&amp;Data!G93&amp;")"))</f>
        <v>No</v>
      </c>
      <c r="H93" s="28" t="str">
        <f aca="false">IF(Data!H93="","",IFERROR(VLOOKUP(Data!H93,Codes!$A$23:$B$25,2,FALSE()),"Invalid ("&amp;Data!H93&amp;")"))</f>
        <v>Left ventricular hypertrophy</v>
      </c>
      <c r="I93" s="20" t="n">
        <f aca="false">IF(Data!I93="","",Data!I93)</f>
        <v>145</v>
      </c>
      <c r="J93" s="28" t="str">
        <f aca="false">IF(Data!J93="","",IFERROR(VLOOKUP(Data!J93,Codes!$A$29:$B$30,2,FALSE()),"Invalid ("&amp;Data!J93&amp;")"))</f>
        <v>No</v>
      </c>
      <c r="K93" s="21" t="n">
        <f aca="false">IF(Data!K93="","",Data!K93)</f>
        <v>6.2</v>
      </c>
      <c r="L93" s="28" t="str">
        <f aca="false">IF(Data!L93="","",IFERROR(VLOOKUP(Data!L93,Codes!$A$34:$B$36,2,FALSE()),"Invalid ("&amp;Data!L93&amp;")"))</f>
        <v>Downsloping</v>
      </c>
      <c r="M93" s="20" t="n">
        <f aca="false">IF(Data!M93="","",Data!M93)</f>
        <v>3</v>
      </c>
      <c r="N93" s="28" t="str">
        <f aca="false">IF(Data!N93="","",IFERROR(VLOOKUP(Data!N93,Codes!$A$47:$B$49,2,FALSE()),"Invalid ("&amp;Data!N93&amp;")"))</f>
        <v>Reversible defect</v>
      </c>
      <c r="O93" s="28" t="str">
        <f aca="false">IF(Data!O93="","",IFERROR(VLOOKUP(Data!O93,Codes!$A$53:$B$57,2,FALSE()),"Invalid ("&amp;Data!O93&amp;")"))</f>
        <v>Disease (3)</v>
      </c>
      <c r="P93" s="22" t="str">
        <f aca="false">IF(Data!P93="","",IFERROR(VLOOKUP(Data!P93,Codes!$A$61:$B$64,2,FALSE()),"Invalid ("&amp;Data!P93&amp;")"))</f>
        <v>Cleveland Clinic</v>
      </c>
    </row>
    <row r="94" customFormat="false" ht="15" hidden="false" customHeight="false" outlineLevel="0" collapsed="false">
      <c r="A94" s="19" t="n">
        <f aca="false">Data!A94</f>
        <v>93</v>
      </c>
      <c r="B94" s="20" t="n">
        <f aca="false">IF(Data!B94="","",Data!B94)</f>
        <v>62</v>
      </c>
      <c r="C94" s="28" t="str">
        <f aca="false">IF(Data!C94="","",IFERROR(VLOOKUP(Data!C94,Codes!$A$6:$B$7,2,FALSE()),"Invalid ("&amp;Data!C94&amp;")"))</f>
        <v>Male</v>
      </c>
      <c r="D94" s="28" t="str">
        <f aca="false">IF(Data!D94="","",IFERROR(VLOOKUP(Data!D94,Codes!$A$11:$B$14,2,FALSE()),"Invalid ("&amp;Data!D94&amp;")"))</f>
        <v>Non-anginal pain</v>
      </c>
      <c r="E94" s="20" t="n">
        <f aca="false">IF(Data!E94="","",Data!E94)</f>
        <v>130</v>
      </c>
      <c r="F94" s="20" t="n">
        <f aca="false">IF(Data!F94="","",Data!F94)</f>
        <v>231</v>
      </c>
      <c r="G94" s="28" t="str">
        <f aca="false">IF(Data!G94="","",IFERROR(VLOOKUP(Data!G94,Codes!$A$18:$B$19,2,FALSE()),"Invalid ("&amp;Data!G94&amp;")"))</f>
        <v>No</v>
      </c>
      <c r="H94" s="28" t="str">
        <f aca="false">IF(Data!H94="","",IFERROR(VLOOKUP(Data!H94,Codes!$A$23:$B$25,2,FALSE()),"Invalid ("&amp;Data!H94&amp;")"))</f>
        <v>Normal</v>
      </c>
      <c r="I94" s="20" t="n">
        <f aca="false">IF(Data!I94="","",Data!I94)</f>
        <v>146</v>
      </c>
      <c r="J94" s="28" t="str">
        <f aca="false">IF(Data!J94="","",IFERROR(VLOOKUP(Data!J94,Codes!$A$29:$B$30,2,FALSE()),"Invalid ("&amp;Data!J94&amp;")"))</f>
        <v>No</v>
      </c>
      <c r="K94" s="21" t="n">
        <f aca="false">IF(Data!K94="","",Data!K94)</f>
        <v>1.8</v>
      </c>
      <c r="L94" s="28" t="str">
        <f aca="false">IF(Data!L94="","",IFERROR(VLOOKUP(Data!L94,Codes!$A$34:$B$36,2,FALSE()),"Invalid ("&amp;Data!L94&amp;")"))</f>
        <v>Flat</v>
      </c>
      <c r="M94" s="20" t="n">
        <f aca="false">IF(Data!M94="","",Data!M94)</f>
        <v>3</v>
      </c>
      <c r="N94" s="28" t="str">
        <f aca="false">IF(Data!N94="","",IFERROR(VLOOKUP(Data!N94,Codes!$A$47:$B$49,2,FALSE()),"Invalid ("&amp;Data!N94&amp;")"))</f>
        <v>Reversible defect</v>
      </c>
      <c r="O94" s="28" t="str">
        <f aca="false">IF(Data!O94="","",IFERROR(VLOOKUP(Data!O94,Codes!$A$53:$B$57,2,FALSE()),"Invalid ("&amp;Data!O94&amp;")"))</f>
        <v>No disease</v>
      </c>
      <c r="P94" s="22" t="str">
        <f aca="false">IF(Data!P94="","",IFERROR(VLOOKUP(Data!P94,Codes!$A$61:$B$64,2,FALSE()),"Invalid ("&amp;Data!P94&amp;")"))</f>
        <v>Cleveland Clinic</v>
      </c>
    </row>
    <row r="95" customFormat="false" ht="15" hidden="false" customHeight="false" outlineLevel="0" collapsed="false">
      <c r="A95" s="19" t="n">
        <f aca="false">Data!A95</f>
        <v>94</v>
      </c>
      <c r="B95" s="20" t="n">
        <f aca="false">IF(Data!B95="","",Data!B95)</f>
        <v>44</v>
      </c>
      <c r="C95" s="28" t="str">
        <f aca="false">IF(Data!C95="","",IFERROR(VLOOKUP(Data!C95,Codes!$A$6:$B$7,2,FALSE()),"Invalid ("&amp;Data!C95&amp;")"))</f>
        <v>Female</v>
      </c>
      <c r="D95" s="28" t="str">
        <f aca="false">IF(Data!D95="","",IFERROR(VLOOKUP(Data!D95,Codes!$A$11:$B$14,2,FALSE()),"Invalid ("&amp;Data!D95&amp;")"))</f>
        <v>Non-anginal pain</v>
      </c>
      <c r="E95" s="20" t="n">
        <f aca="false">IF(Data!E95="","",Data!E95)</f>
        <v>108</v>
      </c>
      <c r="F95" s="20" t="n">
        <f aca="false">IF(Data!F95="","",Data!F95)</f>
        <v>141</v>
      </c>
      <c r="G95" s="28" t="str">
        <f aca="false">IF(Data!G95="","",IFERROR(VLOOKUP(Data!G95,Codes!$A$18:$B$19,2,FALSE()),"Invalid ("&amp;Data!G95&amp;")"))</f>
        <v>No</v>
      </c>
      <c r="H95" s="28" t="str">
        <f aca="false">IF(Data!H95="","",IFERROR(VLOOKUP(Data!H95,Codes!$A$23:$B$25,2,FALSE()),"Invalid ("&amp;Data!H95&amp;")"))</f>
        <v>Normal</v>
      </c>
      <c r="I95" s="20" t="n">
        <f aca="false">IF(Data!I95="","",Data!I95)</f>
        <v>175</v>
      </c>
      <c r="J95" s="28" t="str">
        <f aca="false">IF(Data!J95="","",IFERROR(VLOOKUP(Data!J95,Codes!$A$29:$B$30,2,FALSE()),"Invalid ("&amp;Data!J95&amp;")"))</f>
        <v>No</v>
      </c>
      <c r="K95" s="21" t="n">
        <f aca="false">IF(Data!K95="","",Data!K95)</f>
        <v>0.6</v>
      </c>
      <c r="L95" s="28" t="str">
        <f aca="false">IF(Data!L95="","",IFERROR(VLOOKUP(Data!L95,Codes!$A$34:$B$36,2,FALSE()),"Invalid ("&amp;Data!L95&amp;")"))</f>
        <v>Flat</v>
      </c>
      <c r="M95" s="20" t="n">
        <f aca="false">IF(Data!M95="","",Data!M95)</f>
        <v>0</v>
      </c>
      <c r="N95" s="28" t="str">
        <f aca="false">IF(Data!N95="","",IFERROR(VLOOKUP(Data!N95,Codes!$A$47:$B$49,2,FALSE()),"Invalid ("&amp;Data!N95&amp;")"))</f>
        <v>Normal</v>
      </c>
      <c r="O95" s="28" t="str">
        <f aca="false">IF(Data!O95="","",IFERROR(VLOOKUP(Data!O95,Codes!$A$53:$B$57,2,FALSE()),"Invalid ("&amp;Data!O95&amp;")"))</f>
        <v>No disease</v>
      </c>
      <c r="P95" s="22" t="str">
        <f aca="false">IF(Data!P95="","",IFERROR(VLOOKUP(Data!P95,Codes!$A$61:$B$64,2,FALSE()),"Invalid ("&amp;Data!P95&amp;")"))</f>
        <v>Cleveland Clinic</v>
      </c>
    </row>
    <row r="96" customFormat="false" ht="15" hidden="false" customHeight="false" outlineLevel="0" collapsed="false">
      <c r="A96" s="19" t="n">
        <f aca="false">Data!A96</f>
        <v>95</v>
      </c>
      <c r="B96" s="20" t="n">
        <f aca="false">IF(Data!B96="","",Data!B96)</f>
        <v>63</v>
      </c>
      <c r="C96" s="28" t="str">
        <f aca="false">IF(Data!C96="","",IFERROR(VLOOKUP(Data!C96,Codes!$A$6:$B$7,2,FALSE()),"Invalid ("&amp;Data!C96&amp;")"))</f>
        <v>Female</v>
      </c>
      <c r="D96" s="28" t="str">
        <f aca="false">IF(Data!D96="","",IFERROR(VLOOKUP(Data!D96,Codes!$A$11:$B$14,2,FALSE()),"Invalid ("&amp;Data!D96&amp;")"))</f>
        <v>Non-anginal pain</v>
      </c>
      <c r="E96" s="20" t="n">
        <f aca="false">IF(Data!E96="","",Data!E96)</f>
        <v>135</v>
      </c>
      <c r="F96" s="20" t="n">
        <f aca="false">IF(Data!F96="","",Data!F96)</f>
        <v>252</v>
      </c>
      <c r="G96" s="28" t="str">
        <f aca="false">IF(Data!G96="","",IFERROR(VLOOKUP(Data!G96,Codes!$A$18:$B$19,2,FALSE()),"Invalid ("&amp;Data!G96&amp;")"))</f>
        <v>No</v>
      </c>
      <c r="H96" s="28" t="str">
        <f aca="false">IF(Data!H96="","",IFERROR(VLOOKUP(Data!H96,Codes!$A$23:$B$25,2,FALSE()),"Invalid ("&amp;Data!H96&amp;")"))</f>
        <v>Left ventricular hypertrophy</v>
      </c>
      <c r="I96" s="20" t="n">
        <f aca="false">IF(Data!I96="","",Data!I96)</f>
        <v>172</v>
      </c>
      <c r="J96" s="28" t="str">
        <f aca="false">IF(Data!J96="","",IFERROR(VLOOKUP(Data!J96,Codes!$A$29:$B$30,2,FALSE()),"Invalid ("&amp;Data!J96&amp;")"))</f>
        <v>No</v>
      </c>
      <c r="K96" s="21" t="n">
        <f aca="false">IF(Data!K96="","",Data!K96)</f>
        <v>0</v>
      </c>
      <c r="L96" s="28" t="str">
        <f aca="false">IF(Data!L96="","",IFERROR(VLOOKUP(Data!L96,Codes!$A$34:$B$36,2,FALSE()),"Invalid ("&amp;Data!L96&amp;")"))</f>
        <v>Upsloping</v>
      </c>
      <c r="M96" s="20" t="n">
        <f aca="false">IF(Data!M96="","",Data!M96)</f>
        <v>0</v>
      </c>
      <c r="N96" s="28" t="str">
        <f aca="false">IF(Data!N96="","",IFERROR(VLOOKUP(Data!N96,Codes!$A$47:$B$49,2,FALSE()),"Invalid ("&amp;Data!N96&amp;")"))</f>
        <v>Normal</v>
      </c>
      <c r="O96" s="28" t="str">
        <f aca="false">IF(Data!O96="","",IFERROR(VLOOKUP(Data!O96,Codes!$A$53:$B$57,2,FALSE()),"Invalid ("&amp;Data!O96&amp;")"))</f>
        <v>No disease</v>
      </c>
      <c r="P96" s="22" t="str">
        <f aca="false">IF(Data!P96="","",IFERROR(VLOOKUP(Data!P96,Codes!$A$61:$B$64,2,FALSE()),"Invalid ("&amp;Data!P96&amp;")"))</f>
        <v>Cleveland Clinic</v>
      </c>
    </row>
    <row r="97" customFormat="false" ht="15" hidden="false" customHeight="false" outlineLevel="0" collapsed="false">
      <c r="A97" s="19" t="n">
        <f aca="false">Data!A97</f>
        <v>96</v>
      </c>
      <c r="B97" s="20" t="n">
        <f aca="false">IF(Data!B97="","",Data!B97)</f>
        <v>52</v>
      </c>
      <c r="C97" s="28" t="str">
        <f aca="false">IF(Data!C97="","",IFERROR(VLOOKUP(Data!C97,Codes!$A$6:$B$7,2,FALSE()),"Invalid ("&amp;Data!C97&amp;")"))</f>
        <v>Male</v>
      </c>
      <c r="D97" s="28" t="str">
        <f aca="false">IF(Data!D97="","",IFERROR(VLOOKUP(Data!D97,Codes!$A$11:$B$14,2,FALSE()),"Invalid ("&amp;Data!D97&amp;")"))</f>
        <v>Asymptomatic</v>
      </c>
      <c r="E97" s="20" t="n">
        <f aca="false">IF(Data!E97="","",Data!E97)</f>
        <v>128</v>
      </c>
      <c r="F97" s="20" t="n">
        <f aca="false">IF(Data!F97="","",Data!F97)</f>
        <v>255</v>
      </c>
      <c r="G97" s="28" t="str">
        <f aca="false">IF(Data!G97="","",IFERROR(VLOOKUP(Data!G97,Codes!$A$18:$B$19,2,FALSE()),"Invalid ("&amp;Data!G97&amp;")"))</f>
        <v>No</v>
      </c>
      <c r="H97" s="28" t="str">
        <f aca="false">IF(Data!H97="","",IFERROR(VLOOKUP(Data!H97,Codes!$A$23:$B$25,2,FALSE()),"Invalid ("&amp;Data!H97&amp;")"))</f>
        <v>Normal</v>
      </c>
      <c r="I97" s="20" t="n">
        <f aca="false">IF(Data!I97="","",Data!I97)</f>
        <v>161</v>
      </c>
      <c r="J97" s="28" t="str">
        <f aca="false">IF(Data!J97="","",IFERROR(VLOOKUP(Data!J97,Codes!$A$29:$B$30,2,FALSE()),"Invalid ("&amp;Data!J97&amp;")"))</f>
        <v>Yes</v>
      </c>
      <c r="K97" s="21" t="n">
        <f aca="false">IF(Data!K97="","",Data!K97)</f>
        <v>0</v>
      </c>
      <c r="L97" s="28" t="str">
        <f aca="false">IF(Data!L97="","",IFERROR(VLOOKUP(Data!L97,Codes!$A$34:$B$36,2,FALSE()),"Invalid ("&amp;Data!L97&amp;")"))</f>
        <v>Upsloping</v>
      </c>
      <c r="M97" s="20" t="n">
        <f aca="false">IF(Data!M97="","",Data!M97)</f>
        <v>1</v>
      </c>
      <c r="N97" s="28" t="str">
        <f aca="false">IF(Data!N97="","",IFERROR(VLOOKUP(Data!N97,Codes!$A$47:$B$49,2,FALSE()),"Invalid ("&amp;Data!N97&amp;")"))</f>
        <v>Reversible defect</v>
      </c>
      <c r="O97" s="28" t="str">
        <f aca="false">IF(Data!O97="","",IFERROR(VLOOKUP(Data!O97,Codes!$A$53:$B$57,2,FALSE()),"Invalid ("&amp;Data!O97&amp;")"))</f>
        <v>Disease (1)</v>
      </c>
      <c r="P97" s="22" t="str">
        <f aca="false">IF(Data!P97="","",IFERROR(VLOOKUP(Data!P97,Codes!$A$61:$B$64,2,FALSE()),"Invalid ("&amp;Data!P97&amp;")"))</f>
        <v>Cleveland Clinic</v>
      </c>
    </row>
    <row r="98" customFormat="false" ht="15" hidden="false" customHeight="false" outlineLevel="0" collapsed="false">
      <c r="A98" s="19" t="n">
        <f aca="false">Data!A98</f>
        <v>97</v>
      </c>
      <c r="B98" s="20" t="n">
        <f aca="false">IF(Data!B98="","",Data!B98)</f>
        <v>59</v>
      </c>
      <c r="C98" s="28" t="str">
        <f aca="false">IF(Data!C98="","",IFERROR(VLOOKUP(Data!C98,Codes!$A$6:$B$7,2,FALSE()),"Invalid ("&amp;Data!C98&amp;")"))</f>
        <v>Male</v>
      </c>
      <c r="D98" s="28" t="str">
        <f aca="false">IF(Data!D98="","",IFERROR(VLOOKUP(Data!D98,Codes!$A$11:$B$14,2,FALSE()),"Invalid ("&amp;Data!D98&amp;")"))</f>
        <v>Asymptomatic</v>
      </c>
      <c r="E98" s="20" t="n">
        <f aca="false">IF(Data!E98="","",Data!E98)</f>
        <v>110</v>
      </c>
      <c r="F98" s="20" t="n">
        <f aca="false">IF(Data!F98="","",Data!F98)</f>
        <v>239</v>
      </c>
      <c r="G98" s="28" t="str">
        <f aca="false">IF(Data!G98="","",IFERROR(VLOOKUP(Data!G98,Codes!$A$18:$B$19,2,FALSE()),"Invalid ("&amp;Data!G98&amp;")"))</f>
        <v>No</v>
      </c>
      <c r="H98" s="28" t="str">
        <f aca="false">IF(Data!H98="","",IFERROR(VLOOKUP(Data!H98,Codes!$A$23:$B$25,2,FALSE()),"Invalid ("&amp;Data!H98&amp;")"))</f>
        <v>Left ventricular hypertrophy</v>
      </c>
      <c r="I98" s="20" t="n">
        <f aca="false">IF(Data!I98="","",Data!I98)</f>
        <v>142</v>
      </c>
      <c r="J98" s="28" t="str">
        <f aca="false">IF(Data!J98="","",IFERROR(VLOOKUP(Data!J98,Codes!$A$29:$B$30,2,FALSE()),"Invalid ("&amp;Data!J98&amp;")"))</f>
        <v>Yes</v>
      </c>
      <c r="K98" s="21" t="n">
        <f aca="false">IF(Data!K98="","",Data!K98)</f>
        <v>1.2</v>
      </c>
      <c r="L98" s="28" t="str">
        <f aca="false">IF(Data!L98="","",IFERROR(VLOOKUP(Data!L98,Codes!$A$34:$B$36,2,FALSE()),"Invalid ("&amp;Data!L98&amp;")"))</f>
        <v>Flat</v>
      </c>
      <c r="M98" s="20" t="n">
        <f aca="false">IF(Data!M98="","",Data!M98)</f>
        <v>1</v>
      </c>
      <c r="N98" s="28" t="str">
        <f aca="false">IF(Data!N98="","",IFERROR(VLOOKUP(Data!N98,Codes!$A$47:$B$49,2,FALSE()),"Invalid ("&amp;Data!N98&amp;")"))</f>
        <v>Reversible defect</v>
      </c>
      <c r="O98" s="28" t="str">
        <f aca="false">IF(Data!O98="","",IFERROR(VLOOKUP(Data!O98,Codes!$A$53:$B$57,2,FALSE()),"Invalid ("&amp;Data!O98&amp;")"))</f>
        <v>Disease (2)</v>
      </c>
      <c r="P98" s="22" t="str">
        <f aca="false">IF(Data!P98="","",IFERROR(VLOOKUP(Data!P98,Codes!$A$61:$B$64,2,FALSE()),"Invalid ("&amp;Data!P98&amp;")"))</f>
        <v>Cleveland Clinic</v>
      </c>
    </row>
    <row r="99" customFormat="false" ht="15" hidden="false" customHeight="false" outlineLevel="0" collapsed="false">
      <c r="A99" s="19" t="n">
        <f aca="false">Data!A99</f>
        <v>98</v>
      </c>
      <c r="B99" s="20" t="n">
        <f aca="false">IF(Data!B99="","",Data!B99)</f>
        <v>60</v>
      </c>
      <c r="C99" s="28" t="str">
        <f aca="false">IF(Data!C99="","",IFERROR(VLOOKUP(Data!C99,Codes!$A$6:$B$7,2,FALSE()),"Invalid ("&amp;Data!C99&amp;")"))</f>
        <v>Female</v>
      </c>
      <c r="D99" s="28" t="str">
        <f aca="false">IF(Data!D99="","",IFERROR(VLOOKUP(Data!D99,Codes!$A$11:$B$14,2,FALSE()),"Invalid ("&amp;Data!D99&amp;")"))</f>
        <v>Asymptomatic</v>
      </c>
      <c r="E99" s="20" t="n">
        <f aca="false">IF(Data!E99="","",Data!E99)</f>
        <v>150</v>
      </c>
      <c r="F99" s="20" t="n">
        <f aca="false">IF(Data!F99="","",Data!F99)</f>
        <v>258</v>
      </c>
      <c r="G99" s="28" t="str">
        <f aca="false">IF(Data!G99="","",IFERROR(VLOOKUP(Data!G99,Codes!$A$18:$B$19,2,FALSE()),"Invalid ("&amp;Data!G99&amp;")"))</f>
        <v>No</v>
      </c>
      <c r="H99" s="28" t="str">
        <f aca="false">IF(Data!H99="","",IFERROR(VLOOKUP(Data!H99,Codes!$A$23:$B$25,2,FALSE()),"Invalid ("&amp;Data!H99&amp;")"))</f>
        <v>Left ventricular hypertrophy</v>
      </c>
      <c r="I99" s="20" t="n">
        <f aca="false">IF(Data!I99="","",Data!I99)</f>
        <v>157</v>
      </c>
      <c r="J99" s="28" t="str">
        <f aca="false">IF(Data!J99="","",IFERROR(VLOOKUP(Data!J99,Codes!$A$29:$B$30,2,FALSE()),"Invalid ("&amp;Data!J99&amp;")"))</f>
        <v>No</v>
      </c>
      <c r="K99" s="21" t="n">
        <f aca="false">IF(Data!K99="","",Data!K99)</f>
        <v>2.6</v>
      </c>
      <c r="L99" s="28" t="str">
        <f aca="false">IF(Data!L99="","",IFERROR(VLOOKUP(Data!L99,Codes!$A$34:$B$36,2,FALSE()),"Invalid ("&amp;Data!L99&amp;")"))</f>
        <v>Flat</v>
      </c>
      <c r="M99" s="20" t="n">
        <f aca="false">IF(Data!M99="","",Data!M99)</f>
        <v>2</v>
      </c>
      <c r="N99" s="28" t="str">
        <f aca="false">IF(Data!N99="","",IFERROR(VLOOKUP(Data!N99,Codes!$A$47:$B$49,2,FALSE()),"Invalid ("&amp;Data!N99&amp;")"))</f>
        <v>Reversible defect</v>
      </c>
      <c r="O99" s="28" t="str">
        <f aca="false">IF(Data!O99="","",IFERROR(VLOOKUP(Data!O99,Codes!$A$53:$B$57,2,FALSE()),"Invalid ("&amp;Data!O99&amp;")"))</f>
        <v>Disease (3)</v>
      </c>
      <c r="P99" s="22" t="str">
        <f aca="false">IF(Data!P99="","",IFERROR(VLOOKUP(Data!P99,Codes!$A$61:$B$64,2,FALSE()),"Invalid ("&amp;Data!P99&amp;")"))</f>
        <v>Cleveland Clinic</v>
      </c>
    </row>
    <row r="100" customFormat="false" ht="15" hidden="false" customHeight="false" outlineLevel="0" collapsed="false">
      <c r="A100" s="19" t="n">
        <f aca="false">Data!A100</f>
        <v>99</v>
      </c>
      <c r="B100" s="20" t="n">
        <f aca="false">IF(Data!B100="","",Data!B100)</f>
        <v>52</v>
      </c>
      <c r="C100" s="28" t="str">
        <f aca="false">IF(Data!C100="","",IFERROR(VLOOKUP(Data!C100,Codes!$A$6:$B$7,2,FALSE()),"Invalid ("&amp;Data!C100&amp;")"))</f>
        <v>Male</v>
      </c>
      <c r="D100" s="28" t="str">
        <f aca="false">IF(Data!D100="","",IFERROR(VLOOKUP(Data!D100,Codes!$A$11:$B$14,2,FALSE()),"Invalid ("&amp;Data!D100&amp;")"))</f>
        <v>Atypical angina</v>
      </c>
      <c r="E100" s="20" t="n">
        <f aca="false">IF(Data!E100="","",Data!E100)</f>
        <v>134</v>
      </c>
      <c r="F100" s="20" t="n">
        <f aca="false">IF(Data!F100="","",Data!F100)</f>
        <v>201</v>
      </c>
      <c r="G100" s="28" t="str">
        <f aca="false">IF(Data!G100="","",IFERROR(VLOOKUP(Data!G100,Codes!$A$18:$B$19,2,FALSE()),"Invalid ("&amp;Data!G100&amp;")"))</f>
        <v>No</v>
      </c>
      <c r="H100" s="28" t="str">
        <f aca="false">IF(Data!H100="","",IFERROR(VLOOKUP(Data!H100,Codes!$A$23:$B$25,2,FALSE()),"Invalid ("&amp;Data!H100&amp;")"))</f>
        <v>Normal</v>
      </c>
      <c r="I100" s="20" t="n">
        <f aca="false">IF(Data!I100="","",Data!I100)</f>
        <v>158</v>
      </c>
      <c r="J100" s="28" t="str">
        <f aca="false">IF(Data!J100="","",IFERROR(VLOOKUP(Data!J100,Codes!$A$29:$B$30,2,FALSE()),"Invalid ("&amp;Data!J100&amp;")"))</f>
        <v>No</v>
      </c>
      <c r="K100" s="21" t="n">
        <f aca="false">IF(Data!K100="","",Data!K100)</f>
        <v>0.8</v>
      </c>
      <c r="L100" s="28" t="str">
        <f aca="false">IF(Data!L100="","",IFERROR(VLOOKUP(Data!L100,Codes!$A$34:$B$36,2,FALSE()),"Invalid ("&amp;Data!L100&amp;")"))</f>
        <v>Upsloping</v>
      </c>
      <c r="M100" s="20" t="n">
        <f aca="false">IF(Data!M100="","",Data!M100)</f>
        <v>1</v>
      </c>
      <c r="N100" s="28" t="str">
        <f aca="false">IF(Data!N100="","",IFERROR(VLOOKUP(Data!N100,Codes!$A$47:$B$49,2,FALSE()),"Invalid ("&amp;Data!N100&amp;")"))</f>
        <v>Normal</v>
      </c>
      <c r="O100" s="28" t="str">
        <f aca="false">IF(Data!O100="","",IFERROR(VLOOKUP(Data!O100,Codes!$A$53:$B$57,2,FALSE()),"Invalid ("&amp;Data!O100&amp;")"))</f>
        <v>No disease</v>
      </c>
      <c r="P100" s="22" t="str">
        <f aca="false">IF(Data!P100="","",IFERROR(VLOOKUP(Data!P100,Codes!$A$61:$B$64,2,FALSE()),"Invalid ("&amp;Data!P100&amp;")"))</f>
        <v>Cleveland Clinic</v>
      </c>
    </row>
    <row r="101" customFormat="false" ht="15" hidden="false" customHeight="false" outlineLevel="0" collapsed="false">
      <c r="A101" s="19" t="n">
        <f aca="false">Data!A101</f>
        <v>100</v>
      </c>
      <c r="B101" s="20" t="n">
        <f aca="false">IF(Data!B101="","",Data!B101)</f>
        <v>48</v>
      </c>
      <c r="C101" s="28" t="str">
        <f aca="false">IF(Data!C101="","",IFERROR(VLOOKUP(Data!C101,Codes!$A$6:$B$7,2,FALSE()),"Invalid ("&amp;Data!C101&amp;")"))</f>
        <v>Male</v>
      </c>
      <c r="D101" s="28" t="str">
        <f aca="false">IF(Data!D101="","",IFERROR(VLOOKUP(Data!D101,Codes!$A$11:$B$14,2,FALSE()),"Invalid ("&amp;Data!D101&amp;")"))</f>
        <v>Asymptomatic</v>
      </c>
      <c r="E101" s="20" t="n">
        <f aca="false">IF(Data!E101="","",Data!E101)</f>
        <v>122</v>
      </c>
      <c r="F101" s="20" t="n">
        <f aca="false">IF(Data!F101="","",Data!F101)</f>
        <v>222</v>
      </c>
      <c r="G101" s="28" t="str">
        <f aca="false">IF(Data!G101="","",IFERROR(VLOOKUP(Data!G101,Codes!$A$18:$B$19,2,FALSE()),"Invalid ("&amp;Data!G101&amp;")"))</f>
        <v>No</v>
      </c>
      <c r="H101" s="28" t="str">
        <f aca="false">IF(Data!H101="","",IFERROR(VLOOKUP(Data!H101,Codes!$A$23:$B$25,2,FALSE()),"Invalid ("&amp;Data!H101&amp;")"))</f>
        <v>Left ventricular hypertrophy</v>
      </c>
      <c r="I101" s="20" t="n">
        <f aca="false">IF(Data!I101="","",Data!I101)</f>
        <v>186</v>
      </c>
      <c r="J101" s="28" t="str">
        <f aca="false">IF(Data!J101="","",IFERROR(VLOOKUP(Data!J101,Codes!$A$29:$B$30,2,FALSE()),"Invalid ("&amp;Data!J101&amp;")"))</f>
        <v>No</v>
      </c>
      <c r="K101" s="21" t="n">
        <f aca="false">IF(Data!K101="","",Data!K101)</f>
        <v>0</v>
      </c>
      <c r="L101" s="28" t="str">
        <f aca="false">IF(Data!L101="","",IFERROR(VLOOKUP(Data!L101,Codes!$A$34:$B$36,2,FALSE()),"Invalid ("&amp;Data!L101&amp;")"))</f>
        <v>Upsloping</v>
      </c>
      <c r="M101" s="20" t="n">
        <f aca="false">IF(Data!M101="","",Data!M101)</f>
        <v>0</v>
      </c>
      <c r="N101" s="28" t="str">
        <f aca="false">IF(Data!N101="","",IFERROR(VLOOKUP(Data!N101,Codes!$A$47:$B$49,2,FALSE()),"Invalid ("&amp;Data!N101&amp;")"))</f>
        <v>Normal</v>
      </c>
      <c r="O101" s="28" t="str">
        <f aca="false">IF(Data!O101="","",IFERROR(VLOOKUP(Data!O101,Codes!$A$53:$B$57,2,FALSE()),"Invalid ("&amp;Data!O101&amp;")"))</f>
        <v>No disease</v>
      </c>
      <c r="P101" s="22" t="str">
        <f aca="false">IF(Data!P101="","",IFERROR(VLOOKUP(Data!P101,Codes!$A$61:$B$64,2,FALSE()),"Invalid ("&amp;Data!P101&amp;")"))</f>
        <v>Cleveland Clinic</v>
      </c>
    </row>
    <row r="102" customFormat="false" ht="15" hidden="false" customHeight="false" outlineLevel="0" collapsed="false">
      <c r="A102" s="19" t="n">
        <f aca="false">Data!A102</f>
        <v>101</v>
      </c>
      <c r="B102" s="20" t="n">
        <f aca="false">IF(Data!B102="","",Data!B102)</f>
        <v>45</v>
      </c>
      <c r="C102" s="28" t="str">
        <f aca="false">IF(Data!C102="","",IFERROR(VLOOKUP(Data!C102,Codes!$A$6:$B$7,2,FALSE()),"Invalid ("&amp;Data!C102&amp;")"))</f>
        <v>Male</v>
      </c>
      <c r="D102" s="28" t="str">
        <f aca="false">IF(Data!D102="","",IFERROR(VLOOKUP(Data!D102,Codes!$A$11:$B$14,2,FALSE()),"Invalid ("&amp;Data!D102&amp;")"))</f>
        <v>Asymptomatic</v>
      </c>
      <c r="E102" s="20" t="n">
        <f aca="false">IF(Data!E102="","",Data!E102)</f>
        <v>115</v>
      </c>
      <c r="F102" s="20" t="n">
        <f aca="false">IF(Data!F102="","",Data!F102)</f>
        <v>260</v>
      </c>
      <c r="G102" s="28" t="str">
        <f aca="false">IF(Data!G102="","",IFERROR(VLOOKUP(Data!G102,Codes!$A$18:$B$19,2,FALSE()),"Invalid ("&amp;Data!G102&amp;")"))</f>
        <v>No</v>
      </c>
      <c r="H102" s="28" t="str">
        <f aca="false">IF(Data!H102="","",IFERROR(VLOOKUP(Data!H102,Codes!$A$23:$B$25,2,FALSE()),"Invalid ("&amp;Data!H102&amp;")"))</f>
        <v>Left ventricular hypertrophy</v>
      </c>
      <c r="I102" s="20" t="n">
        <f aca="false">IF(Data!I102="","",Data!I102)</f>
        <v>185</v>
      </c>
      <c r="J102" s="28" t="str">
        <f aca="false">IF(Data!J102="","",IFERROR(VLOOKUP(Data!J102,Codes!$A$29:$B$30,2,FALSE()),"Invalid ("&amp;Data!J102&amp;")"))</f>
        <v>No</v>
      </c>
      <c r="K102" s="21" t="n">
        <f aca="false">IF(Data!K102="","",Data!K102)</f>
        <v>0</v>
      </c>
      <c r="L102" s="28" t="str">
        <f aca="false">IF(Data!L102="","",IFERROR(VLOOKUP(Data!L102,Codes!$A$34:$B$36,2,FALSE()),"Invalid ("&amp;Data!L102&amp;")"))</f>
        <v>Upsloping</v>
      </c>
      <c r="M102" s="20" t="n">
        <f aca="false">IF(Data!M102="","",Data!M102)</f>
        <v>0</v>
      </c>
      <c r="N102" s="28" t="str">
        <f aca="false">IF(Data!N102="","",IFERROR(VLOOKUP(Data!N102,Codes!$A$47:$B$49,2,FALSE()),"Invalid ("&amp;Data!N102&amp;")"))</f>
        <v>Normal</v>
      </c>
      <c r="O102" s="28" t="str">
        <f aca="false">IF(Data!O102="","",IFERROR(VLOOKUP(Data!O102,Codes!$A$53:$B$57,2,FALSE()),"Invalid ("&amp;Data!O102&amp;")"))</f>
        <v>No disease</v>
      </c>
      <c r="P102" s="22" t="str">
        <f aca="false">IF(Data!P102="","",IFERROR(VLOOKUP(Data!P102,Codes!$A$61:$B$64,2,FALSE()),"Invalid ("&amp;Data!P102&amp;")"))</f>
        <v>Cleveland Clinic</v>
      </c>
    </row>
    <row r="103" customFormat="false" ht="15" hidden="false" customHeight="false" outlineLevel="0" collapsed="false">
      <c r="A103" s="19" t="n">
        <f aca="false">Data!A103</f>
        <v>102</v>
      </c>
      <c r="B103" s="20" t="n">
        <f aca="false">IF(Data!B103="","",Data!B103)</f>
        <v>34</v>
      </c>
      <c r="C103" s="28" t="str">
        <f aca="false">IF(Data!C103="","",IFERROR(VLOOKUP(Data!C103,Codes!$A$6:$B$7,2,FALSE()),"Invalid ("&amp;Data!C103&amp;")"))</f>
        <v>Male</v>
      </c>
      <c r="D103" s="28" t="str">
        <f aca="false">IF(Data!D103="","",IFERROR(VLOOKUP(Data!D103,Codes!$A$11:$B$14,2,FALSE()),"Invalid ("&amp;Data!D103&amp;")"))</f>
        <v>Typical angina</v>
      </c>
      <c r="E103" s="20" t="n">
        <f aca="false">IF(Data!E103="","",Data!E103)</f>
        <v>118</v>
      </c>
      <c r="F103" s="20" t="n">
        <f aca="false">IF(Data!F103="","",Data!F103)</f>
        <v>182</v>
      </c>
      <c r="G103" s="28" t="str">
        <f aca="false">IF(Data!G103="","",IFERROR(VLOOKUP(Data!G103,Codes!$A$18:$B$19,2,FALSE()),"Invalid ("&amp;Data!G103&amp;")"))</f>
        <v>No</v>
      </c>
      <c r="H103" s="28" t="str">
        <f aca="false">IF(Data!H103="","",IFERROR(VLOOKUP(Data!H103,Codes!$A$23:$B$25,2,FALSE()),"Invalid ("&amp;Data!H103&amp;")"))</f>
        <v>Left ventricular hypertrophy</v>
      </c>
      <c r="I103" s="20" t="n">
        <f aca="false">IF(Data!I103="","",Data!I103)</f>
        <v>174</v>
      </c>
      <c r="J103" s="28" t="str">
        <f aca="false">IF(Data!J103="","",IFERROR(VLOOKUP(Data!J103,Codes!$A$29:$B$30,2,FALSE()),"Invalid ("&amp;Data!J103&amp;")"))</f>
        <v>No</v>
      </c>
      <c r="K103" s="21" t="n">
        <f aca="false">IF(Data!K103="","",Data!K103)</f>
        <v>0</v>
      </c>
      <c r="L103" s="28" t="str">
        <f aca="false">IF(Data!L103="","",IFERROR(VLOOKUP(Data!L103,Codes!$A$34:$B$36,2,FALSE()),"Invalid ("&amp;Data!L103&amp;")"))</f>
        <v>Upsloping</v>
      </c>
      <c r="M103" s="20" t="n">
        <f aca="false">IF(Data!M103="","",Data!M103)</f>
        <v>0</v>
      </c>
      <c r="N103" s="28" t="str">
        <f aca="false">IF(Data!N103="","",IFERROR(VLOOKUP(Data!N103,Codes!$A$47:$B$49,2,FALSE()),"Invalid ("&amp;Data!N103&amp;")"))</f>
        <v>Normal</v>
      </c>
      <c r="O103" s="28" t="str">
        <f aca="false">IF(Data!O103="","",IFERROR(VLOOKUP(Data!O103,Codes!$A$53:$B$57,2,FALSE()),"Invalid ("&amp;Data!O103&amp;")"))</f>
        <v>No disease</v>
      </c>
      <c r="P103" s="22" t="str">
        <f aca="false">IF(Data!P103="","",IFERROR(VLOOKUP(Data!P103,Codes!$A$61:$B$64,2,FALSE()),"Invalid ("&amp;Data!P103&amp;")"))</f>
        <v>Cleveland Clinic</v>
      </c>
    </row>
    <row r="104" customFormat="false" ht="15" hidden="false" customHeight="false" outlineLevel="0" collapsed="false">
      <c r="A104" s="19" t="n">
        <f aca="false">Data!A104</f>
        <v>103</v>
      </c>
      <c r="B104" s="20" t="n">
        <f aca="false">IF(Data!B104="","",Data!B104)</f>
        <v>57</v>
      </c>
      <c r="C104" s="28" t="str">
        <f aca="false">IF(Data!C104="","",IFERROR(VLOOKUP(Data!C104,Codes!$A$6:$B$7,2,FALSE()),"Invalid ("&amp;Data!C104&amp;")"))</f>
        <v>Female</v>
      </c>
      <c r="D104" s="28" t="str">
        <f aca="false">IF(Data!D104="","",IFERROR(VLOOKUP(Data!D104,Codes!$A$11:$B$14,2,FALSE()),"Invalid ("&amp;Data!D104&amp;")"))</f>
        <v>Asymptomatic</v>
      </c>
      <c r="E104" s="20" t="n">
        <f aca="false">IF(Data!E104="","",Data!E104)</f>
        <v>128</v>
      </c>
      <c r="F104" s="20" t="n">
        <f aca="false">IF(Data!F104="","",Data!F104)</f>
        <v>303</v>
      </c>
      <c r="G104" s="28" t="str">
        <f aca="false">IF(Data!G104="","",IFERROR(VLOOKUP(Data!G104,Codes!$A$18:$B$19,2,FALSE()),"Invalid ("&amp;Data!G104&amp;")"))</f>
        <v>No</v>
      </c>
      <c r="H104" s="28" t="str">
        <f aca="false">IF(Data!H104="","",IFERROR(VLOOKUP(Data!H104,Codes!$A$23:$B$25,2,FALSE()),"Invalid ("&amp;Data!H104&amp;")"))</f>
        <v>Left ventricular hypertrophy</v>
      </c>
      <c r="I104" s="20" t="n">
        <f aca="false">IF(Data!I104="","",Data!I104)</f>
        <v>159</v>
      </c>
      <c r="J104" s="28" t="str">
        <f aca="false">IF(Data!J104="","",IFERROR(VLOOKUP(Data!J104,Codes!$A$29:$B$30,2,FALSE()),"Invalid ("&amp;Data!J104&amp;")"))</f>
        <v>No</v>
      </c>
      <c r="K104" s="21" t="n">
        <f aca="false">IF(Data!K104="","",Data!K104)</f>
        <v>0</v>
      </c>
      <c r="L104" s="28" t="str">
        <f aca="false">IF(Data!L104="","",IFERROR(VLOOKUP(Data!L104,Codes!$A$34:$B$36,2,FALSE()),"Invalid ("&amp;Data!L104&amp;")"))</f>
        <v>Upsloping</v>
      </c>
      <c r="M104" s="20" t="n">
        <f aca="false">IF(Data!M104="","",Data!M104)</f>
        <v>1</v>
      </c>
      <c r="N104" s="28" t="str">
        <f aca="false">IF(Data!N104="","",IFERROR(VLOOKUP(Data!N104,Codes!$A$47:$B$49,2,FALSE()),"Invalid ("&amp;Data!N104&amp;")"))</f>
        <v>Normal</v>
      </c>
      <c r="O104" s="28" t="str">
        <f aca="false">IF(Data!O104="","",IFERROR(VLOOKUP(Data!O104,Codes!$A$53:$B$57,2,FALSE()),"Invalid ("&amp;Data!O104&amp;")"))</f>
        <v>No disease</v>
      </c>
      <c r="P104" s="22" t="str">
        <f aca="false">IF(Data!P104="","",IFERROR(VLOOKUP(Data!P104,Codes!$A$61:$B$64,2,FALSE()),"Invalid ("&amp;Data!P104&amp;")"))</f>
        <v>Cleveland Clinic</v>
      </c>
    </row>
    <row r="105" customFormat="false" ht="15" hidden="false" customHeight="false" outlineLevel="0" collapsed="false">
      <c r="A105" s="19" t="n">
        <f aca="false">Data!A105</f>
        <v>104</v>
      </c>
      <c r="B105" s="20" t="n">
        <f aca="false">IF(Data!B105="","",Data!B105)</f>
        <v>71</v>
      </c>
      <c r="C105" s="28" t="str">
        <f aca="false">IF(Data!C105="","",IFERROR(VLOOKUP(Data!C105,Codes!$A$6:$B$7,2,FALSE()),"Invalid ("&amp;Data!C105&amp;")"))</f>
        <v>Female</v>
      </c>
      <c r="D105" s="28" t="str">
        <f aca="false">IF(Data!D105="","",IFERROR(VLOOKUP(Data!D105,Codes!$A$11:$B$14,2,FALSE()),"Invalid ("&amp;Data!D105&amp;")"))</f>
        <v>Non-anginal pain</v>
      </c>
      <c r="E105" s="20" t="n">
        <f aca="false">IF(Data!E105="","",Data!E105)</f>
        <v>110</v>
      </c>
      <c r="F105" s="20" t="n">
        <f aca="false">IF(Data!F105="","",Data!F105)</f>
        <v>265</v>
      </c>
      <c r="G105" s="28" t="str">
        <f aca="false">IF(Data!G105="","",IFERROR(VLOOKUP(Data!G105,Codes!$A$18:$B$19,2,FALSE()),"Invalid ("&amp;Data!G105&amp;")"))</f>
        <v>Yes</v>
      </c>
      <c r="H105" s="28" t="str">
        <f aca="false">IF(Data!H105="","",IFERROR(VLOOKUP(Data!H105,Codes!$A$23:$B$25,2,FALSE()),"Invalid ("&amp;Data!H105&amp;")"))</f>
        <v>Left ventricular hypertrophy</v>
      </c>
      <c r="I105" s="20" t="n">
        <f aca="false">IF(Data!I105="","",Data!I105)</f>
        <v>130</v>
      </c>
      <c r="J105" s="28" t="str">
        <f aca="false">IF(Data!J105="","",IFERROR(VLOOKUP(Data!J105,Codes!$A$29:$B$30,2,FALSE()),"Invalid ("&amp;Data!J105&amp;")"))</f>
        <v>No</v>
      </c>
      <c r="K105" s="21" t="n">
        <f aca="false">IF(Data!K105="","",Data!K105)</f>
        <v>0</v>
      </c>
      <c r="L105" s="28" t="str">
        <f aca="false">IF(Data!L105="","",IFERROR(VLOOKUP(Data!L105,Codes!$A$34:$B$36,2,FALSE()),"Invalid ("&amp;Data!L105&amp;")"))</f>
        <v>Upsloping</v>
      </c>
      <c r="M105" s="20" t="n">
        <f aca="false">IF(Data!M105="","",Data!M105)</f>
        <v>1</v>
      </c>
      <c r="N105" s="28" t="str">
        <f aca="false">IF(Data!N105="","",IFERROR(VLOOKUP(Data!N105,Codes!$A$47:$B$49,2,FALSE()),"Invalid ("&amp;Data!N105&amp;")"))</f>
        <v>Normal</v>
      </c>
      <c r="O105" s="28" t="str">
        <f aca="false">IF(Data!O105="","",IFERROR(VLOOKUP(Data!O105,Codes!$A$53:$B$57,2,FALSE()),"Invalid ("&amp;Data!O105&amp;")"))</f>
        <v>No disease</v>
      </c>
      <c r="P105" s="22" t="str">
        <f aca="false">IF(Data!P105="","",IFERROR(VLOOKUP(Data!P105,Codes!$A$61:$B$64,2,FALSE()),"Invalid ("&amp;Data!P105&amp;")"))</f>
        <v>Cleveland Clinic</v>
      </c>
    </row>
    <row r="106" customFormat="false" ht="15" hidden="false" customHeight="false" outlineLevel="0" collapsed="false">
      <c r="A106" s="19" t="n">
        <f aca="false">Data!A106</f>
        <v>105</v>
      </c>
      <c r="B106" s="20" t="n">
        <f aca="false">IF(Data!B106="","",Data!B106)</f>
        <v>49</v>
      </c>
      <c r="C106" s="28" t="str">
        <f aca="false">IF(Data!C106="","",IFERROR(VLOOKUP(Data!C106,Codes!$A$6:$B$7,2,FALSE()),"Invalid ("&amp;Data!C106&amp;")"))</f>
        <v>Male</v>
      </c>
      <c r="D106" s="28" t="str">
        <f aca="false">IF(Data!D106="","",IFERROR(VLOOKUP(Data!D106,Codes!$A$11:$B$14,2,FALSE()),"Invalid ("&amp;Data!D106&amp;")"))</f>
        <v>Non-anginal pain</v>
      </c>
      <c r="E106" s="20" t="n">
        <f aca="false">IF(Data!E106="","",Data!E106)</f>
        <v>120</v>
      </c>
      <c r="F106" s="20" t="n">
        <f aca="false">IF(Data!F106="","",Data!F106)</f>
        <v>188</v>
      </c>
      <c r="G106" s="28" t="str">
        <f aca="false">IF(Data!G106="","",IFERROR(VLOOKUP(Data!G106,Codes!$A$18:$B$19,2,FALSE()),"Invalid ("&amp;Data!G106&amp;")"))</f>
        <v>No</v>
      </c>
      <c r="H106" s="28" t="str">
        <f aca="false">IF(Data!H106="","",IFERROR(VLOOKUP(Data!H106,Codes!$A$23:$B$25,2,FALSE()),"Invalid ("&amp;Data!H106&amp;")"))</f>
        <v>Normal</v>
      </c>
      <c r="I106" s="20" t="n">
        <f aca="false">IF(Data!I106="","",Data!I106)</f>
        <v>139</v>
      </c>
      <c r="J106" s="28" t="str">
        <f aca="false">IF(Data!J106="","",IFERROR(VLOOKUP(Data!J106,Codes!$A$29:$B$30,2,FALSE()),"Invalid ("&amp;Data!J106&amp;")"))</f>
        <v>No</v>
      </c>
      <c r="K106" s="21" t="n">
        <f aca="false">IF(Data!K106="","",Data!K106)</f>
        <v>2</v>
      </c>
      <c r="L106" s="28" t="str">
        <f aca="false">IF(Data!L106="","",IFERROR(VLOOKUP(Data!L106,Codes!$A$34:$B$36,2,FALSE()),"Invalid ("&amp;Data!L106&amp;")"))</f>
        <v>Flat</v>
      </c>
      <c r="M106" s="20" t="n">
        <f aca="false">IF(Data!M106="","",Data!M106)</f>
        <v>3</v>
      </c>
      <c r="N106" s="28" t="str">
        <f aca="false">IF(Data!N106="","",IFERROR(VLOOKUP(Data!N106,Codes!$A$47:$B$49,2,FALSE()),"Invalid ("&amp;Data!N106&amp;")"))</f>
        <v>Reversible defect</v>
      </c>
      <c r="O106" s="28" t="str">
        <f aca="false">IF(Data!O106="","",IFERROR(VLOOKUP(Data!O106,Codes!$A$53:$B$57,2,FALSE()),"Invalid ("&amp;Data!O106&amp;")"))</f>
        <v>Disease (3)</v>
      </c>
      <c r="P106" s="22" t="str">
        <f aca="false">IF(Data!P106="","",IFERROR(VLOOKUP(Data!P106,Codes!$A$61:$B$64,2,FALSE()),"Invalid ("&amp;Data!P106&amp;")"))</f>
        <v>Cleveland Clinic</v>
      </c>
    </row>
    <row r="107" customFormat="false" ht="15" hidden="false" customHeight="false" outlineLevel="0" collapsed="false">
      <c r="A107" s="19" t="n">
        <f aca="false">Data!A107</f>
        <v>106</v>
      </c>
      <c r="B107" s="20" t="n">
        <f aca="false">IF(Data!B107="","",Data!B107)</f>
        <v>54</v>
      </c>
      <c r="C107" s="28" t="str">
        <f aca="false">IF(Data!C107="","",IFERROR(VLOOKUP(Data!C107,Codes!$A$6:$B$7,2,FALSE()),"Invalid ("&amp;Data!C107&amp;")"))</f>
        <v>Male</v>
      </c>
      <c r="D107" s="28" t="str">
        <f aca="false">IF(Data!D107="","",IFERROR(VLOOKUP(Data!D107,Codes!$A$11:$B$14,2,FALSE()),"Invalid ("&amp;Data!D107&amp;")"))</f>
        <v>Atypical angina</v>
      </c>
      <c r="E107" s="20" t="n">
        <f aca="false">IF(Data!E107="","",Data!E107)</f>
        <v>108</v>
      </c>
      <c r="F107" s="20" t="n">
        <f aca="false">IF(Data!F107="","",Data!F107)</f>
        <v>309</v>
      </c>
      <c r="G107" s="28" t="str">
        <f aca="false">IF(Data!G107="","",IFERROR(VLOOKUP(Data!G107,Codes!$A$18:$B$19,2,FALSE()),"Invalid ("&amp;Data!G107&amp;")"))</f>
        <v>No</v>
      </c>
      <c r="H107" s="28" t="str">
        <f aca="false">IF(Data!H107="","",IFERROR(VLOOKUP(Data!H107,Codes!$A$23:$B$25,2,FALSE()),"Invalid ("&amp;Data!H107&amp;")"))</f>
        <v>Normal</v>
      </c>
      <c r="I107" s="20" t="n">
        <f aca="false">IF(Data!I107="","",Data!I107)</f>
        <v>156</v>
      </c>
      <c r="J107" s="28" t="str">
        <f aca="false">IF(Data!J107="","",IFERROR(VLOOKUP(Data!J107,Codes!$A$29:$B$30,2,FALSE()),"Invalid ("&amp;Data!J107&amp;")"))</f>
        <v>No</v>
      </c>
      <c r="K107" s="21" t="n">
        <f aca="false">IF(Data!K107="","",Data!K107)</f>
        <v>0</v>
      </c>
      <c r="L107" s="28" t="str">
        <f aca="false">IF(Data!L107="","",IFERROR(VLOOKUP(Data!L107,Codes!$A$34:$B$36,2,FALSE()),"Invalid ("&amp;Data!L107&amp;")"))</f>
        <v>Upsloping</v>
      </c>
      <c r="M107" s="20" t="n">
        <f aca="false">IF(Data!M107="","",Data!M107)</f>
        <v>0</v>
      </c>
      <c r="N107" s="28" t="str">
        <f aca="false">IF(Data!N107="","",IFERROR(VLOOKUP(Data!N107,Codes!$A$47:$B$49,2,FALSE()),"Invalid ("&amp;Data!N107&amp;")"))</f>
        <v>Reversible defect</v>
      </c>
      <c r="O107" s="28" t="str">
        <f aca="false">IF(Data!O107="","",IFERROR(VLOOKUP(Data!O107,Codes!$A$53:$B$57,2,FALSE()),"Invalid ("&amp;Data!O107&amp;")"))</f>
        <v>No disease</v>
      </c>
      <c r="P107" s="22" t="str">
        <f aca="false">IF(Data!P107="","",IFERROR(VLOOKUP(Data!P107,Codes!$A$61:$B$64,2,FALSE()),"Invalid ("&amp;Data!P107&amp;")"))</f>
        <v>Cleveland Clinic</v>
      </c>
    </row>
    <row r="108" customFormat="false" ht="15" hidden="false" customHeight="false" outlineLevel="0" collapsed="false">
      <c r="A108" s="19" t="n">
        <f aca="false">Data!A108</f>
        <v>107</v>
      </c>
      <c r="B108" s="20" t="n">
        <f aca="false">IF(Data!B108="","",Data!B108)</f>
        <v>59</v>
      </c>
      <c r="C108" s="28" t="str">
        <f aca="false">IF(Data!C108="","",IFERROR(VLOOKUP(Data!C108,Codes!$A$6:$B$7,2,FALSE()),"Invalid ("&amp;Data!C108&amp;")"))</f>
        <v>Male</v>
      </c>
      <c r="D108" s="28" t="str">
        <f aca="false">IF(Data!D108="","",IFERROR(VLOOKUP(Data!D108,Codes!$A$11:$B$14,2,FALSE()),"Invalid ("&amp;Data!D108&amp;")"))</f>
        <v>Asymptomatic</v>
      </c>
      <c r="E108" s="20" t="n">
        <f aca="false">IF(Data!E108="","",Data!E108)</f>
        <v>140</v>
      </c>
      <c r="F108" s="20" t="n">
        <f aca="false">IF(Data!F108="","",Data!F108)</f>
        <v>177</v>
      </c>
      <c r="G108" s="28" t="str">
        <f aca="false">IF(Data!G108="","",IFERROR(VLOOKUP(Data!G108,Codes!$A$18:$B$19,2,FALSE()),"Invalid ("&amp;Data!G108&amp;")"))</f>
        <v>No</v>
      </c>
      <c r="H108" s="28" t="str">
        <f aca="false">IF(Data!H108="","",IFERROR(VLOOKUP(Data!H108,Codes!$A$23:$B$25,2,FALSE()),"Invalid ("&amp;Data!H108&amp;")"))</f>
        <v>Normal</v>
      </c>
      <c r="I108" s="20" t="n">
        <f aca="false">IF(Data!I108="","",Data!I108)</f>
        <v>162</v>
      </c>
      <c r="J108" s="28" t="str">
        <f aca="false">IF(Data!J108="","",IFERROR(VLOOKUP(Data!J108,Codes!$A$29:$B$30,2,FALSE()),"Invalid ("&amp;Data!J108&amp;")"))</f>
        <v>Yes</v>
      </c>
      <c r="K108" s="21" t="n">
        <f aca="false">IF(Data!K108="","",Data!K108)</f>
        <v>0</v>
      </c>
      <c r="L108" s="28" t="str">
        <f aca="false">IF(Data!L108="","",IFERROR(VLOOKUP(Data!L108,Codes!$A$34:$B$36,2,FALSE()),"Invalid ("&amp;Data!L108&amp;")"))</f>
        <v>Upsloping</v>
      </c>
      <c r="M108" s="20" t="n">
        <f aca="false">IF(Data!M108="","",Data!M108)</f>
        <v>1</v>
      </c>
      <c r="N108" s="28" t="str">
        <f aca="false">IF(Data!N108="","",IFERROR(VLOOKUP(Data!N108,Codes!$A$47:$B$49,2,FALSE()),"Invalid ("&amp;Data!N108&amp;")"))</f>
        <v>Reversible defect</v>
      </c>
      <c r="O108" s="28" t="str">
        <f aca="false">IF(Data!O108="","",IFERROR(VLOOKUP(Data!O108,Codes!$A$53:$B$57,2,FALSE()),"Invalid ("&amp;Data!O108&amp;")"))</f>
        <v>Disease (2)</v>
      </c>
      <c r="P108" s="22" t="str">
        <f aca="false">IF(Data!P108="","",IFERROR(VLOOKUP(Data!P108,Codes!$A$61:$B$64,2,FALSE()),"Invalid ("&amp;Data!P108&amp;")"))</f>
        <v>Cleveland Clinic</v>
      </c>
    </row>
    <row r="109" customFormat="false" ht="15" hidden="false" customHeight="false" outlineLevel="0" collapsed="false">
      <c r="A109" s="19" t="n">
        <f aca="false">Data!A109</f>
        <v>108</v>
      </c>
      <c r="B109" s="20" t="n">
        <f aca="false">IF(Data!B109="","",Data!B109)</f>
        <v>57</v>
      </c>
      <c r="C109" s="28" t="str">
        <f aca="false">IF(Data!C109="","",IFERROR(VLOOKUP(Data!C109,Codes!$A$6:$B$7,2,FALSE()),"Invalid ("&amp;Data!C109&amp;")"))</f>
        <v>Male</v>
      </c>
      <c r="D109" s="28" t="str">
        <f aca="false">IF(Data!D109="","",IFERROR(VLOOKUP(Data!D109,Codes!$A$11:$B$14,2,FALSE()),"Invalid ("&amp;Data!D109&amp;")"))</f>
        <v>Non-anginal pain</v>
      </c>
      <c r="E109" s="20" t="n">
        <f aca="false">IF(Data!E109="","",Data!E109)</f>
        <v>128</v>
      </c>
      <c r="F109" s="20" t="n">
        <f aca="false">IF(Data!F109="","",Data!F109)</f>
        <v>229</v>
      </c>
      <c r="G109" s="28" t="str">
        <f aca="false">IF(Data!G109="","",IFERROR(VLOOKUP(Data!G109,Codes!$A$18:$B$19,2,FALSE()),"Invalid ("&amp;Data!G109&amp;")"))</f>
        <v>No</v>
      </c>
      <c r="H109" s="28" t="str">
        <f aca="false">IF(Data!H109="","",IFERROR(VLOOKUP(Data!H109,Codes!$A$23:$B$25,2,FALSE()),"Invalid ("&amp;Data!H109&amp;")"))</f>
        <v>Left ventricular hypertrophy</v>
      </c>
      <c r="I109" s="20" t="n">
        <f aca="false">IF(Data!I109="","",Data!I109)</f>
        <v>150</v>
      </c>
      <c r="J109" s="28" t="str">
        <f aca="false">IF(Data!J109="","",IFERROR(VLOOKUP(Data!J109,Codes!$A$29:$B$30,2,FALSE()),"Invalid ("&amp;Data!J109&amp;")"))</f>
        <v>No</v>
      </c>
      <c r="K109" s="21" t="n">
        <f aca="false">IF(Data!K109="","",Data!K109)</f>
        <v>0.4</v>
      </c>
      <c r="L109" s="28" t="str">
        <f aca="false">IF(Data!L109="","",IFERROR(VLOOKUP(Data!L109,Codes!$A$34:$B$36,2,FALSE()),"Invalid ("&amp;Data!L109&amp;")"))</f>
        <v>Flat</v>
      </c>
      <c r="M109" s="20" t="n">
        <f aca="false">IF(Data!M109="","",Data!M109)</f>
        <v>1</v>
      </c>
      <c r="N109" s="28" t="str">
        <f aca="false">IF(Data!N109="","",IFERROR(VLOOKUP(Data!N109,Codes!$A$47:$B$49,2,FALSE()),"Invalid ("&amp;Data!N109&amp;")"))</f>
        <v>Reversible defect</v>
      </c>
      <c r="O109" s="28" t="str">
        <f aca="false">IF(Data!O109="","",IFERROR(VLOOKUP(Data!O109,Codes!$A$53:$B$57,2,FALSE()),"Invalid ("&amp;Data!O109&amp;")"))</f>
        <v>Disease (1)</v>
      </c>
      <c r="P109" s="22" t="str">
        <f aca="false">IF(Data!P109="","",IFERROR(VLOOKUP(Data!P109,Codes!$A$61:$B$64,2,FALSE()),"Invalid ("&amp;Data!P109&amp;")"))</f>
        <v>Cleveland Clinic</v>
      </c>
    </row>
    <row r="110" customFormat="false" ht="15" hidden="false" customHeight="false" outlineLevel="0" collapsed="false">
      <c r="A110" s="19" t="n">
        <f aca="false">Data!A110</f>
        <v>109</v>
      </c>
      <c r="B110" s="20" t="n">
        <f aca="false">IF(Data!B110="","",Data!B110)</f>
        <v>61</v>
      </c>
      <c r="C110" s="28" t="str">
        <f aca="false">IF(Data!C110="","",IFERROR(VLOOKUP(Data!C110,Codes!$A$6:$B$7,2,FALSE()),"Invalid ("&amp;Data!C110&amp;")"))</f>
        <v>Male</v>
      </c>
      <c r="D110" s="28" t="str">
        <f aca="false">IF(Data!D110="","",IFERROR(VLOOKUP(Data!D110,Codes!$A$11:$B$14,2,FALSE()),"Invalid ("&amp;Data!D110&amp;")"))</f>
        <v>Asymptomatic</v>
      </c>
      <c r="E110" s="20" t="n">
        <f aca="false">IF(Data!E110="","",Data!E110)</f>
        <v>120</v>
      </c>
      <c r="F110" s="20" t="n">
        <f aca="false">IF(Data!F110="","",Data!F110)</f>
        <v>260</v>
      </c>
      <c r="G110" s="28" t="str">
        <f aca="false">IF(Data!G110="","",IFERROR(VLOOKUP(Data!G110,Codes!$A$18:$B$19,2,FALSE()),"Invalid ("&amp;Data!G110&amp;")"))</f>
        <v>No</v>
      </c>
      <c r="H110" s="28" t="str">
        <f aca="false">IF(Data!H110="","",IFERROR(VLOOKUP(Data!H110,Codes!$A$23:$B$25,2,FALSE()),"Invalid ("&amp;Data!H110&amp;")"))</f>
        <v>Normal</v>
      </c>
      <c r="I110" s="20" t="n">
        <f aca="false">IF(Data!I110="","",Data!I110)</f>
        <v>140</v>
      </c>
      <c r="J110" s="28" t="str">
        <f aca="false">IF(Data!J110="","",IFERROR(VLOOKUP(Data!J110,Codes!$A$29:$B$30,2,FALSE()),"Invalid ("&amp;Data!J110&amp;")"))</f>
        <v>Yes</v>
      </c>
      <c r="K110" s="21" t="n">
        <f aca="false">IF(Data!K110="","",Data!K110)</f>
        <v>3.6</v>
      </c>
      <c r="L110" s="28" t="str">
        <f aca="false">IF(Data!L110="","",IFERROR(VLOOKUP(Data!L110,Codes!$A$34:$B$36,2,FALSE()),"Invalid ("&amp;Data!L110&amp;")"))</f>
        <v>Flat</v>
      </c>
      <c r="M110" s="20" t="n">
        <f aca="false">IF(Data!M110="","",Data!M110)</f>
        <v>1</v>
      </c>
      <c r="N110" s="28" t="str">
        <f aca="false">IF(Data!N110="","",IFERROR(VLOOKUP(Data!N110,Codes!$A$47:$B$49,2,FALSE()),"Invalid ("&amp;Data!N110&amp;")"))</f>
        <v>Reversible defect</v>
      </c>
      <c r="O110" s="28" t="str">
        <f aca="false">IF(Data!O110="","",IFERROR(VLOOKUP(Data!O110,Codes!$A$53:$B$57,2,FALSE()),"Invalid ("&amp;Data!O110&amp;")"))</f>
        <v>Disease (2)</v>
      </c>
      <c r="P110" s="22" t="str">
        <f aca="false">IF(Data!P110="","",IFERROR(VLOOKUP(Data!P110,Codes!$A$61:$B$64,2,FALSE()),"Invalid ("&amp;Data!P110&amp;")"))</f>
        <v>Cleveland Clinic</v>
      </c>
    </row>
    <row r="111" customFormat="false" ht="15" hidden="false" customHeight="false" outlineLevel="0" collapsed="false">
      <c r="A111" s="19" t="n">
        <f aca="false">Data!A111</f>
        <v>110</v>
      </c>
      <c r="B111" s="20" t="n">
        <f aca="false">IF(Data!B111="","",Data!B111)</f>
        <v>39</v>
      </c>
      <c r="C111" s="28" t="str">
        <f aca="false">IF(Data!C111="","",IFERROR(VLOOKUP(Data!C111,Codes!$A$6:$B$7,2,FALSE()),"Invalid ("&amp;Data!C111&amp;")"))</f>
        <v>Male</v>
      </c>
      <c r="D111" s="28" t="str">
        <f aca="false">IF(Data!D111="","",IFERROR(VLOOKUP(Data!D111,Codes!$A$11:$B$14,2,FALSE()),"Invalid ("&amp;Data!D111&amp;")"))</f>
        <v>Asymptomatic</v>
      </c>
      <c r="E111" s="20" t="n">
        <f aca="false">IF(Data!E111="","",Data!E111)</f>
        <v>118</v>
      </c>
      <c r="F111" s="20" t="n">
        <f aca="false">IF(Data!F111="","",Data!F111)</f>
        <v>219</v>
      </c>
      <c r="G111" s="28" t="str">
        <f aca="false">IF(Data!G111="","",IFERROR(VLOOKUP(Data!G111,Codes!$A$18:$B$19,2,FALSE()),"Invalid ("&amp;Data!G111&amp;")"))</f>
        <v>No</v>
      </c>
      <c r="H111" s="28" t="str">
        <f aca="false">IF(Data!H111="","",IFERROR(VLOOKUP(Data!H111,Codes!$A$23:$B$25,2,FALSE()),"Invalid ("&amp;Data!H111&amp;")"))</f>
        <v>Normal</v>
      </c>
      <c r="I111" s="20" t="n">
        <f aca="false">IF(Data!I111="","",Data!I111)</f>
        <v>140</v>
      </c>
      <c r="J111" s="28" t="str">
        <f aca="false">IF(Data!J111="","",IFERROR(VLOOKUP(Data!J111,Codes!$A$29:$B$30,2,FALSE()),"Invalid ("&amp;Data!J111&amp;")"))</f>
        <v>No</v>
      </c>
      <c r="K111" s="21" t="n">
        <f aca="false">IF(Data!K111="","",Data!K111)</f>
        <v>1.2</v>
      </c>
      <c r="L111" s="28" t="str">
        <f aca="false">IF(Data!L111="","",IFERROR(VLOOKUP(Data!L111,Codes!$A$34:$B$36,2,FALSE()),"Invalid ("&amp;Data!L111&amp;")"))</f>
        <v>Flat</v>
      </c>
      <c r="M111" s="20" t="n">
        <f aca="false">IF(Data!M111="","",Data!M111)</f>
        <v>0</v>
      </c>
      <c r="N111" s="28" t="str">
        <f aca="false">IF(Data!N111="","",IFERROR(VLOOKUP(Data!N111,Codes!$A$47:$B$49,2,FALSE()),"Invalid ("&amp;Data!N111&amp;")"))</f>
        <v>Reversible defect</v>
      </c>
      <c r="O111" s="28" t="str">
        <f aca="false">IF(Data!O111="","",IFERROR(VLOOKUP(Data!O111,Codes!$A$53:$B$57,2,FALSE()),"Invalid ("&amp;Data!O111&amp;")"))</f>
        <v>Disease (3)</v>
      </c>
      <c r="P111" s="22" t="str">
        <f aca="false">IF(Data!P111="","",IFERROR(VLOOKUP(Data!P111,Codes!$A$61:$B$64,2,FALSE()),"Invalid ("&amp;Data!P111&amp;")"))</f>
        <v>Cleveland Clinic</v>
      </c>
    </row>
    <row r="112" customFormat="false" ht="15" hidden="false" customHeight="false" outlineLevel="0" collapsed="false">
      <c r="A112" s="19" t="n">
        <f aca="false">Data!A112</f>
        <v>111</v>
      </c>
      <c r="B112" s="20" t="n">
        <f aca="false">IF(Data!B112="","",Data!B112)</f>
        <v>61</v>
      </c>
      <c r="C112" s="28" t="str">
        <f aca="false">IF(Data!C112="","",IFERROR(VLOOKUP(Data!C112,Codes!$A$6:$B$7,2,FALSE()),"Invalid ("&amp;Data!C112&amp;")"))</f>
        <v>Female</v>
      </c>
      <c r="D112" s="28" t="str">
        <f aca="false">IF(Data!D112="","",IFERROR(VLOOKUP(Data!D112,Codes!$A$11:$B$14,2,FALSE()),"Invalid ("&amp;Data!D112&amp;")"))</f>
        <v>Asymptomatic</v>
      </c>
      <c r="E112" s="20" t="n">
        <f aca="false">IF(Data!E112="","",Data!E112)</f>
        <v>145</v>
      </c>
      <c r="F112" s="20" t="n">
        <f aca="false">IF(Data!F112="","",Data!F112)</f>
        <v>307</v>
      </c>
      <c r="G112" s="28" t="str">
        <f aca="false">IF(Data!G112="","",IFERROR(VLOOKUP(Data!G112,Codes!$A$18:$B$19,2,FALSE()),"Invalid ("&amp;Data!G112&amp;")"))</f>
        <v>No</v>
      </c>
      <c r="H112" s="28" t="str">
        <f aca="false">IF(Data!H112="","",IFERROR(VLOOKUP(Data!H112,Codes!$A$23:$B$25,2,FALSE()),"Invalid ("&amp;Data!H112&amp;")"))</f>
        <v>Left ventricular hypertrophy</v>
      </c>
      <c r="I112" s="20" t="n">
        <f aca="false">IF(Data!I112="","",Data!I112)</f>
        <v>146</v>
      </c>
      <c r="J112" s="28" t="str">
        <f aca="false">IF(Data!J112="","",IFERROR(VLOOKUP(Data!J112,Codes!$A$29:$B$30,2,FALSE()),"Invalid ("&amp;Data!J112&amp;")"))</f>
        <v>Yes</v>
      </c>
      <c r="K112" s="21" t="n">
        <f aca="false">IF(Data!K112="","",Data!K112)</f>
        <v>1</v>
      </c>
      <c r="L112" s="28" t="str">
        <f aca="false">IF(Data!L112="","",IFERROR(VLOOKUP(Data!L112,Codes!$A$34:$B$36,2,FALSE()),"Invalid ("&amp;Data!L112&amp;")"))</f>
        <v>Flat</v>
      </c>
      <c r="M112" s="20" t="n">
        <f aca="false">IF(Data!M112="","",Data!M112)</f>
        <v>0</v>
      </c>
      <c r="N112" s="28" t="str">
        <f aca="false">IF(Data!N112="","",IFERROR(VLOOKUP(Data!N112,Codes!$A$47:$B$49,2,FALSE()),"Invalid ("&amp;Data!N112&amp;")"))</f>
        <v>Reversible defect</v>
      </c>
      <c r="O112" s="28" t="str">
        <f aca="false">IF(Data!O112="","",IFERROR(VLOOKUP(Data!O112,Codes!$A$53:$B$57,2,FALSE()),"Invalid ("&amp;Data!O112&amp;")"))</f>
        <v>Disease (1)</v>
      </c>
      <c r="P112" s="22" t="str">
        <f aca="false">IF(Data!P112="","",IFERROR(VLOOKUP(Data!P112,Codes!$A$61:$B$64,2,FALSE()),"Invalid ("&amp;Data!P112&amp;")"))</f>
        <v>Cleveland Clinic</v>
      </c>
    </row>
    <row r="113" customFormat="false" ht="15" hidden="false" customHeight="false" outlineLevel="0" collapsed="false">
      <c r="A113" s="19" t="n">
        <f aca="false">Data!A113</f>
        <v>112</v>
      </c>
      <c r="B113" s="20" t="n">
        <f aca="false">IF(Data!B113="","",Data!B113)</f>
        <v>56</v>
      </c>
      <c r="C113" s="28" t="str">
        <f aca="false">IF(Data!C113="","",IFERROR(VLOOKUP(Data!C113,Codes!$A$6:$B$7,2,FALSE()),"Invalid ("&amp;Data!C113&amp;")"))</f>
        <v>Male</v>
      </c>
      <c r="D113" s="28" t="str">
        <f aca="false">IF(Data!D113="","",IFERROR(VLOOKUP(Data!D113,Codes!$A$11:$B$14,2,FALSE()),"Invalid ("&amp;Data!D113&amp;")"))</f>
        <v>Asymptomatic</v>
      </c>
      <c r="E113" s="20" t="n">
        <f aca="false">IF(Data!E113="","",Data!E113)</f>
        <v>125</v>
      </c>
      <c r="F113" s="20" t="n">
        <f aca="false">IF(Data!F113="","",Data!F113)</f>
        <v>249</v>
      </c>
      <c r="G113" s="28" t="str">
        <f aca="false">IF(Data!G113="","",IFERROR(VLOOKUP(Data!G113,Codes!$A$18:$B$19,2,FALSE()),"Invalid ("&amp;Data!G113&amp;")"))</f>
        <v>Yes</v>
      </c>
      <c r="H113" s="28" t="str">
        <f aca="false">IF(Data!H113="","",IFERROR(VLOOKUP(Data!H113,Codes!$A$23:$B$25,2,FALSE()),"Invalid ("&amp;Data!H113&amp;")"))</f>
        <v>Left ventricular hypertrophy</v>
      </c>
      <c r="I113" s="20" t="n">
        <f aca="false">IF(Data!I113="","",Data!I113)</f>
        <v>144</v>
      </c>
      <c r="J113" s="28" t="str">
        <f aca="false">IF(Data!J113="","",IFERROR(VLOOKUP(Data!J113,Codes!$A$29:$B$30,2,FALSE()),"Invalid ("&amp;Data!J113&amp;")"))</f>
        <v>Yes</v>
      </c>
      <c r="K113" s="21" t="n">
        <f aca="false">IF(Data!K113="","",Data!K113)</f>
        <v>1.2</v>
      </c>
      <c r="L113" s="28" t="str">
        <f aca="false">IF(Data!L113="","",IFERROR(VLOOKUP(Data!L113,Codes!$A$34:$B$36,2,FALSE()),"Invalid ("&amp;Data!L113&amp;")"))</f>
        <v>Flat</v>
      </c>
      <c r="M113" s="20" t="n">
        <f aca="false">IF(Data!M113="","",Data!M113)</f>
        <v>1</v>
      </c>
      <c r="N113" s="28" t="str">
        <f aca="false">IF(Data!N113="","",IFERROR(VLOOKUP(Data!N113,Codes!$A$47:$B$49,2,FALSE()),"Invalid ("&amp;Data!N113&amp;")"))</f>
        <v>Normal</v>
      </c>
      <c r="O113" s="28" t="str">
        <f aca="false">IF(Data!O113="","",IFERROR(VLOOKUP(Data!O113,Codes!$A$53:$B$57,2,FALSE()),"Invalid ("&amp;Data!O113&amp;")"))</f>
        <v>Disease (1)</v>
      </c>
      <c r="P113" s="22" t="str">
        <f aca="false">IF(Data!P113="","",IFERROR(VLOOKUP(Data!P113,Codes!$A$61:$B$64,2,FALSE()),"Invalid ("&amp;Data!P113&amp;")"))</f>
        <v>Cleveland Clinic</v>
      </c>
    </row>
    <row r="114" customFormat="false" ht="15" hidden="false" customHeight="false" outlineLevel="0" collapsed="false">
      <c r="A114" s="19" t="n">
        <f aca="false">Data!A114</f>
        <v>113</v>
      </c>
      <c r="B114" s="20" t="n">
        <f aca="false">IF(Data!B114="","",Data!B114)</f>
        <v>52</v>
      </c>
      <c r="C114" s="28" t="str">
        <f aca="false">IF(Data!C114="","",IFERROR(VLOOKUP(Data!C114,Codes!$A$6:$B$7,2,FALSE()),"Invalid ("&amp;Data!C114&amp;")"))</f>
        <v>Male</v>
      </c>
      <c r="D114" s="28" t="str">
        <f aca="false">IF(Data!D114="","",IFERROR(VLOOKUP(Data!D114,Codes!$A$11:$B$14,2,FALSE()),"Invalid ("&amp;Data!D114&amp;")"))</f>
        <v>Typical angina</v>
      </c>
      <c r="E114" s="20" t="n">
        <f aca="false">IF(Data!E114="","",Data!E114)</f>
        <v>118</v>
      </c>
      <c r="F114" s="20" t="n">
        <f aca="false">IF(Data!F114="","",Data!F114)</f>
        <v>186</v>
      </c>
      <c r="G114" s="28" t="str">
        <f aca="false">IF(Data!G114="","",IFERROR(VLOOKUP(Data!G114,Codes!$A$18:$B$19,2,FALSE()),"Invalid ("&amp;Data!G114&amp;")"))</f>
        <v>No</v>
      </c>
      <c r="H114" s="28" t="str">
        <f aca="false">IF(Data!H114="","",IFERROR(VLOOKUP(Data!H114,Codes!$A$23:$B$25,2,FALSE()),"Invalid ("&amp;Data!H114&amp;")"))</f>
        <v>Left ventricular hypertrophy</v>
      </c>
      <c r="I114" s="20" t="n">
        <f aca="false">IF(Data!I114="","",Data!I114)</f>
        <v>190</v>
      </c>
      <c r="J114" s="28" t="str">
        <f aca="false">IF(Data!J114="","",IFERROR(VLOOKUP(Data!J114,Codes!$A$29:$B$30,2,FALSE()),"Invalid ("&amp;Data!J114&amp;")"))</f>
        <v>No</v>
      </c>
      <c r="K114" s="21" t="n">
        <f aca="false">IF(Data!K114="","",Data!K114)</f>
        <v>0</v>
      </c>
      <c r="L114" s="28" t="str">
        <f aca="false">IF(Data!L114="","",IFERROR(VLOOKUP(Data!L114,Codes!$A$34:$B$36,2,FALSE()),"Invalid ("&amp;Data!L114&amp;")"))</f>
        <v>Flat</v>
      </c>
      <c r="M114" s="20" t="n">
        <f aca="false">IF(Data!M114="","",Data!M114)</f>
        <v>0</v>
      </c>
      <c r="N114" s="28" t="str">
        <f aca="false">IF(Data!N114="","",IFERROR(VLOOKUP(Data!N114,Codes!$A$47:$B$49,2,FALSE()),"Invalid ("&amp;Data!N114&amp;")"))</f>
        <v>Fixed defect</v>
      </c>
      <c r="O114" s="28" t="str">
        <f aca="false">IF(Data!O114="","",IFERROR(VLOOKUP(Data!O114,Codes!$A$53:$B$57,2,FALSE()),"Invalid ("&amp;Data!O114&amp;")"))</f>
        <v>No disease</v>
      </c>
      <c r="P114" s="22" t="str">
        <f aca="false">IF(Data!P114="","",IFERROR(VLOOKUP(Data!P114,Codes!$A$61:$B$64,2,FALSE()),"Invalid ("&amp;Data!P114&amp;")"))</f>
        <v>Cleveland Clinic</v>
      </c>
    </row>
    <row r="115" customFormat="false" ht="15" hidden="false" customHeight="false" outlineLevel="0" collapsed="false">
      <c r="A115" s="19" t="n">
        <f aca="false">Data!A115</f>
        <v>114</v>
      </c>
      <c r="B115" s="20" t="n">
        <f aca="false">IF(Data!B115="","",Data!B115)</f>
        <v>43</v>
      </c>
      <c r="C115" s="28" t="str">
        <f aca="false">IF(Data!C115="","",IFERROR(VLOOKUP(Data!C115,Codes!$A$6:$B$7,2,FALSE()),"Invalid ("&amp;Data!C115&amp;")"))</f>
        <v>Female</v>
      </c>
      <c r="D115" s="28" t="str">
        <f aca="false">IF(Data!D115="","",IFERROR(VLOOKUP(Data!D115,Codes!$A$11:$B$14,2,FALSE()),"Invalid ("&amp;Data!D115&amp;")"))</f>
        <v>Asymptomatic</v>
      </c>
      <c r="E115" s="20" t="n">
        <f aca="false">IF(Data!E115="","",Data!E115)</f>
        <v>132</v>
      </c>
      <c r="F115" s="20" t="n">
        <f aca="false">IF(Data!F115="","",Data!F115)</f>
        <v>341</v>
      </c>
      <c r="G115" s="28" t="str">
        <f aca="false">IF(Data!G115="","",IFERROR(VLOOKUP(Data!G115,Codes!$A$18:$B$19,2,FALSE()),"Invalid ("&amp;Data!G115&amp;")"))</f>
        <v>Yes</v>
      </c>
      <c r="H115" s="28" t="str">
        <f aca="false">IF(Data!H115="","",IFERROR(VLOOKUP(Data!H115,Codes!$A$23:$B$25,2,FALSE()),"Invalid ("&amp;Data!H115&amp;")"))</f>
        <v>Left ventricular hypertrophy</v>
      </c>
      <c r="I115" s="20" t="n">
        <f aca="false">IF(Data!I115="","",Data!I115)</f>
        <v>136</v>
      </c>
      <c r="J115" s="28" t="str">
        <f aca="false">IF(Data!J115="","",IFERROR(VLOOKUP(Data!J115,Codes!$A$29:$B$30,2,FALSE()),"Invalid ("&amp;Data!J115&amp;")"))</f>
        <v>Yes</v>
      </c>
      <c r="K115" s="21" t="n">
        <f aca="false">IF(Data!K115="","",Data!K115)</f>
        <v>3</v>
      </c>
      <c r="L115" s="28" t="str">
        <f aca="false">IF(Data!L115="","",IFERROR(VLOOKUP(Data!L115,Codes!$A$34:$B$36,2,FALSE()),"Invalid ("&amp;Data!L115&amp;")"))</f>
        <v>Flat</v>
      </c>
      <c r="M115" s="20" t="n">
        <f aca="false">IF(Data!M115="","",Data!M115)</f>
        <v>0</v>
      </c>
      <c r="N115" s="28" t="str">
        <f aca="false">IF(Data!N115="","",IFERROR(VLOOKUP(Data!N115,Codes!$A$47:$B$49,2,FALSE()),"Invalid ("&amp;Data!N115&amp;")"))</f>
        <v>Reversible defect</v>
      </c>
      <c r="O115" s="28" t="str">
        <f aca="false">IF(Data!O115="","",IFERROR(VLOOKUP(Data!O115,Codes!$A$53:$B$57,2,FALSE()),"Invalid ("&amp;Data!O115&amp;")"))</f>
        <v>Disease (2)</v>
      </c>
      <c r="P115" s="22" t="str">
        <f aca="false">IF(Data!P115="","",IFERROR(VLOOKUP(Data!P115,Codes!$A$61:$B$64,2,FALSE()),"Invalid ("&amp;Data!P115&amp;")"))</f>
        <v>Cleveland Clinic</v>
      </c>
    </row>
    <row r="116" customFormat="false" ht="15" hidden="false" customHeight="false" outlineLevel="0" collapsed="false">
      <c r="A116" s="19" t="n">
        <f aca="false">Data!A116</f>
        <v>115</v>
      </c>
      <c r="B116" s="20" t="n">
        <f aca="false">IF(Data!B116="","",Data!B116)</f>
        <v>62</v>
      </c>
      <c r="C116" s="28" t="str">
        <f aca="false">IF(Data!C116="","",IFERROR(VLOOKUP(Data!C116,Codes!$A$6:$B$7,2,FALSE()),"Invalid ("&amp;Data!C116&amp;")"))</f>
        <v>Female</v>
      </c>
      <c r="D116" s="28" t="str">
        <f aca="false">IF(Data!D116="","",IFERROR(VLOOKUP(Data!D116,Codes!$A$11:$B$14,2,FALSE()),"Invalid ("&amp;Data!D116&amp;")"))</f>
        <v>Non-anginal pain</v>
      </c>
      <c r="E116" s="20" t="n">
        <f aca="false">IF(Data!E116="","",Data!E116)</f>
        <v>130</v>
      </c>
      <c r="F116" s="20" t="n">
        <f aca="false">IF(Data!F116="","",Data!F116)</f>
        <v>263</v>
      </c>
      <c r="G116" s="28" t="str">
        <f aca="false">IF(Data!G116="","",IFERROR(VLOOKUP(Data!G116,Codes!$A$18:$B$19,2,FALSE()),"Invalid ("&amp;Data!G116&amp;")"))</f>
        <v>No</v>
      </c>
      <c r="H116" s="28" t="str">
        <f aca="false">IF(Data!H116="","",IFERROR(VLOOKUP(Data!H116,Codes!$A$23:$B$25,2,FALSE()),"Invalid ("&amp;Data!H116&amp;")"))</f>
        <v>Normal</v>
      </c>
      <c r="I116" s="20" t="n">
        <f aca="false">IF(Data!I116="","",Data!I116)</f>
        <v>97</v>
      </c>
      <c r="J116" s="28" t="str">
        <f aca="false">IF(Data!J116="","",IFERROR(VLOOKUP(Data!J116,Codes!$A$29:$B$30,2,FALSE()),"Invalid ("&amp;Data!J116&amp;")"))</f>
        <v>No</v>
      </c>
      <c r="K116" s="21" t="n">
        <f aca="false">IF(Data!K116="","",Data!K116)</f>
        <v>1.2</v>
      </c>
      <c r="L116" s="28" t="str">
        <f aca="false">IF(Data!L116="","",IFERROR(VLOOKUP(Data!L116,Codes!$A$34:$B$36,2,FALSE()),"Invalid ("&amp;Data!L116&amp;")"))</f>
        <v>Flat</v>
      </c>
      <c r="M116" s="20" t="n">
        <f aca="false">IF(Data!M116="","",Data!M116)</f>
        <v>1</v>
      </c>
      <c r="N116" s="28" t="str">
        <f aca="false">IF(Data!N116="","",IFERROR(VLOOKUP(Data!N116,Codes!$A$47:$B$49,2,FALSE()),"Invalid ("&amp;Data!N116&amp;")"))</f>
        <v>Reversible defect</v>
      </c>
      <c r="O116" s="28" t="str">
        <f aca="false">IF(Data!O116="","",IFERROR(VLOOKUP(Data!O116,Codes!$A$53:$B$57,2,FALSE()),"Invalid ("&amp;Data!O116&amp;")"))</f>
        <v>Disease (2)</v>
      </c>
      <c r="P116" s="22" t="str">
        <f aca="false">IF(Data!P116="","",IFERROR(VLOOKUP(Data!P116,Codes!$A$61:$B$64,2,FALSE()),"Invalid ("&amp;Data!P116&amp;")"))</f>
        <v>Cleveland Clinic</v>
      </c>
    </row>
    <row r="117" customFormat="false" ht="15" hidden="false" customHeight="false" outlineLevel="0" collapsed="false">
      <c r="A117" s="19" t="n">
        <f aca="false">Data!A117</f>
        <v>116</v>
      </c>
      <c r="B117" s="20" t="n">
        <f aca="false">IF(Data!B117="","",Data!B117)</f>
        <v>41</v>
      </c>
      <c r="C117" s="28" t="str">
        <f aca="false">IF(Data!C117="","",IFERROR(VLOOKUP(Data!C117,Codes!$A$6:$B$7,2,FALSE()),"Invalid ("&amp;Data!C117&amp;")"))</f>
        <v>Male</v>
      </c>
      <c r="D117" s="28" t="str">
        <f aca="false">IF(Data!D117="","",IFERROR(VLOOKUP(Data!D117,Codes!$A$11:$B$14,2,FALSE()),"Invalid ("&amp;Data!D117&amp;")"))</f>
        <v>Atypical angina</v>
      </c>
      <c r="E117" s="20" t="n">
        <f aca="false">IF(Data!E117="","",Data!E117)</f>
        <v>135</v>
      </c>
      <c r="F117" s="20" t="n">
        <f aca="false">IF(Data!F117="","",Data!F117)</f>
        <v>203</v>
      </c>
      <c r="G117" s="28" t="str">
        <f aca="false">IF(Data!G117="","",IFERROR(VLOOKUP(Data!G117,Codes!$A$18:$B$19,2,FALSE()),"Invalid ("&amp;Data!G117&amp;")"))</f>
        <v>No</v>
      </c>
      <c r="H117" s="28" t="str">
        <f aca="false">IF(Data!H117="","",IFERROR(VLOOKUP(Data!H117,Codes!$A$23:$B$25,2,FALSE()),"Invalid ("&amp;Data!H117&amp;")"))</f>
        <v>Normal</v>
      </c>
      <c r="I117" s="20" t="n">
        <f aca="false">IF(Data!I117="","",Data!I117)</f>
        <v>132</v>
      </c>
      <c r="J117" s="28" t="str">
        <f aca="false">IF(Data!J117="","",IFERROR(VLOOKUP(Data!J117,Codes!$A$29:$B$30,2,FALSE()),"Invalid ("&amp;Data!J117&amp;")"))</f>
        <v>No</v>
      </c>
      <c r="K117" s="21" t="n">
        <f aca="false">IF(Data!K117="","",Data!K117)</f>
        <v>0</v>
      </c>
      <c r="L117" s="28" t="str">
        <f aca="false">IF(Data!L117="","",IFERROR(VLOOKUP(Data!L117,Codes!$A$34:$B$36,2,FALSE()),"Invalid ("&amp;Data!L117&amp;")"))</f>
        <v>Flat</v>
      </c>
      <c r="M117" s="20" t="n">
        <f aca="false">IF(Data!M117="","",Data!M117)</f>
        <v>0</v>
      </c>
      <c r="N117" s="28" t="str">
        <f aca="false">IF(Data!N117="","",IFERROR(VLOOKUP(Data!N117,Codes!$A$47:$B$49,2,FALSE()),"Invalid ("&amp;Data!N117&amp;")"))</f>
        <v>Fixed defect</v>
      </c>
      <c r="O117" s="28" t="str">
        <f aca="false">IF(Data!O117="","",IFERROR(VLOOKUP(Data!O117,Codes!$A$53:$B$57,2,FALSE()),"Invalid ("&amp;Data!O117&amp;")"))</f>
        <v>No disease</v>
      </c>
      <c r="P117" s="22" t="str">
        <f aca="false">IF(Data!P117="","",IFERROR(VLOOKUP(Data!P117,Codes!$A$61:$B$64,2,FALSE()),"Invalid ("&amp;Data!P117&amp;")"))</f>
        <v>Cleveland Clinic</v>
      </c>
    </row>
    <row r="118" customFormat="false" ht="15" hidden="false" customHeight="false" outlineLevel="0" collapsed="false">
      <c r="A118" s="19" t="n">
        <f aca="false">Data!A118</f>
        <v>117</v>
      </c>
      <c r="B118" s="20" t="n">
        <f aca="false">IF(Data!B118="","",Data!B118)</f>
        <v>58</v>
      </c>
      <c r="C118" s="28" t="str">
        <f aca="false">IF(Data!C118="","",IFERROR(VLOOKUP(Data!C118,Codes!$A$6:$B$7,2,FALSE()),"Invalid ("&amp;Data!C118&amp;")"))</f>
        <v>Male</v>
      </c>
      <c r="D118" s="28" t="str">
        <f aca="false">IF(Data!D118="","",IFERROR(VLOOKUP(Data!D118,Codes!$A$11:$B$14,2,FALSE()),"Invalid ("&amp;Data!D118&amp;")"))</f>
        <v>Non-anginal pain</v>
      </c>
      <c r="E118" s="20" t="n">
        <f aca="false">IF(Data!E118="","",Data!E118)</f>
        <v>140</v>
      </c>
      <c r="F118" s="20" t="n">
        <f aca="false">IF(Data!F118="","",Data!F118)</f>
        <v>211</v>
      </c>
      <c r="G118" s="28" t="str">
        <f aca="false">IF(Data!G118="","",IFERROR(VLOOKUP(Data!G118,Codes!$A$18:$B$19,2,FALSE()),"Invalid ("&amp;Data!G118&amp;")"))</f>
        <v>Yes</v>
      </c>
      <c r="H118" s="28" t="str">
        <f aca="false">IF(Data!H118="","",IFERROR(VLOOKUP(Data!H118,Codes!$A$23:$B$25,2,FALSE()),"Invalid ("&amp;Data!H118&amp;")"))</f>
        <v>Left ventricular hypertrophy</v>
      </c>
      <c r="I118" s="20" t="n">
        <f aca="false">IF(Data!I118="","",Data!I118)</f>
        <v>165</v>
      </c>
      <c r="J118" s="28" t="str">
        <f aca="false">IF(Data!J118="","",IFERROR(VLOOKUP(Data!J118,Codes!$A$29:$B$30,2,FALSE()),"Invalid ("&amp;Data!J118&amp;")"))</f>
        <v>No</v>
      </c>
      <c r="K118" s="21" t="n">
        <f aca="false">IF(Data!K118="","",Data!K118)</f>
        <v>0</v>
      </c>
      <c r="L118" s="28" t="str">
        <f aca="false">IF(Data!L118="","",IFERROR(VLOOKUP(Data!L118,Codes!$A$34:$B$36,2,FALSE()),"Invalid ("&amp;Data!L118&amp;")"))</f>
        <v>Upsloping</v>
      </c>
      <c r="M118" s="20" t="n">
        <f aca="false">IF(Data!M118="","",Data!M118)</f>
        <v>0</v>
      </c>
      <c r="N118" s="28" t="str">
        <f aca="false">IF(Data!N118="","",IFERROR(VLOOKUP(Data!N118,Codes!$A$47:$B$49,2,FALSE()),"Invalid ("&amp;Data!N118&amp;")"))</f>
        <v>Normal</v>
      </c>
      <c r="O118" s="28" t="str">
        <f aca="false">IF(Data!O118="","",IFERROR(VLOOKUP(Data!O118,Codes!$A$53:$B$57,2,FALSE()),"Invalid ("&amp;Data!O118&amp;")"))</f>
        <v>No disease</v>
      </c>
      <c r="P118" s="22" t="str">
        <f aca="false">IF(Data!P118="","",IFERROR(VLOOKUP(Data!P118,Codes!$A$61:$B$64,2,FALSE()),"Invalid ("&amp;Data!P118&amp;")"))</f>
        <v>Cleveland Clinic</v>
      </c>
    </row>
    <row r="119" customFormat="false" ht="15" hidden="false" customHeight="false" outlineLevel="0" collapsed="false">
      <c r="A119" s="19" t="n">
        <f aca="false">Data!A119</f>
        <v>118</v>
      </c>
      <c r="B119" s="20" t="n">
        <f aca="false">IF(Data!B119="","",Data!B119)</f>
        <v>35</v>
      </c>
      <c r="C119" s="28" t="str">
        <f aca="false">IF(Data!C119="","",IFERROR(VLOOKUP(Data!C119,Codes!$A$6:$B$7,2,FALSE()),"Invalid ("&amp;Data!C119&amp;")"))</f>
        <v>Female</v>
      </c>
      <c r="D119" s="28" t="str">
        <f aca="false">IF(Data!D119="","",IFERROR(VLOOKUP(Data!D119,Codes!$A$11:$B$14,2,FALSE()),"Invalid ("&amp;Data!D119&amp;")"))</f>
        <v>Asymptomatic</v>
      </c>
      <c r="E119" s="20" t="n">
        <f aca="false">IF(Data!E119="","",Data!E119)</f>
        <v>138</v>
      </c>
      <c r="F119" s="20" t="n">
        <f aca="false">IF(Data!F119="","",Data!F119)</f>
        <v>183</v>
      </c>
      <c r="G119" s="28" t="str">
        <f aca="false">IF(Data!G119="","",IFERROR(VLOOKUP(Data!G119,Codes!$A$18:$B$19,2,FALSE()),"Invalid ("&amp;Data!G119&amp;")"))</f>
        <v>No</v>
      </c>
      <c r="H119" s="28" t="str">
        <f aca="false">IF(Data!H119="","",IFERROR(VLOOKUP(Data!H119,Codes!$A$23:$B$25,2,FALSE()),"Invalid ("&amp;Data!H119&amp;")"))</f>
        <v>Normal</v>
      </c>
      <c r="I119" s="20" t="n">
        <f aca="false">IF(Data!I119="","",Data!I119)</f>
        <v>182</v>
      </c>
      <c r="J119" s="28" t="str">
        <f aca="false">IF(Data!J119="","",IFERROR(VLOOKUP(Data!J119,Codes!$A$29:$B$30,2,FALSE()),"Invalid ("&amp;Data!J119&amp;")"))</f>
        <v>No</v>
      </c>
      <c r="K119" s="21" t="n">
        <f aca="false">IF(Data!K119="","",Data!K119)</f>
        <v>1.4</v>
      </c>
      <c r="L119" s="28" t="str">
        <f aca="false">IF(Data!L119="","",IFERROR(VLOOKUP(Data!L119,Codes!$A$34:$B$36,2,FALSE()),"Invalid ("&amp;Data!L119&amp;")"))</f>
        <v>Upsloping</v>
      </c>
      <c r="M119" s="20" t="n">
        <f aca="false">IF(Data!M119="","",Data!M119)</f>
        <v>0</v>
      </c>
      <c r="N119" s="28" t="str">
        <f aca="false">IF(Data!N119="","",IFERROR(VLOOKUP(Data!N119,Codes!$A$47:$B$49,2,FALSE()),"Invalid ("&amp;Data!N119&amp;")"))</f>
        <v>Normal</v>
      </c>
      <c r="O119" s="28" t="str">
        <f aca="false">IF(Data!O119="","",IFERROR(VLOOKUP(Data!O119,Codes!$A$53:$B$57,2,FALSE()),"Invalid ("&amp;Data!O119&amp;")"))</f>
        <v>No disease</v>
      </c>
      <c r="P119" s="22" t="str">
        <f aca="false">IF(Data!P119="","",IFERROR(VLOOKUP(Data!P119,Codes!$A$61:$B$64,2,FALSE()),"Invalid ("&amp;Data!P119&amp;")"))</f>
        <v>Cleveland Clinic</v>
      </c>
    </row>
    <row r="120" customFormat="false" ht="15" hidden="false" customHeight="false" outlineLevel="0" collapsed="false">
      <c r="A120" s="19" t="n">
        <f aca="false">Data!A120</f>
        <v>119</v>
      </c>
      <c r="B120" s="20" t="n">
        <f aca="false">IF(Data!B120="","",Data!B120)</f>
        <v>63</v>
      </c>
      <c r="C120" s="28" t="str">
        <f aca="false">IF(Data!C120="","",IFERROR(VLOOKUP(Data!C120,Codes!$A$6:$B$7,2,FALSE()),"Invalid ("&amp;Data!C120&amp;")"))</f>
        <v>Male</v>
      </c>
      <c r="D120" s="28" t="str">
        <f aca="false">IF(Data!D120="","",IFERROR(VLOOKUP(Data!D120,Codes!$A$11:$B$14,2,FALSE()),"Invalid ("&amp;Data!D120&amp;")"))</f>
        <v>Asymptomatic</v>
      </c>
      <c r="E120" s="20" t="n">
        <f aca="false">IF(Data!E120="","",Data!E120)</f>
        <v>130</v>
      </c>
      <c r="F120" s="20" t="n">
        <f aca="false">IF(Data!F120="","",Data!F120)</f>
        <v>330</v>
      </c>
      <c r="G120" s="28" t="str">
        <f aca="false">IF(Data!G120="","",IFERROR(VLOOKUP(Data!G120,Codes!$A$18:$B$19,2,FALSE()),"Invalid ("&amp;Data!G120&amp;")"))</f>
        <v>Yes</v>
      </c>
      <c r="H120" s="28" t="str">
        <f aca="false">IF(Data!H120="","",IFERROR(VLOOKUP(Data!H120,Codes!$A$23:$B$25,2,FALSE()),"Invalid ("&amp;Data!H120&amp;")"))</f>
        <v>Left ventricular hypertrophy</v>
      </c>
      <c r="I120" s="20" t="n">
        <f aca="false">IF(Data!I120="","",Data!I120)</f>
        <v>132</v>
      </c>
      <c r="J120" s="28" t="str">
        <f aca="false">IF(Data!J120="","",IFERROR(VLOOKUP(Data!J120,Codes!$A$29:$B$30,2,FALSE()),"Invalid ("&amp;Data!J120&amp;")"))</f>
        <v>Yes</v>
      </c>
      <c r="K120" s="21" t="n">
        <f aca="false">IF(Data!K120="","",Data!K120)</f>
        <v>1.8</v>
      </c>
      <c r="L120" s="28" t="str">
        <f aca="false">IF(Data!L120="","",IFERROR(VLOOKUP(Data!L120,Codes!$A$34:$B$36,2,FALSE()),"Invalid ("&amp;Data!L120&amp;")"))</f>
        <v>Upsloping</v>
      </c>
      <c r="M120" s="20" t="n">
        <f aca="false">IF(Data!M120="","",Data!M120)</f>
        <v>3</v>
      </c>
      <c r="N120" s="28" t="str">
        <f aca="false">IF(Data!N120="","",IFERROR(VLOOKUP(Data!N120,Codes!$A$47:$B$49,2,FALSE()),"Invalid ("&amp;Data!N120&amp;")"))</f>
        <v>Reversible defect</v>
      </c>
      <c r="O120" s="28" t="str">
        <f aca="false">IF(Data!O120="","",IFERROR(VLOOKUP(Data!O120,Codes!$A$53:$B$57,2,FALSE()),"Invalid ("&amp;Data!O120&amp;")"))</f>
        <v>Disease (3)</v>
      </c>
      <c r="P120" s="22" t="str">
        <f aca="false">IF(Data!P120="","",IFERROR(VLOOKUP(Data!P120,Codes!$A$61:$B$64,2,FALSE()),"Invalid ("&amp;Data!P120&amp;")"))</f>
        <v>Cleveland Clinic</v>
      </c>
    </row>
    <row r="121" customFormat="false" ht="15" hidden="false" customHeight="false" outlineLevel="0" collapsed="false">
      <c r="A121" s="19" t="n">
        <f aca="false">Data!A121</f>
        <v>120</v>
      </c>
      <c r="B121" s="20" t="n">
        <f aca="false">IF(Data!B121="","",Data!B121)</f>
        <v>65</v>
      </c>
      <c r="C121" s="28" t="str">
        <f aca="false">IF(Data!C121="","",IFERROR(VLOOKUP(Data!C121,Codes!$A$6:$B$7,2,FALSE()),"Invalid ("&amp;Data!C121&amp;")"))</f>
        <v>Male</v>
      </c>
      <c r="D121" s="28" t="str">
        <f aca="false">IF(Data!D121="","",IFERROR(VLOOKUP(Data!D121,Codes!$A$11:$B$14,2,FALSE()),"Invalid ("&amp;Data!D121&amp;")"))</f>
        <v>Asymptomatic</v>
      </c>
      <c r="E121" s="20" t="n">
        <f aca="false">IF(Data!E121="","",Data!E121)</f>
        <v>135</v>
      </c>
      <c r="F121" s="20" t="n">
        <f aca="false">IF(Data!F121="","",Data!F121)</f>
        <v>254</v>
      </c>
      <c r="G121" s="28" t="str">
        <f aca="false">IF(Data!G121="","",IFERROR(VLOOKUP(Data!G121,Codes!$A$18:$B$19,2,FALSE()),"Invalid ("&amp;Data!G121&amp;")"))</f>
        <v>No</v>
      </c>
      <c r="H121" s="28" t="str">
        <f aca="false">IF(Data!H121="","",IFERROR(VLOOKUP(Data!H121,Codes!$A$23:$B$25,2,FALSE()),"Invalid ("&amp;Data!H121&amp;")"))</f>
        <v>Left ventricular hypertrophy</v>
      </c>
      <c r="I121" s="20" t="n">
        <f aca="false">IF(Data!I121="","",Data!I121)</f>
        <v>127</v>
      </c>
      <c r="J121" s="28" t="str">
        <f aca="false">IF(Data!J121="","",IFERROR(VLOOKUP(Data!J121,Codes!$A$29:$B$30,2,FALSE()),"Invalid ("&amp;Data!J121&amp;")"))</f>
        <v>No</v>
      </c>
      <c r="K121" s="21" t="n">
        <f aca="false">IF(Data!K121="","",Data!K121)</f>
        <v>2.8</v>
      </c>
      <c r="L121" s="28" t="str">
        <f aca="false">IF(Data!L121="","",IFERROR(VLOOKUP(Data!L121,Codes!$A$34:$B$36,2,FALSE()),"Invalid ("&amp;Data!L121&amp;")"))</f>
        <v>Flat</v>
      </c>
      <c r="M121" s="20" t="n">
        <f aca="false">IF(Data!M121="","",Data!M121)</f>
        <v>1</v>
      </c>
      <c r="N121" s="28" t="str">
        <f aca="false">IF(Data!N121="","",IFERROR(VLOOKUP(Data!N121,Codes!$A$47:$B$49,2,FALSE()),"Invalid ("&amp;Data!N121&amp;")"))</f>
        <v>Reversible defect</v>
      </c>
      <c r="O121" s="28" t="str">
        <f aca="false">IF(Data!O121="","",IFERROR(VLOOKUP(Data!O121,Codes!$A$53:$B$57,2,FALSE()),"Invalid ("&amp;Data!O121&amp;")"))</f>
        <v>Disease (2)</v>
      </c>
      <c r="P121" s="22" t="str">
        <f aca="false">IF(Data!P121="","",IFERROR(VLOOKUP(Data!P121,Codes!$A$61:$B$64,2,FALSE()),"Invalid ("&amp;Data!P121&amp;")"))</f>
        <v>Cleveland Clinic</v>
      </c>
    </row>
    <row r="122" customFormat="false" ht="15" hidden="false" customHeight="false" outlineLevel="0" collapsed="false">
      <c r="A122" s="19" t="n">
        <f aca="false">Data!A122</f>
        <v>121</v>
      </c>
      <c r="B122" s="20" t="n">
        <f aca="false">IF(Data!B122="","",Data!B122)</f>
        <v>48</v>
      </c>
      <c r="C122" s="28" t="str">
        <f aca="false">IF(Data!C122="","",IFERROR(VLOOKUP(Data!C122,Codes!$A$6:$B$7,2,FALSE()),"Invalid ("&amp;Data!C122&amp;")"))</f>
        <v>Male</v>
      </c>
      <c r="D122" s="28" t="str">
        <f aca="false">IF(Data!D122="","",IFERROR(VLOOKUP(Data!D122,Codes!$A$11:$B$14,2,FALSE()),"Invalid ("&amp;Data!D122&amp;")"))</f>
        <v>Asymptomatic</v>
      </c>
      <c r="E122" s="20" t="n">
        <f aca="false">IF(Data!E122="","",Data!E122)</f>
        <v>130</v>
      </c>
      <c r="F122" s="20" t="n">
        <f aca="false">IF(Data!F122="","",Data!F122)</f>
        <v>256</v>
      </c>
      <c r="G122" s="28" t="str">
        <f aca="false">IF(Data!G122="","",IFERROR(VLOOKUP(Data!G122,Codes!$A$18:$B$19,2,FALSE()),"Invalid ("&amp;Data!G122&amp;")"))</f>
        <v>Yes</v>
      </c>
      <c r="H122" s="28" t="str">
        <f aca="false">IF(Data!H122="","",IFERROR(VLOOKUP(Data!H122,Codes!$A$23:$B$25,2,FALSE()),"Invalid ("&amp;Data!H122&amp;")"))</f>
        <v>Left ventricular hypertrophy</v>
      </c>
      <c r="I122" s="20" t="n">
        <f aca="false">IF(Data!I122="","",Data!I122)</f>
        <v>150</v>
      </c>
      <c r="J122" s="28" t="str">
        <f aca="false">IF(Data!J122="","",IFERROR(VLOOKUP(Data!J122,Codes!$A$29:$B$30,2,FALSE()),"Invalid ("&amp;Data!J122&amp;")"))</f>
        <v>Yes</v>
      </c>
      <c r="K122" s="21" t="n">
        <f aca="false">IF(Data!K122="","",Data!K122)</f>
        <v>0</v>
      </c>
      <c r="L122" s="28" t="str">
        <f aca="false">IF(Data!L122="","",IFERROR(VLOOKUP(Data!L122,Codes!$A$34:$B$36,2,FALSE()),"Invalid ("&amp;Data!L122&amp;")"))</f>
        <v>Upsloping</v>
      </c>
      <c r="M122" s="20" t="n">
        <f aca="false">IF(Data!M122="","",Data!M122)</f>
        <v>2</v>
      </c>
      <c r="N122" s="28" t="str">
        <f aca="false">IF(Data!N122="","",IFERROR(VLOOKUP(Data!N122,Codes!$A$47:$B$49,2,FALSE()),"Invalid ("&amp;Data!N122&amp;")"))</f>
        <v>Reversible defect</v>
      </c>
      <c r="O122" s="28" t="str">
        <f aca="false">IF(Data!O122="","",IFERROR(VLOOKUP(Data!O122,Codes!$A$53:$B$57,2,FALSE()),"Invalid ("&amp;Data!O122&amp;")"))</f>
        <v>Disease (3)</v>
      </c>
      <c r="P122" s="22" t="str">
        <f aca="false">IF(Data!P122="","",IFERROR(VLOOKUP(Data!P122,Codes!$A$61:$B$64,2,FALSE()),"Invalid ("&amp;Data!P122&amp;")"))</f>
        <v>Cleveland Clinic</v>
      </c>
    </row>
    <row r="123" customFormat="false" ht="15" hidden="false" customHeight="false" outlineLevel="0" collapsed="false">
      <c r="A123" s="19" t="n">
        <f aca="false">Data!A123</f>
        <v>122</v>
      </c>
      <c r="B123" s="20" t="n">
        <f aca="false">IF(Data!B123="","",Data!B123)</f>
        <v>63</v>
      </c>
      <c r="C123" s="28" t="str">
        <f aca="false">IF(Data!C123="","",IFERROR(VLOOKUP(Data!C123,Codes!$A$6:$B$7,2,FALSE()),"Invalid ("&amp;Data!C123&amp;")"))</f>
        <v>Female</v>
      </c>
      <c r="D123" s="28" t="str">
        <f aca="false">IF(Data!D123="","",IFERROR(VLOOKUP(Data!D123,Codes!$A$11:$B$14,2,FALSE()),"Invalid ("&amp;Data!D123&amp;")"))</f>
        <v>Asymptomatic</v>
      </c>
      <c r="E123" s="20" t="n">
        <f aca="false">IF(Data!E123="","",Data!E123)</f>
        <v>150</v>
      </c>
      <c r="F123" s="20" t="n">
        <f aca="false">IF(Data!F123="","",Data!F123)</f>
        <v>407</v>
      </c>
      <c r="G123" s="28" t="str">
        <f aca="false">IF(Data!G123="","",IFERROR(VLOOKUP(Data!G123,Codes!$A$18:$B$19,2,FALSE()),"Invalid ("&amp;Data!G123&amp;")"))</f>
        <v>No</v>
      </c>
      <c r="H123" s="28" t="str">
        <f aca="false">IF(Data!H123="","",IFERROR(VLOOKUP(Data!H123,Codes!$A$23:$B$25,2,FALSE()),"Invalid ("&amp;Data!H123&amp;")"))</f>
        <v>Left ventricular hypertrophy</v>
      </c>
      <c r="I123" s="20" t="n">
        <f aca="false">IF(Data!I123="","",Data!I123)</f>
        <v>154</v>
      </c>
      <c r="J123" s="28" t="str">
        <f aca="false">IF(Data!J123="","",IFERROR(VLOOKUP(Data!J123,Codes!$A$29:$B$30,2,FALSE()),"Invalid ("&amp;Data!J123&amp;")"))</f>
        <v>No</v>
      </c>
      <c r="K123" s="21" t="n">
        <f aca="false">IF(Data!K123="","",Data!K123)</f>
        <v>4</v>
      </c>
      <c r="L123" s="28" t="str">
        <f aca="false">IF(Data!L123="","",IFERROR(VLOOKUP(Data!L123,Codes!$A$34:$B$36,2,FALSE()),"Invalid ("&amp;Data!L123&amp;")"))</f>
        <v>Flat</v>
      </c>
      <c r="M123" s="20" t="n">
        <f aca="false">IF(Data!M123="","",Data!M123)</f>
        <v>3</v>
      </c>
      <c r="N123" s="28" t="str">
        <f aca="false">IF(Data!N123="","",IFERROR(VLOOKUP(Data!N123,Codes!$A$47:$B$49,2,FALSE()),"Invalid ("&amp;Data!N123&amp;")"))</f>
        <v>Reversible defect</v>
      </c>
      <c r="O123" s="28" t="str">
        <f aca="false">IF(Data!O123="","",IFERROR(VLOOKUP(Data!O123,Codes!$A$53:$B$57,2,FALSE()),"Invalid ("&amp;Data!O123&amp;")"))</f>
        <v>Disease (4)</v>
      </c>
      <c r="P123" s="22" t="str">
        <f aca="false">IF(Data!P123="","",IFERROR(VLOOKUP(Data!P123,Codes!$A$61:$B$64,2,FALSE()),"Invalid ("&amp;Data!P123&amp;")"))</f>
        <v>Cleveland Clinic</v>
      </c>
    </row>
    <row r="124" customFormat="false" ht="15" hidden="false" customHeight="false" outlineLevel="0" collapsed="false">
      <c r="A124" s="19" t="n">
        <f aca="false">Data!A124</f>
        <v>123</v>
      </c>
      <c r="B124" s="20" t="n">
        <f aca="false">IF(Data!B124="","",Data!B124)</f>
        <v>51</v>
      </c>
      <c r="C124" s="28" t="str">
        <f aca="false">IF(Data!C124="","",IFERROR(VLOOKUP(Data!C124,Codes!$A$6:$B$7,2,FALSE()),"Invalid ("&amp;Data!C124&amp;")"))</f>
        <v>Male</v>
      </c>
      <c r="D124" s="28" t="str">
        <f aca="false">IF(Data!D124="","",IFERROR(VLOOKUP(Data!D124,Codes!$A$11:$B$14,2,FALSE()),"Invalid ("&amp;Data!D124&amp;")"))</f>
        <v>Non-anginal pain</v>
      </c>
      <c r="E124" s="20" t="n">
        <f aca="false">IF(Data!E124="","",Data!E124)</f>
        <v>100</v>
      </c>
      <c r="F124" s="20" t="n">
        <f aca="false">IF(Data!F124="","",Data!F124)</f>
        <v>222</v>
      </c>
      <c r="G124" s="28" t="str">
        <f aca="false">IF(Data!G124="","",IFERROR(VLOOKUP(Data!G124,Codes!$A$18:$B$19,2,FALSE()),"Invalid ("&amp;Data!G124&amp;")"))</f>
        <v>No</v>
      </c>
      <c r="H124" s="28" t="str">
        <f aca="false">IF(Data!H124="","",IFERROR(VLOOKUP(Data!H124,Codes!$A$23:$B$25,2,FALSE()),"Invalid ("&amp;Data!H124&amp;")"))</f>
        <v>Normal</v>
      </c>
      <c r="I124" s="20" t="n">
        <f aca="false">IF(Data!I124="","",Data!I124)</f>
        <v>143</v>
      </c>
      <c r="J124" s="28" t="str">
        <f aca="false">IF(Data!J124="","",IFERROR(VLOOKUP(Data!J124,Codes!$A$29:$B$30,2,FALSE()),"Invalid ("&amp;Data!J124&amp;")"))</f>
        <v>Yes</v>
      </c>
      <c r="K124" s="21" t="n">
        <f aca="false">IF(Data!K124="","",Data!K124)</f>
        <v>1.2</v>
      </c>
      <c r="L124" s="28" t="str">
        <f aca="false">IF(Data!L124="","",IFERROR(VLOOKUP(Data!L124,Codes!$A$34:$B$36,2,FALSE()),"Invalid ("&amp;Data!L124&amp;")"))</f>
        <v>Flat</v>
      </c>
      <c r="M124" s="20" t="n">
        <f aca="false">IF(Data!M124="","",Data!M124)</f>
        <v>0</v>
      </c>
      <c r="N124" s="28" t="str">
        <f aca="false">IF(Data!N124="","",IFERROR(VLOOKUP(Data!N124,Codes!$A$47:$B$49,2,FALSE()),"Invalid ("&amp;Data!N124&amp;")"))</f>
        <v>Normal</v>
      </c>
      <c r="O124" s="28" t="str">
        <f aca="false">IF(Data!O124="","",IFERROR(VLOOKUP(Data!O124,Codes!$A$53:$B$57,2,FALSE()),"Invalid ("&amp;Data!O124&amp;")"))</f>
        <v>No disease</v>
      </c>
      <c r="P124" s="22" t="str">
        <f aca="false">IF(Data!P124="","",IFERROR(VLOOKUP(Data!P124,Codes!$A$61:$B$64,2,FALSE()),"Invalid ("&amp;Data!P124&amp;")"))</f>
        <v>Cleveland Clinic</v>
      </c>
    </row>
    <row r="125" customFormat="false" ht="15" hidden="false" customHeight="false" outlineLevel="0" collapsed="false">
      <c r="A125" s="19" t="n">
        <f aca="false">Data!A125</f>
        <v>124</v>
      </c>
      <c r="B125" s="20" t="n">
        <f aca="false">IF(Data!B125="","",Data!B125)</f>
        <v>55</v>
      </c>
      <c r="C125" s="28" t="str">
        <f aca="false">IF(Data!C125="","",IFERROR(VLOOKUP(Data!C125,Codes!$A$6:$B$7,2,FALSE()),"Invalid ("&amp;Data!C125&amp;")"))</f>
        <v>Male</v>
      </c>
      <c r="D125" s="28" t="str">
        <f aca="false">IF(Data!D125="","",IFERROR(VLOOKUP(Data!D125,Codes!$A$11:$B$14,2,FALSE()),"Invalid ("&amp;Data!D125&amp;")"))</f>
        <v>Asymptomatic</v>
      </c>
      <c r="E125" s="20" t="n">
        <f aca="false">IF(Data!E125="","",Data!E125)</f>
        <v>140</v>
      </c>
      <c r="F125" s="20" t="n">
        <f aca="false">IF(Data!F125="","",Data!F125)</f>
        <v>217</v>
      </c>
      <c r="G125" s="28" t="str">
        <f aca="false">IF(Data!G125="","",IFERROR(VLOOKUP(Data!G125,Codes!$A$18:$B$19,2,FALSE()),"Invalid ("&amp;Data!G125&amp;")"))</f>
        <v>No</v>
      </c>
      <c r="H125" s="28" t="str">
        <f aca="false">IF(Data!H125="","",IFERROR(VLOOKUP(Data!H125,Codes!$A$23:$B$25,2,FALSE()),"Invalid ("&amp;Data!H125&amp;")"))</f>
        <v>Normal</v>
      </c>
      <c r="I125" s="20" t="n">
        <f aca="false">IF(Data!I125="","",Data!I125)</f>
        <v>111</v>
      </c>
      <c r="J125" s="28" t="str">
        <f aca="false">IF(Data!J125="","",IFERROR(VLOOKUP(Data!J125,Codes!$A$29:$B$30,2,FALSE()),"Invalid ("&amp;Data!J125&amp;")"))</f>
        <v>Yes</v>
      </c>
      <c r="K125" s="21" t="n">
        <f aca="false">IF(Data!K125="","",Data!K125)</f>
        <v>5.6</v>
      </c>
      <c r="L125" s="28" t="str">
        <f aca="false">IF(Data!L125="","",IFERROR(VLOOKUP(Data!L125,Codes!$A$34:$B$36,2,FALSE()),"Invalid ("&amp;Data!L125&amp;")"))</f>
        <v>Downsloping</v>
      </c>
      <c r="M125" s="20" t="n">
        <f aca="false">IF(Data!M125="","",Data!M125)</f>
        <v>0</v>
      </c>
      <c r="N125" s="28" t="str">
        <f aca="false">IF(Data!N125="","",IFERROR(VLOOKUP(Data!N125,Codes!$A$47:$B$49,2,FALSE()),"Invalid ("&amp;Data!N125&amp;")"))</f>
        <v>Reversible defect</v>
      </c>
      <c r="O125" s="28" t="str">
        <f aca="false">IF(Data!O125="","",IFERROR(VLOOKUP(Data!O125,Codes!$A$53:$B$57,2,FALSE()),"Invalid ("&amp;Data!O125&amp;")"))</f>
        <v>Disease (3)</v>
      </c>
      <c r="P125" s="22" t="str">
        <f aca="false">IF(Data!P125="","",IFERROR(VLOOKUP(Data!P125,Codes!$A$61:$B$64,2,FALSE()),"Invalid ("&amp;Data!P125&amp;")"))</f>
        <v>Cleveland Clinic</v>
      </c>
    </row>
    <row r="126" customFormat="false" ht="15" hidden="false" customHeight="false" outlineLevel="0" collapsed="false">
      <c r="A126" s="19" t="n">
        <f aca="false">Data!A126</f>
        <v>125</v>
      </c>
      <c r="B126" s="20" t="n">
        <f aca="false">IF(Data!B126="","",Data!B126)</f>
        <v>65</v>
      </c>
      <c r="C126" s="28" t="str">
        <f aca="false">IF(Data!C126="","",IFERROR(VLOOKUP(Data!C126,Codes!$A$6:$B$7,2,FALSE()),"Invalid ("&amp;Data!C126&amp;")"))</f>
        <v>Male</v>
      </c>
      <c r="D126" s="28" t="str">
        <f aca="false">IF(Data!D126="","",IFERROR(VLOOKUP(Data!D126,Codes!$A$11:$B$14,2,FALSE()),"Invalid ("&amp;Data!D126&amp;")"))</f>
        <v>Typical angina</v>
      </c>
      <c r="E126" s="20" t="n">
        <f aca="false">IF(Data!E126="","",Data!E126)</f>
        <v>138</v>
      </c>
      <c r="F126" s="20" t="n">
        <f aca="false">IF(Data!F126="","",Data!F126)</f>
        <v>282</v>
      </c>
      <c r="G126" s="28" t="str">
        <f aca="false">IF(Data!G126="","",IFERROR(VLOOKUP(Data!G126,Codes!$A$18:$B$19,2,FALSE()),"Invalid ("&amp;Data!G126&amp;")"))</f>
        <v>Yes</v>
      </c>
      <c r="H126" s="28" t="str">
        <f aca="false">IF(Data!H126="","",IFERROR(VLOOKUP(Data!H126,Codes!$A$23:$B$25,2,FALSE()),"Invalid ("&amp;Data!H126&amp;")"))</f>
        <v>Left ventricular hypertrophy</v>
      </c>
      <c r="I126" s="20" t="n">
        <f aca="false">IF(Data!I126="","",Data!I126)</f>
        <v>174</v>
      </c>
      <c r="J126" s="28" t="str">
        <f aca="false">IF(Data!J126="","",IFERROR(VLOOKUP(Data!J126,Codes!$A$29:$B$30,2,FALSE()),"Invalid ("&amp;Data!J126&amp;")"))</f>
        <v>No</v>
      </c>
      <c r="K126" s="21" t="n">
        <f aca="false">IF(Data!K126="","",Data!K126)</f>
        <v>1.4</v>
      </c>
      <c r="L126" s="28" t="str">
        <f aca="false">IF(Data!L126="","",IFERROR(VLOOKUP(Data!L126,Codes!$A$34:$B$36,2,FALSE()),"Invalid ("&amp;Data!L126&amp;")"))</f>
        <v>Flat</v>
      </c>
      <c r="M126" s="20" t="n">
        <f aca="false">IF(Data!M126="","",Data!M126)</f>
        <v>1</v>
      </c>
      <c r="N126" s="28" t="str">
        <f aca="false">IF(Data!N126="","",IFERROR(VLOOKUP(Data!N126,Codes!$A$47:$B$49,2,FALSE()),"Invalid ("&amp;Data!N126&amp;")"))</f>
        <v>Normal</v>
      </c>
      <c r="O126" s="28" t="str">
        <f aca="false">IF(Data!O126="","",IFERROR(VLOOKUP(Data!O126,Codes!$A$53:$B$57,2,FALSE()),"Invalid ("&amp;Data!O126&amp;")"))</f>
        <v>Disease (1)</v>
      </c>
      <c r="P126" s="22" t="str">
        <f aca="false">IF(Data!P126="","",IFERROR(VLOOKUP(Data!P126,Codes!$A$61:$B$64,2,FALSE()),"Invalid ("&amp;Data!P126&amp;")"))</f>
        <v>Cleveland Clinic</v>
      </c>
    </row>
    <row r="127" customFormat="false" ht="15" hidden="false" customHeight="false" outlineLevel="0" collapsed="false">
      <c r="A127" s="19" t="n">
        <f aca="false">Data!A127</f>
        <v>126</v>
      </c>
      <c r="B127" s="20" t="n">
        <f aca="false">IF(Data!B127="","",Data!B127)</f>
        <v>45</v>
      </c>
      <c r="C127" s="28" t="str">
        <f aca="false">IF(Data!C127="","",IFERROR(VLOOKUP(Data!C127,Codes!$A$6:$B$7,2,FALSE()),"Invalid ("&amp;Data!C127&amp;")"))</f>
        <v>Female</v>
      </c>
      <c r="D127" s="28" t="str">
        <f aca="false">IF(Data!D127="","",IFERROR(VLOOKUP(Data!D127,Codes!$A$11:$B$14,2,FALSE()),"Invalid ("&amp;Data!D127&amp;")"))</f>
        <v>Atypical angina</v>
      </c>
      <c r="E127" s="20" t="n">
        <f aca="false">IF(Data!E127="","",Data!E127)</f>
        <v>130</v>
      </c>
      <c r="F127" s="20" t="n">
        <f aca="false">IF(Data!F127="","",Data!F127)</f>
        <v>234</v>
      </c>
      <c r="G127" s="28" t="str">
        <f aca="false">IF(Data!G127="","",IFERROR(VLOOKUP(Data!G127,Codes!$A$18:$B$19,2,FALSE()),"Invalid ("&amp;Data!G127&amp;")"))</f>
        <v>No</v>
      </c>
      <c r="H127" s="28" t="str">
        <f aca="false">IF(Data!H127="","",IFERROR(VLOOKUP(Data!H127,Codes!$A$23:$B$25,2,FALSE()),"Invalid ("&amp;Data!H127&amp;")"))</f>
        <v>Left ventricular hypertrophy</v>
      </c>
      <c r="I127" s="20" t="n">
        <f aca="false">IF(Data!I127="","",Data!I127)</f>
        <v>175</v>
      </c>
      <c r="J127" s="28" t="str">
        <f aca="false">IF(Data!J127="","",IFERROR(VLOOKUP(Data!J127,Codes!$A$29:$B$30,2,FALSE()),"Invalid ("&amp;Data!J127&amp;")"))</f>
        <v>No</v>
      </c>
      <c r="K127" s="21" t="n">
        <f aca="false">IF(Data!K127="","",Data!K127)</f>
        <v>0.6</v>
      </c>
      <c r="L127" s="28" t="str">
        <f aca="false">IF(Data!L127="","",IFERROR(VLOOKUP(Data!L127,Codes!$A$34:$B$36,2,FALSE()),"Invalid ("&amp;Data!L127&amp;")"))</f>
        <v>Flat</v>
      </c>
      <c r="M127" s="20" t="n">
        <f aca="false">IF(Data!M127="","",Data!M127)</f>
        <v>0</v>
      </c>
      <c r="N127" s="28" t="str">
        <f aca="false">IF(Data!N127="","",IFERROR(VLOOKUP(Data!N127,Codes!$A$47:$B$49,2,FALSE()),"Invalid ("&amp;Data!N127&amp;")"))</f>
        <v>Normal</v>
      </c>
      <c r="O127" s="28" t="str">
        <f aca="false">IF(Data!O127="","",IFERROR(VLOOKUP(Data!O127,Codes!$A$53:$B$57,2,FALSE()),"Invalid ("&amp;Data!O127&amp;")"))</f>
        <v>No disease</v>
      </c>
      <c r="P127" s="22" t="str">
        <f aca="false">IF(Data!P127="","",IFERROR(VLOOKUP(Data!P127,Codes!$A$61:$B$64,2,FALSE()),"Invalid ("&amp;Data!P127&amp;")"))</f>
        <v>Cleveland Clinic</v>
      </c>
    </row>
    <row r="128" customFormat="false" ht="15" hidden="false" customHeight="false" outlineLevel="0" collapsed="false">
      <c r="A128" s="19" t="n">
        <f aca="false">Data!A128</f>
        <v>127</v>
      </c>
      <c r="B128" s="20" t="n">
        <f aca="false">IF(Data!B128="","",Data!B128)</f>
        <v>56</v>
      </c>
      <c r="C128" s="28" t="str">
        <f aca="false">IF(Data!C128="","",IFERROR(VLOOKUP(Data!C128,Codes!$A$6:$B$7,2,FALSE()),"Invalid ("&amp;Data!C128&amp;")"))</f>
        <v>Female</v>
      </c>
      <c r="D128" s="28" t="str">
        <f aca="false">IF(Data!D128="","",IFERROR(VLOOKUP(Data!D128,Codes!$A$11:$B$14,2,FALSE()),"Invalid ("&amp;Data!D128&amp;")"))</f>
        <v>Asymptomatic</v>
      </c>
      <c r="E128" s="20" t="n">
        <f aca="false">IF(Data!E128="","",Data!E128)</f>
        <v>200</v>
      </c>
      <c r="F128" s="20" t="n">
        <f aca="false">IF(Data!F128="","",Data!F128)</f>
        <v>288</v>
      </c>
      <c r="G128" s="28" t="str">
        <f aca="false">IF(Data!G128="","",IFERROR(VLOOKUP(Data!G128,Codes!$A$18:$B$19,2,FALSE()),"Invalid ("&amp;Data!G128&amp;")"))</f>
        <v>Yes</v>
      </c>
      <c r="H128" s="28" t="str">
        <f aca="false">IF(Data!H128="","",IFERROR(VLOOKUP(Data!H128,Codes!$A$23:$B$25,2,FALSE()),"Invalid ("&amp;Data!H128&amp;")"))</f>
        <v>Left ventricular hypertrophy</v>
      </c>
      <c r="I128" s="20" t="n">
        <f aca="false">IF(Data!I128="","",Data!I128)</f>
        <v>133</v>
      </c>
      <c r="J128" s="28" t="str">
        <f aca="false">IF(Data!J128="","",IFERROR(VLOOKUP(Data!J128,Codes!$A$29:$B$30,2,FALSE()),"Invalid ("&amp;Data!J128&amp;")"))</f>
        <v>Yes</v>
      </c>
      <c r="K128" s="21" t="n">
        <f aca="false">IF(Data!K128="","",Data!K128)</f>
        <v>4</v>
      </c>
      <c r="L128" s="28" t="str">
        <f aca="false">IF(Data!L128="","",IFERROR(VLOOKUP(Data!L128,Codes!$A$34:$B$36,2,FALSE()),"Invalid ("&amp;Data!L128&amp;")"))</f>
        <v>Downsloping</v>
      </c>
      <c r="M128" s="20" t="n">
        <f aca="false">IF(Data!M128="","",Data!M128)</f>
        <v>2</v>
      </c>
      <c r="N128" s="28" t="str">
        <f aca="false">IF(Data!N128="","",IFERROR(VLOOKUP(Data!N128,Codes!$A$47:$B$49,2,FALSE()),"Invalid ("&amp;Data!N128&amp;")"))</f>
        <v>Reversible defect</v>
      </c>
      <c r="O128" s="28" t="str">
        <f aca="false">IF(Data!O128="","",IFERROR(VLOOKUP(Data!O128,Codes!$A$53:$B$57,2,FALSE()),"Invalid ("&amp;Data!O128&amp;")"))</f>
        <v>Disease (3)</v>
      </c>
      <c r="P128" s="22" t="str">
        <f aca="false">IF(Data!P128="","",IFERROR(VLOOKUP(Data!P128,Codes!$A$61:$B$64,2,FALSE()),"Invalid ("&amp;Data!P128&amp;")"))</f>
        <v>Cleveland Clinic</v>
      </c>
    </row>
    <row r="129" customFormat="false" ht="15" hidden="false" customHeight="false" outlineLevel="0" collapsed="false">
      <c r="A129" s="19" t="n">
        <f aca="false">Data!A129</f>
        <v>128</v>
      </c>
      <c r="B129" s="20" t="n">
        <f aca="false">IF(Data!B129="","",Data!B129)</f>
        <v>54</v>
      </c>
      <c r="C129" s="28" t="str">
        <f aca="false">IF(Data!C129="","",IFERROR(VLOOKUP(Data!C129,Codes!$A$6:$B$7,2,FALSE()),"Invalid ("&amp;Data!C129&amp;")"))</f>
        <v>Male</v>
      </c>
      <c r="D129" s="28" t="str">
        <f aca="false">IF(Data!D129="","",IFERROR(VLOOKUP(Data!D129,Codes!$A$11:$B$14,2,FALSE()),"Invalid ("&amp;Data!D129&amp;")"))</f>
        <v>Asymptomatic</v>
      </c>
      <c r="E129" s="20" t="n">
        <f aca="false">IF(Data!E129="","",Data!E129)</f>
        <v>110</v>
      </c>
      <c r="F129" s="20" t="n">
        <f aca="false">IF(Data!F129="","",Data!F129)</f>
        <v>239</v>
      </c>
      <c r="G129" s="28" t="str">
        <f aca="false">IF(Data!G129="","",IFERROR(VLOOKUP(Data!G129,Codes!$A$18:$B$19,2,FALSE()),"Invalid ("&amp;Data!G129&amp;")"))</f>
        <v>No</v>
      </c>
      <c r="H129" s="28" t="str">
        <f aca="false">IF(Data!H129="","",IFERROR(VLOOKUP(Data!H129,Codes!$A$23:$B$25,2,FALSE()),"Invalid ("&amp;Data!H129&amp;")"))</f>
        <v>Normal</v>
      </c>
      <c r="I129" s="20" t="n">
        <f aca="false">IF(Data!I129="","",Data!I129)</f>
        <v>126</v>
      </c>
      <c r="J129" s="28" t="str">
        <f aca="false">IF(Data!J129="","",IFERROR(VLOOKUP(Data!J129,Codes!$A$29:$B$30,2,FALSE()),"Invalid ("&amp;Data!J129&amp;")"))</f>
        <v>Yes</v>
      </c>
      <c r="K129" s="21" t="n">
        <f aca="false">IF(Data!K129="","",Data!K129)</f>
        <v>2.8</v>
      </c>
      <c r="L129" s="28" t="str">
        <f aca="false">IF(Data!L129="","",IFERROR(VLOOKUP(Data!L129,Codes!$A$34:$B$36,2,FALSE()),"Invalid ("&amp;Data!L129&amp;")"))</f>
        <v>Flat</v>
      </c>
      <c r="M129" s="20" t="n">
        <f aca="false">IF(Data!M129="","",Data!M129)</f>
        <v>1</v>
      </c>
      <c r="N129" s="28" t="str">
        <f aca="false">IF(Data!N129="","",IFERROR(VLOOKUP(Data!N129,Codes!$A$47:$B$49,2,FALSE()),"Invalid ("&amp;Data!N129&amp;")"))</f>
        <v>Reversible defect</v>
      </c>
      <c r="O129" s="28" t="str">
        <f aca="false">IF(Data!O129="","",IFERROR(VLOOKUP(Data!O129,Codes!$A$53:$B$57,2,FALSE()),"Invalid ("&amp;Data!O129&amp;")"))</f>
        <v>Disease (3)</v>
      </c>
      <c r="P129" s="22" t="str">
        <f aca="false">IF(Data!P129="","",IFERROR(VLOOKUP(Data!P129,Codes!$A$61:$B$64,2,FALSE()),"Invalid ("&amp;Data!P129&amp;")"))</f>
        <v>Cleveland Clinic</v>
      </c>
    </row>
    <row r="130" customFormat="false" ht="15" hidden="false" customHeight="false" outlineLevel="0" collapsed="false">
      <c r="A130" s="19" t="n">
        <f aca="false">Data!A130</f>
        <v>129</v>
      </c>
      <c r="B130" s="20" t="n">
        <f aca="false">IF(Data!B130="","",Data!B130)</f>
        <v>44</v>
      </c>
      <c r="C130" s="28" t="str">
        <f aca="false">IF(Data!C130="","",IFERROR(VLOOKUP(Data!C130,Codes!$A$6:$B$7,2,FALSE()),"Invalid ("&amp;Data!C130&amp;")"))</f>
        <v>Male</v>
      </c>
      <c r="D130" s="28" t="str">
        <f aca="false">IF(Data!D130="","",IFERROR(VLOOKUP(Data!D130,Codes!$A$11:$B$14,2,FALSE()),"Invalid ("&amp;Data!D130&amp;")"))</f>
        <v>Atypical angina</v>
      </c>
      <c r="E130" s="20" t="n">
        <f aca="false">IF(Data!E130="","",Data!E130)</f>
        <v>120</v>
      </c>
      <c r="F130" s="20" t="n">
        <f aca="false">IF(Data!F130="","",Data!F130)</f>
        <v>220</v>
      </c>
      <c r="G130" s="28" t="str">
        <f aca="false">IF(Data!G130="","",IFERROR(VLOOKUP(Data!G130,Codes!$A$18:$B$19,2,FALSE()),"Invalid ("&amp;Data!G130&amp;")"))</f>
        <v>No</v>
      </c>
      <c r="H130" s="28" t="str">
        <f aca="false">IF(Data!H130="","",IFERROR(VLOOKUP(Data!H130,Codes!$A$23:$B$25,2,FALSE()),"Invalid ("&amp;Data!H130&amp;")"))</f>
        <v>Normal</v>
      </c>
      <c r="I130" s="20" t="n">
        <f aca="false">IF(Data!I130="","",Data!I130)</f>
        <v>170</v>
      </c>
      <c r="J130" s="28" t="str">
        <f aca="false">IF(Data!J130="","",IFERROR(VLOOKUP(Data!J130,Codes!$A$29:$B$30,2,FALSE()),"Invalid ("&amp;Data!J130&amp;")"))</f>
        <v>No</v>
      </c>
      <c r="K130" s="21" t="n">
        <f aca="false">IF(Data!K130="","",Data!K130)</f>
        <v>0</v>
      </c>
      <c r="L130" s="28" t="str">
        <f aca="false">IF(Data!L130="","",IFERROR(VLOOKUP(Data!L130,Codes!$A$34:$B$36,2,FALSE()),"Invalid ("&amp;Data!L130&amp;")"))</f>
        <v>Upsloping</v>
      </c>
      <c r="M130" s="20" t="n">
        <f aca="false">IF(Data!M130="","",Data!M130)</f>
        <v>0</v>
      </c>
      <c r="N130" s="28" t="str">
        <f aca="false">IF(Data!N130="","",IFERROR(VLOOKUP(Data!N130,Codes!$A$47:$B$49,2,FALSE()),"Invalid ("&amp;Data!N130&amp;")"))</f>
        <v>Normal</v>
      </c>
      <c r="O130" s="28" t="str">
        <f aca="false">IF(Data!O130="","",IFERROR(VLOOKUP(Data!O130,Codes!$A$53:$B$57,2,FALSE()),"Invalid ("&amp;Data!O130&amp;")"))</f>
        <v>No disease</v>
      </c>
      <c r="P130" s="22" t="str">
        <f aca="false">IF(Data!P130="","",IFERROR(VLOOKUP(Data!P130,Codes!$A$61:$B$64,2,FALSE()),"Invalid ("&amp;Data!P130&amp;")"))</f>
        <v>Cleveland Clinic</v>
      </c>
    </row>
    <row r="131" customFormat="false" ht="15" hidden="false" customHeight="false" outlineLevel="0" collapsed="false">
      <c r="A131" s="19" t="n">
        <f aca="false">Data!A131</f>
        <v>130</v>
      </c>
      <c r="B131" s="20" t="n">
        <f aca="false">IF(Data!B131="","",Data!B131)</f>
        <v>62</v>
      </c>
      <c r="C131" s="28" t="str">
        <f aca="false">IF(Data!C131="","",IFERROR(VLOOKUP(Data!C131,Codes!$A$6:$B$7,2,FALSE()),"Invalid ("&amp;Data!C131&amp;")"))</f>
        <v>Female</v>
      </c>
      <c r="D131" s="28" t="str">
        <f aca="false">IF(Data!D131="","",IFERROR(VLOOKUP(Data!D131,Codes!$A$11:$B$14,2,FALSE()),"Invalid ("&amp;Data!D131&amp;")"))</f>
        <v>Asymptomatic</v>
      </c>
      <c r="E131" s="20" t="n">
        <f aca="false">IF(Data!E131="","",Data!E131)</f>
        <v>124</v>
      </c>
      <c r="F131" s="20" t="n">
        <f aca="false">IF(Data!F131="","",Data!F131)</f>
        <v>209</v>
      </c>
      <c r="G131" s="28" t="str">
        <f aca="false">IF(Data!G131="","",IFERROR(VLOOKUP(Data!G131,Codes!$A$18:$B$19,2,FALSE()),"Invalid ("&amp;Data!G131&amp;")"))</f>
        <v>No</v>
      </c>
      <c r="H131" s="28" t="str">
        <f aca="false">IF(Data!H131="","",IFERROR(VLOOKUP(Data!H131,Codes!$A$23:$B$25,2,FALSE()),"Invalid ("&amp;Data!H131&amp;")"))</f>
        <v>Normal</v>
      </c>
      <c r="I131" s="20" t="n">
        <f aca="false">IF(Data!I131="","",Data!I131)</f>
        <v>163</v>
      </c>
      <c r="J131" s="28" t="str">
        <f aca="false">IF(Data!J131="","",IFERROR(VLOOKUP(Data!J131,Codes!$A$29:$B$30,2,FALSE()),"Invalid ("&amp;Data!J131&amp;")"))</f>
        <v>No</v>
      </c>
      <c r="K131" s="21" t="n">
        <f aca="false">IF(Data!K131="","",Data!K131)</f>
        <v>0</v>
      </c>
      <c r="L131" s="28" t="str">
        <f aca="false">IF(Data!L131="","",IFERROR(VLOOKUP(Data!L131,Codes!$A$34:$B$36,2,FALSE()),"Invalid ("&amp;Data!L131&amp;")"))</f>
        <v>Upsloping</v>
      </c>
      <c r="M131" s="20" t="n">
        <f aca="false">IF(Data!M131="","",Data!M131)</f>
        <v>0</v>
      </c>
      <c r="N131" s="28" t="str">
        <f aca="false">IF(Data!N131="","",IFERROR(VLOOKUP(Data!N131,Codes!$A$47:$B$49,2,FALSE()),"Invalid ("&amp;Data!N131&amp;")"))</f>
        <v>Normal</v>
      </c>
      <c r="O131" s="28" t="str">
        <f aca="false">IF(Data!O131="","",IFERROR(VLOOKUP(Data!O131,Codes!$A$53:$B$57,2,FALSE()),"Invalid ("&amp;Data!O131&amp;")"))</f>
        <v>No disease</v>
      </c>
      <c r="P131" s="22" t="str">
        <f aca="false">IF(Data!P131="","",IFERROR(VLOOKUP(Data!P131,Codes!$A$61:$B$64,2,FALSE()),"Invalid ("&amp;Data!P131&amp;")"))</f>
        <v>Cleveland Clinic</v>
      </c>
    </row>
    <row r="132" customFormat="false" ht="15" hidden="false" customHeight="false" outlineLevel="0" collapsed="false">
      <c r="A132" s="19" t="n">
        <f aca="false">Data!A132</f>
        <v>131</v>
      </c>
      <c r="B132" s="20" t="n">
        <f aca="false">IF(Data!B132="","",Data!B132)</f>
        <v>54</v>
      </c>
      <c r="C132" s="28" t="str">
        <f aca="false">IF(Data!C132="","",IFERROR(VLOOKUP(Data!C132,Codes!$A$6:$B$7,2,FALSE()),"Invalid ("&amp;Data!C132&amp;")"))</f>
        <v>Male</v>
      </c>
      <c r="D132" s="28" t="str">
        <f aca="false">IF(Data!D132="","",IFERROR(VLOOKUP(Data!D132,Codes!$A$11:$B$14,2,FALSE()),"Invalid ("&amp;Data!D132&amp;")"))</f>
        <v>Non-anginal pain</v>
      </c>
      <c r="E132" s="20" t="n">
        <f aca="false">IF(Data!E132="","",Data!E132)</f>
        <v>120</v>
      </c>
      <c r="F132" s="20" t="n">
        <f aca="false">IF(Data!F132="","",Data!F132)</f>
        <v>258</v>
      </c>
      <c r="G132" s="28" t="str">
        <f aca="false">IF(Data!G132="","",IFERROR(VLOOKUP(Data!G132,Codes!$A$18:$B$19,2,FALSE()),"Invalid ("&amp;Data!G132&amp;")"))</f>
        <v>No</v>
      </c>
      <c r="H132" s="28" t="str">
        <f aca="false">IF(Data!H132="","",IFERROR(VLOOKUP(Data!H132,Codes!$A$23:$B$25,2,FALSE()),"Invalid ("&amp;Data!H132&amp;")"))</f>
        <v>Left ventricular hypertrophy</v>
      </c>
      <c r="I132" s="20" t="n">
        <f aca="false">IF(Data!I132="","",Data!I132)</f>
        <v>147</v>
      </c>
      <c r="J132" s="28" t="str">
        <f aca="false">IF(Data!J132="","",IFERROR(VLOOKUP(Data!J132,Codes!$A$29:$B$30,2,FALSE()),"Invalid ("&amp;Data!J132&amp;")"))</f>
        <v>No</v>
      </c>
      <c r="K132" s="21" t="n">
        <f aca="false">IF(Data!K132="","",Data!K132)</f>
        <v>0.4</v>
      </c>
      <c r="L132" s="28" t="str">
        <f aca="false">IF(Data!L132="","",IFERROR(VLOOKUP(Data!L132,Codes!$A$34:$B$36,2,FALSE()),"Invalid ("&amp;Data!L132&amp;")"))</f>
        <v>Flat</v>
      </c>
      <c r="M132" s="20" t="n">
        <f aca="false">IF(Data!M132="","",Data!M132)</f>
        <v>0</v>
      </c>
      <c r="N132" s="28" t="str">
        <f aca="false">IF(Data!N132="","",IFERROR(VLOOKUP(Data!N132,Codes!$A$47:$B$49,2,FALSE()),"Invalid ("&amp;Data!N132&amp;")"))</f>
        <v>Reversible defect</v>
      </c>
      <c r="O132" s="28" t="str">
        <f aca="false">IF(Data!O132="","",IFERROR(VLOOKUP(Data!O132,Codes!$A$53:$B$57,2,FALSE()),"Invalid ("&amp;Data!O132&amp;")"))</f>
        <v>No disease</v>
      </c>
      <c r="P132" s="22" t="str">
        <f aca="false">IF(Data!P132="","",IFERROR(VLOOKUP(Data!P132,Codes!$A$61:$B$64,2,FALSE()),"Invalid ("&amp;Data!P132&amp;")"))</f>
        <v>Cleveland Clinic</v>
      </c>
    </row>
    <row r="133" customFormat="false" ht="15" hidden="false" customHeight="false" outlineLevel="0" collapsed="false">
      <c r="A133" s="19" t="n">
        <f aca="false">Data!A133</f>
        <v>132</v>
      </c>
      <c r="B133" s="20" t="n">
        <f aca="false">IF(Data!B133="","",Data!B133)</f>
        <v>51</v>
      </c>
      <c r="C133" s="28" t="str">
        <f aca="false">IF(Data!C133="","",IFERROR(VLOOKUP(Data!C133,Codes!$A$6:$B$7,2,FALSE()),"Invalid ("&amp;Data!C133&amp;")"))</f>
        <v>Male</v>
      </c>
      <c r="D133" s="28" t="str">
        <f aca="false">IF(Data!D133="","",IFERROR(VLOOKUP(Data!D133,Codes!$A$11:$B$14,2,FALSE()),"Invalid ("&amp;Data!D133&amp;")"))</f>
        <v>Non-anginal pain</v>
      </c>
      <c r="E133" s="20" t="n">
        <f aca="false">IF(Data!E133="","",Data!E133)</f>
        <v>94</v>
      </c>
      <c r="F133" s="20" t="n">
        <f aca="false">IF(Data!F133="","",Data!F133)</f>
        <v>227</v>
      </c>
      <c r="G133" s="28" t="str">
        <f aca="false">IF(Data!G133="","",IFERROR(VLOOKUP(Data!G133,Codes!$A$18:$B$19,2,FALSE()),"Invalid ("&amp;Data!G133&amp;")"))</f>
        <v>No</v>
      </c>
      <c r="H133" s="28" t="str">
        <f aca="false">IF(Data!H133="","",IFERROR(VLOOKUP(Data!H133,Codes!$A$23:$B$25,2,FALSE()),"Invalid ("&amp;Data!H133&amp;")"))</f>
        <v>Normal</v>
      </c>
      <c r="I133" s="20" t="n">
        <f aca="false">IF(Data!I133="","",Data!I133)</f>
        <v>154</v>
      </c>
      <c r="J133" s="28" t="str">
        <f aca="false">IF(Data!J133="","",IFERROR(VLOOKUP(Data!J133,Codes!$A$29:$B$30,2,FALSE()),"Invalid ("&amp;Data!J133&amp;")"))</f>
        <v>Yes</v>
      </c>
      <c r="K133" s="21" t="n">
        <f aca="false">IF(Data!K133="","",Data!K133)</f>
        <v>0</v>
      </c>
      <c r="L133" s="28" t="str">
        <f aca="false">IF(Data!L133="","",IFERROR(VLOOKUP(Data!L133,Codes!$A$34:$B$36,2,FALSE()),"Invalid ("&amp;Data!L133&amp;")"))</f>
        <v>Upsloping</v>
      </c>
      <c r="M133" s="20" t="n">
        <f aca="false">IF(Data!M133="","",Data!M133)</f>
        <v>1</v>
      </c>
      <c r="N133" s="28" t="str">
        <f aca="false">IF(Data!N133="","",IFERROR(VLOOKUP(Data!N133,Codes!$A$47:$B$49,2,FALSE()),"Invalid ("&amp;Data!N133&amp;")"))</f>
        <v>Reversible defect</v>
      </c>
      <c r="O133" s="28" t="str">
        <f aca="false">IF(Data!O133="","",IFERROR(VLOOKUP(Data!O133,Codes!$A$53:$B$57,2,FALSE()),"Invalid ("&amp;Data!O133&amp;")"))</f>
        <v>No disease</v>
      </c>
      <c r="P133" s="22" t="str">
        <f aca="false">IF(Data!P133="","",IFERROR(VLOOKUP(Data!P133,Codes!$A$61:$B$64,2,FALSE()),"Invalid ("&amp;Data!P133&amp;")"))</f>
        <v>Cleveland Clinic</v>
      </c>
    </row>
    <row r="134" customFormat="false" ht="15" hidden="false" customHeight="false" outlineLevel="0" collapsed="false">
      <c r="A134" s="19" t="n">
        <f aca="false">Data!A134</f>
        <v>133</v>
      </c>
      <c r="B134" s="20" t="n">
        <f aca="false">IF(Data!B134="","",Data!B134)</f>
        <v>29</v>
      </c>
      <c r="C134" s="28" t="str">
        <f aca="false">IF(Data!C134="","",IFERROR(VLOOKUP(Data!C134,Codes!$A$6:$B$7,2,FALSE()),"Invalid ("&amp;Data!C134&amp;")"))</f>
        <v>Male</v>
      </c>
      <c r="D134" s="28" t="str">
        <f aca="false">IF(Data!D134="","",IFERROR(VLOOKUP(Data!D134,Codes!$A$11:$B$14,2,FALSE()),"Invalid ("&amp;Data!D134&amp;")"))</f>
        <v>Atypical angina</v>
      </c>
      <c r="E134" s="20" t="n">
        <f aca="false">IF(Data!E134="","",Data!E134)</f>
        <v>130</v>
      </c>
      <c r="F134" s="20" t="n">
        <f aca="false">IF(Data!F134="","",Data!F134)</f>
        <v>204</v>
      </c>
      <c r="G134" s="28" t="str">
        <f aca="false">IF(Data!G134="","",IFERROR(VLOOKUP(Data!G134,Codes!$A$18:$B$19,2,FALSE()),"Invalid ("&amp;Data!G134&amp;")"))</f>
        <v>No</v>
      </c>
      <c r="H134" s="28" t="str">
        <f aca="false">IF(Data!H134="","",IFERROR(VLOOKUP(Data!H134,Codes!$A$23:$B$25,2,FALSE()),"Invalid ("&amp;Data!H134&amp;")"))</f>
        <v>Left ventricular hypertrophy</v>
      </c>
      <c r="I134" s="20" t="n">
        <f aca="false">IF(Data!I134="","",Data!I134)</f>
        <v>202</v>
      </c>
      <c r="J134" s="28" t="str">
        <f aca="false">IF(Data!J134="","",IFERROR(VLOOKUP(Data!J134,Codes!$A$29:$B$30,2,FALSE()),"Invalid ("&amp;Data!J134&amp;")"))</f>
        <v>No</v>
      </c>
      <c r="K134" s="21" t="n">
        <f aca="false">IF(Data!K134="","",Data!K134)</f>
        <v>0</v>
      </c>
      <c r="L134" s="28" t="str">
        <f aca="false">IF(Data!L134="","",IFERROR(VLOOKUP(Data!L134,Codes!$A$34:$B$36,2,FALSE()),"Invalid ("&amp;Data!L134&amp;")"))</f>
        <v>Upsloping</v>
      </c>
      <c r="M134" s="20" t="n">
        <f aca="false">IF(Data!M134="","",Data!M134)</f>
        <v>0</v>
      </c>
      <c r="N134" s="28" t="str">
        <f aca="false">IF(Data!N134="","",IFERROR(VLOOKUP(Data!N134,Codes!$A$47:$B$49,2,FALSE()),"Invalid ("&amp;Data!N134&amp;")"))</f>
        <v>Normal</v>
      </c>
      <c r="O134" s="28" t="str">
        <f aca="false">IF(Data!O134="","",IFERROR(VLOOKUP(Data!O134,Codes!$A$53:$B$57,2,FALSE()),"Invalid ("&amp;Data!O134&amp;")"))</f>
        <v>No disease</v>
      </c>
      <c r="P134" s="22" t="str">
        <f aca="false">IF(Data!P134="","",IFERROR(VLOOKUP(Data!P134,Codes!$A$61:$B$64,2,FALSE()),"Invalid ("&amp;Data!P134&amp;")"))</f>
        <v>Cleveland Clinic</v>
      </c>
    </row>
    <row r="135" customFormat="false" ht="15" hidden="false" customHeight="false" outlineLevel="0" collapsed="false">
      <c r="A135" s="19" t="n">
        <f aca="false">Data!A135</f>
        <v>134</v>
      </c>
      <c r="B135" s="20" t="n">
        <f aca="false">IF(Data!B135="","",Data!B135)</f>
        <v>51</v>
      </c>
      <c r="C135" s="28" t="str">
        <f aca="false">IF(Data!C135="","",IFERROR(VLOOKUP(Data!C135,Codes!$A$6:$B$7,2,FALSE()),"Invalid ("&amp;Data!C135&amp;")"))</f>
        <v>Male</v>
      </c>
      <c r="D135" s="28" t="str">
        <f aca="false">IF(Data!D135="","",IFERROR(VLOOKUP(Data!D135,Codes!$A$11:$B$14,2,FALSE()),"Invalid ("&amp;Data!D135&amp;")"))</f>
        <v>Asymptomatic</v>
      </c>
      <c r="E135" s="20" t="n">
        <f aca="false">IF(Data!E135="","",Data!E135)</f>
        <v>140</v>
      </c>
      <c r="F135" s="20" t="n">
        <f aca="false">IF(Data!F135="","",Data!F135)</f>
        <v>261</v>
      </c>
      <c r="G135" s="28" t="str">
        <f aca="false">IF(Data!G135="","",IFERROR(VLOOKUP(Data!G135,Codes!$A$18:$B$19,2,FALSE()),"Invalid ("&amp;Data!G135&amp;")"))</f>
        <v>No</v>
      </c>
      <c r="H135" s="28" t="str">
        <f aca="false">IF(Data!H135="","",IFERROR(VLOOKUP(Data!H135,Codes!$A$23:$B$25,2,FALSE()),"Invalid ("&amp;Data!H135&amp;")"))</f>
        <v>Left ventricular hypertrophy</v>
      </c>
      <c r="I135" s="20" t="n">
        <f aca="false">IF(Data!I135="","",Data!I135)</f>
        <v>186</v>
      </c>
      <c r="J135" s="28" t="str">
        <f aca="false">IF(Data!J135="","",IFERROR(VLOOKUP(Data!J135,Codes!$A$29:$B$30,2,FALSE()),"Invalid ("&amp;Data!J135&amp;")"))</f>
        <v>Yes</v>
      </c>
      <c r="K135" s="21" t="n">
        <f aca="false">IF(Data!K135="","",Data!K135)</f>
        <v>0</v>
      </c>
      <c r="L135" s="28" t="str">
        <f aca="false">IF(Data!L135="","",IFERROR(VLOOKUP(Data!L135,Codes!$A$34:$B$36,2,FALSE()),"Invalid ("&amp;Data!L135&amp;")"))</f>
        <v>Upsloping</v>
      </c>
      <c r="M135" s="20" t="n">
        <f aca="false">IF(Data!M135="","",Data!M135)</f>
        <v>0</v>
      </c>
      <c r="N135" s="28" t="str">
        <f aca="false">IF(Data!N135="","",IFERROR(VLOOKUP(Data!N135,Codes!$A$47:$B$49,2,FALSE()),"Invalid ("&amp;Data!N135&amp;")"))</f>
        <v>Normal</v>
      </c>
      <c r="O135" s="28" t="str">
        <f aca="false">IF(Data!O135="","",IFERROR(VLOOKUP(Data!O135,Codes!$A$53:$B$57,2,FALSE()),"Invalid ("&amp;Data!O135&amp;")"))</f>
        <v>No disease</v>
      </c>
      <c r="P135" s="22" t="str">
        <f aca="false">IF(Data!P135="","",IFERROR(VLOOKUP(Data!P135,Codes!$A$61:$B$64,2,FALSE()),"Invalid ("&amp;Data!P135&amp;")"))</f>
        <v>Cleveland Clinic</v>
      </c>
    </row>
    <row r="136" customFormat="false" ht="15" hidden="false" customHeight="false" outlineLevel="0" collapsed="false">
      <c r="A136" s="19" t="n">
        <f aca="false">Data!A136</f>
        <v>135</v>
      </c>
      <c r="B136" s="20" t="n">
        <f aca="false">IF(Data!B136="","",Data!B136)</f>
        <v>43</v>
      </c>
      <c r="C136" s="28" t="str">
        <f aca="false">IF(Data!C136="","",IFERROR(VLOOKUP(Data!C136,Codes!$A$6:$B$7,2,FALSE()),"Invalid ("&amp;Data!C136&amp;")"))</f>
        <v>Female</v>
      </c>
      <c r="D136" s="28" t="str">
        <f aca="false">IF(Data!D136="","",IFERROR(VLOOKUP(Data!D136,Codes!$A$11:$B$14,2,FALSE()),"Invalid ("&amp;Data!D136&amp;")"))</f>
        <v>Non-anginal pain</v>
      </c>
      <c r="E136" s="20" t="n">
        <f aca="false">IF(Data!E136="","",Data!E136)</f>
        <v>122</v>
      </c>
      <c r="F136" s="20" t="n">
        <f aca="false">IF(Data!F136="","",Data!F136)</f>
        <v>213</v>
      </c>
      <c r="G136" s="28" t="str">
        <f aca="false">IF(Data!G136="","",IFERROR(VLOOKUP(Data!G136,Codes!$A$18:$B$19,2,FALSE()),"Invalid ("&amp;Data!G136&amp;")"))</f>
        <v>No</v>
      </c>
      <c r="H136" s="28" t="str">
        <f aca="false">IF(Data!H136="","",IFERROR(VLOOKUP(Data!H136,Codes!$A$23:$B$25,2,FALSE()),"Invalid ("&amp;Data!H136&amp;")"))</f>
        <v>Normal</v>
      </c>
      <c r="I136" s="20" t="n">
        <f aca="false">IF(Data!I136="","",Data!I136)</f>
        <v>165</v>
      </c>
      <c r="J136" s="28" t="str">
        <f aca="false">IF(Data!J136="","",IFERROR(VLOOKUP(Data!J136,Codes!$A$29:$B$30,2,FALSE()),"Invalid ("&amp;Data!J136&amp;")"))</f>
        <v>No</v>
      </c>
      <c r="K136" s="21" t="n">
        <f aca="false">IF(Data!K136="","",Data!K136)</f>
        <v>0.2</v>
      </c>
      <c r="L136" s="28" t="str">
        <f aca="false">IF(Data!L136="","",IFERROR(VLOOKUP(Data!L136,Codes!$A$34:$B$36,2,FALSE()),"Invalid ("&amp;Data!L136&amp;")"))</f>
        <v>Flat</v>
      </c>
      <c r="M136" s="20" t="n">
        <f aca="false">IF(Data!M136="","",Data!M136)</f>
        <v>0</v>
      </c>
      <c r="N136" s="28" t="str">
        <f aca="false">IF(Data!N136="","",IFERROR(VLOOKUP(Data!N136,Codes!$A$47:$B$49,2,FALSE()),"Invalid ("&amp;Data!N136&amp;")"))</f>
        <v>Normal</v>
      </c>
      <c r="O136" s="28" t="str">
        <f aca="false">IF(Data!O136="","",IFERROR(VLOOKUP(Data!O136,Codes!$A$53:$B$57,2,FALSE()),"Invalid ("&amp;Data!O136&amp;")"))</f>
        <v>No disease</v>
      </c>
      <c r="P136" s="22" t="str">
        <f aca="false">IF(Data!P136="","",IFERROR(VLOOKUP(Data!P136,Codes!$A$61:$B$64,2,FALSE()),"Invalid ("&amp;Data!P136&amp;")"))</f>
        <v>Cleveland Clinic</v>
      </c>
    </row>
    <row r="137" customFormat="false" ht="15" hidden="false" customHeight="false" outlineLevel="0" collapsed="false">
      <c r="A137" s="19" t="n">
        <f aca="false">Data!A137</f>
        <v>136</v>
      </c>
      <c r="B137" s="20" t="n">
        <f aca="false">IF(Data!B137="","",Data!B137)</f>
        <v>55</v>
      </c>
      <c r="C137" s="28" t="str">
        <f aca="false">IF(Data!C137="","",IFERROR(VLOOKUP(Data!C137,Codes!$A$6:$B$7,2,FALSE()),"Invalid ("&amp;Data!C137&amp;")"))</f>
        <v>Female</v>
      </c>
      <c r="D137" s="28" t="str">
        <f aca="false">IF(Data!D137="","",IFERROR(VLOOKUP(Data!D137,Codes!$A$11:$B$14,2,FALSE()),"Invalid ("&amp;Data!D137&amp;")"))</f>
        <v>Atypical angina</v>
      </c>
      <c r="E137" s="20" t="n">
        <f aca="false">IF(Data!E137="","",Data!E137)</f>
        <v>135</v>
      </c>
      <c r="F137" s="20" t="n">
        <f aca="false">IF(Data!F137="","",Data!F137)</f>
        <v>250</v>
      </c>
      <c r="G137" s="28" t="str">
        <f aca="false">IF(Data!G137="","",IFERROR(VLOOKUP(Data!G137,Codes!$A$18:$B$19,2,FALSE()),"Invalid ("&amp;Data!G137&amp;")"))</f>
        <v>No</v>
      </c>
      <c r="H137" s="28" t="str">
        <f aca="false">IF(Data!H137="","",IFERROR(VLOOKUP(Data!H137,Codes!$A$23:$B$25,2,FALSE()),"Invalid ("&amp;Data!H137&amp;")"))</f>
        <v>Left ventricular hypertrophy</v>
      </c>
      <c r="I137" s="20" t="n">
        <f aca="false">IF(Data!I137="","",Data!I137)</f>
        <v>161</v>
      </c>
      <c r="J137" s="28" t="str">
        <f aca="false">IF(Data!J137="","",IFERROR(VLOOKUP(Data!J137,Codes!$A$29:$B$30,2,FALSE()),"Invalid ("&amp;Data!J137&amp;")"))</f>
        <v>No</v>
      </c>
      <c r="K137" s="21" t="n">
        <f aca="false">IF(Data!K137="","",Data!K137)</f>
        <v>1.4</v>
      </c>
      <c r="L137" s="28" t="str">
        <f aca="false">IF(Data!L137="","",IFERROR(VLOOKUP(Data!L137,Codes!$A$34:$B$36,2,FALSE()),"Invalid ("&amp;Data!L137&amp;")"))</f>
        <v>Flat</v>
      </c>
      <c r="M137" s="20" t="n">
        <f aca="false">IF(Data!M137="","",Data!M137)</f>
        <v>0</v>
      </c>
      <c r="N137" s="28" t="str">
        <f aca="false">IF(Data!N137="","",IFERROR(VLOOKUP(Data!N137,Codes!$A$47:$B$49,2,FALSE()),"Invalid ("&amp;Data!N137&amp;")"))</f>
        <v>Normal</v>
      </c>
      <c r="O137" s="28" t="str">
        <f aca="false">IF(Data!O137="","",IFERROR(VLOOKUP(Data!O137,Codes!$A$53:$B$57,2,FALSE()),"Invalid ("&amp;Data!O137&amp;")"))</f>
        <v>No disease</v>
      </c>
      <c r="P137" s="22" t="str">
        <f aca="false">IF(Data!P137="","",IFERROR(VLOOKUP(Data!P137,Codes!$A$61:$B$64,2,FALSE()),"Invalid ("&amp;Data!P137&amp;")"))</f>
        <v>Cleveland Clinic</v>
      </c>
    </row>
    <row r="138" customFormat="false" ht="15" hidden="false" customHeight="false" outlineLevel="0" collapsed="false">
      <c r="A138" s="19" t="n">
        <f aca="false">Data!A138</f>
        <v>137</v>
      </c>
      <c r="B138" s="20" t="n">
        <f aca="false">IF(Data!B138="","",Data!B138)</f>
        <v>70</v>
      </c>
      <c r="C138" s="28" t="str">
        <f aca="false">IF(Data!C138="","",IFERROR(VLOOKUP(Data!C138,Codes!$A$6:$B$7,2,FALSE()),"Invalid ("&amp;Data!C138&amp;")"))</f>
        <v>Male</v>
      </c>
      <c r="D138" s="28" t="str">
        <f aca="false">IF(Data!D138="","",IFERROR(VLOOKUP(Data!D138,Codes!$A$11:$B$14,2,FALSE()),"Invalid ("&amp;Data!D138&amp;")"))</f>
        <v>Asymptomatic</v>
      </c>
      <c r="E138" s="20" t="n">
        <f aca="false">IF(Data!E138="","",Data!E138)</f>
        <v>145</v>
      </c>
      <c r="F138" s="20" t="n">
        <f aca="false">IF(Data!F138="","",Data!F138)</f>
        <v>174</v>
      </c>
      <c r="G138" s="28" t="str">
        <f aca="false">IF(Data!G138="","",IFERROR(VLOOKUP(Data!G138,Codes!$A$18:$B$19,2,FALSE()),"Invalid ("&amp;Data!G138&amp;")"))</f>
        <v>No</v>
      </c>
      <c r="H138" s="28" t="str">
        <f aca="false">IF(Data!H138="","",IFERROR(VLOOKUP(Data!H138,Codes!$A$23:$B$25,2,FALSE()),"Invalid ("&amp;Data!H138&amp;")"))</f>
        <v>Normal</v>
      </c>
      <c r="I138" s="20" t="n">
        <f aca="false">IF(Data!I138="","",Data!I138)</f>
        <v>125</v>
      </c>
      <c r="J138" s="28" t="str">
        <f aca="false">IF(Data!J138="","",IFERROR(VLOOKUP(Data!J138,Codes!$A$29:$B$30,2,FALSE()),"Invalid ("&amp;Data!J138&amp;")"))</f>
        <v>Yes</v>
      </c>
      <c r="K138" s="21" t="n">
        <f aca="false">IF(Data!K138="","",Data!K138)</f>
        <v>2.6</v>
      </c>
      <c r="L138" s="28" t="str">
        <f aca="false">IF(Data!L138="","",IFERROR(VLOOKUP(Data!L138,Codes!$A$34:$B$36,2,FALSE()),"Invalid ("&amp;Data!L138&amp;")"))</f>
        <v>Downsloping</v>
      </c>
      <c r="M138" s="20" t="n">
        <f aca="false">IF(Data!M138="","",Data!M138)</f>
        <v>0</v>
      </c>
      <c r="N138" s="28" t="str">
        <f aca="false">IF(Data!N138="","",IFERROR(VLOOKUP(Data!N138,Codes!$A$47:$B$49,2,FALSE()),"Invalid ("&amp;Data!N138&amp;")"))</f>
        <v>Reversible defect</v>
      </c>
      <c r="O138" s="28" t="str">
        <f aca="false">IF(Data!O138="","",IFERROR(VLOOKUP(Data!O138,Codes!$A$53:$B$57,2,FALSE()),"Invalid ("&amp;Data!O138&amp;")"))</f>
        <v>Disease (4)</v>
      </c>
      <c r="P138" s="22" t="str">
        <f aca="false">IF(Data!P138="","",IFERROR(VLOOKUP(Data!P138,Codes!$A$61:$B$64,2,FALSE()),"Invalid ("&amp;Data!P138&amp;")"))</f>
        <v>Cleveland Clinic</v>
      </c>
    </row>
    <row r="139" customFormat="false" ht="15" hidden="false" customHeight="false" outlineLevel="0" collapsed="false">
      <c r="A139" s="19" t="n">
        <f aca="false">Data!A139</f>
        <v>138</v>
      </c>
      <c r="B139" s="20" t="n">
        <f aca="false">IF(Data!B139="","",Data!B139)</f>
        <v>62</v>
      </c>
      <c r="C139" s="28" t="str">
        <f aca="false">IF(Data!C139="","",IFERROR(VLOOKUP(Data!C139,Codes!$A$6:$B$7,2,FALSE()),"Invalid ("&amp;Data!C139&amp;")"))</f>
        <v>Male</v>
      </c>
      <c r="D139" s="28" t="str">
        <f aca="false">IF(Data!D139="","",IFERROR(VLOOKUP(Data!D139,Codes!$A$11:$B$14,2,FALSE()),"Invalid ("&amp;Data!D139&amp;")"))</f>
        <v>Atypical angina</v>
      </c>
      <c r="E139" s="20" t="n">
        <f aca="false">IF(Data!E139="","",Data!E139)</f>
        <v>120</v>
      </c>
      <c r="F139" s="20" t="n">
        <f aca="false">IF(Data!F139="","",Data!F139)</f>
        <v>281</v>
      </c>
      <c r="G139" s="28" t="str">
        <f aca="false">IF(Data!G139="","",IFERROR(VLOOKUP(Data!G139,Codes!$A$18:$B$19,2,FALSE()),"Invalid ("&amp;Data!G139&amp;")"))</f>
        <v>No</v>
      </c>
      <c r="H139" s="28" t="str">
        <f aca="false">IF(Data!H139="","",IFERROR(VLOOKUP(Data!H139,Codes!$A$23:$B$25,2,FALSE()),"Invalid ("&amp;Data!H139&amp;")"))</f>
        <v>Left ventricular hypertrophy</v>
      </c>
      <c r="I139" s="20" t="n">
        <f aca="false">IF(Data!I139="","",Data!I139)</f>
        <v>103</v>
      </c>
      <c r="J139" s="28" t="str">
        <f aca="false">IF(Data!J139="","",IFERROR(VLOOKUP(Data!J139,Codes!$A$29:$B$30,2,FALSE()),"Invalid ("&amp;Data!J139&amp;")"))</f>
        <v>No</v>
      </c>
      <c r="K139" s="21" t="n">
        <f aca="false">IF(Data!K139="","",Data!K139)</f>
        <v>1.4</v>
      </c>
      <c r="L139" s="28" t="str">
        <f aca="false">IF(Data!L139="","",IFERROR(VLOOKUP(Data!L139,Codes!$A$34:$B$36,2,FALSE()),"Invalid ("&amp;Data!L139&amp;")"))</f>
        <v>Flat</v>
      </c>
      <c r="M139" s="20" t="n">
        <f aca="false">IF(Data!M139="","",Data!M139)</f>
        <v>1</v>
      </c>
      <c r="N139" s="28" t="str">
        <f aca="false">IF(Data!N139="","",IFERROR(VLOOKUP(Data!N139,Codes!$A$47:$B$49,2,FALSE()),"Invalid ("&amp;Data!N139&amp;")"))</f>
        <v>Reversible defect</v>
      </c>
      <c r="O139" s="28" t="str">
        <f aca="false">IF(Data!O139="","",IFERROR(VLOOKUP(Data!O139,Codes!$A$53:$B$57,2,FALSE()),"Invalid ("&amp;Data!O139&amp;")"))</f>
        <v>Disease (3)</v>
      </c>
      <c r="P139" s="22" t="str">
        <f aca="false">IF(Data!P139="","",IFERROR(VLOOKUP(Data!P139,Codes!$A$61:$B$64,2,FALSE()),"Invalid ("&amp;Data!P139&amp;")"))</f>
        <v>Cleveland Clinic</v>
      </c>
    </row>
    <row r="140" customFormat="false" ht="15" hidden="false" customHeight="false" outlineLevel="0" collapsed="false">
      <c r="A140" s="19" t="n">
        <f aca="false">Data!A140</f>
        <v>139</v>
      </c>
      <c r="B140" s="20" t="n">
        <f aca="false">IF(Data!B140="","",Data!B140)</f>
        <v>35</v>
      </c>
      <c r="C140" s="28" t="str">
        <f aca="false">IF(Data!C140="","",IFERROR(VLOOKUP(Data!C140,Codes!$A$6:$B$7,2,FALSE()),"Invalid ("&amp;Data!C140&amp;")"))</f>
        <v>Male</v>
      </c>
      <c r="D140" s="28" t="str">
        <f aca="false">IF(Data!D140="","",IFERROR(VLOOKUP(Data!D140,Codes!$A$11:$B$14,2,FALSE()),"Invalid ("&amp;Data!D140&amp;")"))</f>
        <v>Asymptomatic</v>
      </c>
      <c r="E140" s="20" t="n">
        <f aca="false">IF(Data!E140="","",Data!E140)</f>
        <v>120</v>
      </c>
      <c r="F140" s="20" t="n">
        <f aca="false">IF(Data!F140="","",Data!F140)</f>
        <v>198</v>
      </c>
      <c r="G140" s="28" t="str">
        <f aca="false">IF(Data!G140="","",IFERROR(VLOOKUP(Data!G140,Codes!$A$18:$B$19,2,FALSE()),"Invalid ("&amp;Data!G140&amp;")"))</f>
        <v>No</v>
      </c>
      <c r="H140" s="28" t="str">
        <f aca="false">IF(Data!H140="","",IFERROR(VLOOKUP(Data!H140,Codes!$A$23:$B$25,2,FALSE()),"Invalid ("&amp;Data!H140&amp;")"))</f>
        <v>Normal</v>
      </c>
      <c r="I140" s="20" t="n">
        <f aca="false">IF(Data!I140="","",Data!I140)</f>
        <v>130</v>
      </c>
      <c r="J140" s="28" t="str">
        <f aca="false">IF(Data!J140="","",IFERROR(VLOOKUP(Data!J140,Codes!$A$29:$B$30,2,FALSE()),"Invalid ("&amp;Data!J140&amp;")"))</f>
        <v>Yes</v>
      </c>
      <c r="K140" s="21" t="n">
        <f aca="false">IF(Data!K140="","",Data!K140)</f>
        <v>1.6</v>
      </c>
      <c r="L140" s="28" t="str">
        <f aca="false">IF(Data!L140="","",IFERROR(VLOOKUP(Data!L140,Codes!$A$34:$B$36,2,FALSE()),"Invalid ("&amp;Data!L140&amp;")"))</f>
        <v>Flat</v>
      </c>
      <c r="M140" s="20" t="n">
        <f aca="false">IF(Data!M140="","",Data!M140)</f>
        <v>0</v>
      </c>
      <c r="N140" s="28" t="str">
        <f aca="false">IF(Data!N140="","",IFERROR(VLOOKUP(Data!N140,Codes!$A$47:$B$49,2,FALSE()),"Invalid ("&amp;Data!N140&amp;")"))</f>
        <v>Reversible defect</v>
      </c>
      <c r="O140" s="28" t="str">
        <f aca="false">IF(Data!O140="","",IFERROR(VLOOKUP(Data!O140,Codes!$A$53:$B$57,2,FALSE()),"Invalid ("&amp;Data!O140&amp;")"))</f>
        <v>Disease (1)</v>
      </c>
      <c r="P140" s="22" t="str">
        <f aca="false">IF(Data!P140="","",IFERROR(VLOOKUP(Data!P140,Codes!$A$61:$B$64,2,FALSE()),"Invalid ("&amp;Data!P140&amp;")"))</f>
        <v>Cleveland Clinic</v>
      </c>
    </row>
    <row r="141" customFormat="false" ht="15" hidden="false" customHeight="false" outlineLevel="0" collapsed="false">
      <c r="A141" s="19" t="n">
        <f aca="false">Data!A141</f>
        <v>140</v>
      </c>
      <c r="B141" s="20" t="n">
        <f aca="false">IF(Data!B141="","",Data!B141)</f>
        <v>51</v>
      </c>
      <c r="C141" s="28" t="str">
        <f aca="false">IF(Data!C141="","",IFERROR(VLOOKUP(Data!C141,Codes!$A$6:$B$7,2,FALSE()),"Invalid ("&amp;Data!C141&amp;")"))</f>
        <v>Male</v>
      </c>
      <c r="D141" s="28" t="str">
        <f aca="false">IF(Data!D141="","",IFERROR(VLOOKUP(Data!D141,Codes!$A$11:$B$14,2,FALSE()),"Invalid ("&amp;Data!D141&amp;")"))</f>
        <v>Non-anginal pain</v>
      </c>
      <c r="E141" s="20" t="n">
        <f aca="false">IF(Data!E141="","",Data!E141)</f>
        <v>125</v>
      </c>
      <c r="F141" s="20" t="n">
        <f aca="false">IF(Data!F141="","",Data!F141)</f>
        <v>245</v>
      </c>
      <c r="G141" s="28" t="str">
        <f aca="false">IF(Data!G141="","",IFERROR(VLOOKUP(Data!G141,Codes!$A$18:$B$19,2,FALSE()),"Invalid ("&amp;Data!G141&amp;")"))</f>
        <v>Yes</v>
      </c>
      <c r="H141" s="28" t="str">
        <f aca="false">IF(Data!H141="","",IFERROR(VLOOKUP(Data!H141,Codes!$A$23:$B$25,2,FALSE()),"Invalid ("&amp;Data!H141&amp;")"))</f>
        <v>Left ventricular hypertrophy</v>
      </c>
      <c r="I141" s="20" t="n">
        <f aca="false">IF(Data!I141="","",Data!I141)</f>
        <v>166</v>
      </c>
      <c r="J141" s="28" t="str">
        <f aca="false">IF(Data!J141="","",IFERROR(VLOOKUP(Data!J141,Codes!$A$29:$B$30,2,FALSE()),"Invalid ("&amp;Data!J141&amp;")"))</f>
        <v>No</v>
      </c>
      <c r="K141" s="21" t="n">
        <f aca="false">IF(Data!K141="","",Data!K141)</f>
        <v>2.4</v>
      </c>
      <c r="L141" s="28" t="str">
        <f aca="false">IF(Data!L141="","",IFERROR(VLOOKUP(Data!L141,Codes!$A$34:$B$36,2,FALSE()),"Invalid ("&amp;Data!L141&amp;")"))</f>
        <v>Flat</v>
      </c>
      <c r="M141" s="20" t="n">
        <f aca="false">IF(Data!M141="","",Data!M141)</f>
        <v>0</v>
      </c>
      <c r="N141" s="28" t="str">
        <f aca="false">IF(Data!N141="","",IFERROR(VLOOKUP(Data!N141,Codes!$A$47:$B$49,2,FALSE()),"Invalid ("&amp;Data!N141&amp;")"))</f>
        <v>Normal</v>
      </c>
      <c r="O141" s="28" t="str">
        <f aca="false">IF(Data!O141="","",IFERROR(VLOOKUP(Data!O141,Codes!$A$53:$B$57,2,FALSE()),"Invalid ("&amp;Data!O141&amp;")"))</f>
        <v>No disease</v>
      </c>
      <c r="P141" s="22" t="str">
        <f aca="false">IF(Data!P141="","",IFERROR(VLOOKUP(Data!P141,Codes!$A$61:$B$64,2,FALSE()),"Invalid ("&amp;Data!P141&amp;")"))</f>
        <v>Cleveland Clinic</v>
      </c>
    </row>
    <row r="142" customFormat="false" ht="15" hidden="false" customHeight="false" outlineLevel="0" collapsed="false">
      <c r="A142" s="19" t="n">
        <f aca="false">Data!A142</f>
        <v>141</v>
      </c>
      <c r="B142" s="20" t="n">
        <f aca="false">IF(Data!B142="","",Data!B142)</f>
        <v>59</v>
      </c>
      <c r="C142" s="28" t="str">
        <f aca="false">IF(Data!C142="","",IFERROR(VLOOKUP(Data!C142,Codes!$A$6:$B$7,2,FALSE()),"Invalid ("&amp;Data!C142&amp;")"))</f>
        <v>Male</v>
      </c>
      <c r="D142" s="28" t="str">
        <f aca="false">IF(Data!D142="","",IFERROR(VLOOKUP(Data!D142,Codes!$A$11:$B$14,2,FALSE()),"Invalid ("&amp;Data!D142&amp;")"))</f>
        <v>Atypical angina</v>
      </c>
      <c r="E142" s="20" t="n">
        <f aca="false">IF(Data!E142="","",Data!E142)</f>
        <v>140</v>
      </c>
      <c r="F142" s="20" t="n">
        <f aca="false">IF(Data!F142="","",Data!F142)</f>
        <v>221</v>
      </c>
      <c r="G142" s="28" t="str">
        <f aca="false">IF(Data!G142="","",IFERROR(VLOOKUP(Data!G142,Codes!$A$18:$B$19,2,FALSE()),"Invalid ("&amp;Data!G142&amp;")"))</f>
        <v>No</v>
      </c>
      <c r="H142" s="28" t="str">
        <f aca="false">IF(Data!H142="","",IFERROR(VLOOKUP(Data!H142,Codes!$A$23:$B$25,2,FALSE()),"Invalid ("&amp;Data!H142&amp;")"))</f>
        <v>Normal</v>
      </c>
      <c r="I142" s="20" t="n">
        <f aca="false">IF(Data!I142="","",Data!I142)</f>
        <v>164</v>
      </c>
      <c r="J142" s="28" t="str">
        <f aca="false">IF(Data!J142="","",IFERROR(VLOOKUP(Data!J142,Codes!$A$29:$B$30,2,FALSE()),"Invalid ("&amp;Data!J142&amp;")"))</f>
        <v>Yes</v>
      </c>
      <c r="K142" s="21" t="n">
        <f aca="false">IF(Data!K142="","",Data!K142)</f>
        <v>0</v>
      </c>
      <c r="L142" s="28" t="str">
        <f aca="false">IF(Data!L142="","",IFERROR(VLOOKUP(Data!L142,Codes!$A$34:$B$36,2,FALSE()),"Invalid ("&amp;Data!L142&amp;")"))</f>
        <v>Upsloping</v>
      </c>
      <c r="M142" s="20" t="n">
        <f aca="false">IF(Data!M142="","",Data!M142)</f>
        <v>0</v>
      </c>
      <c r="N142" s="28" t="str">
        <f aca="false">IF(Data!N142="","",IFERROR(VLOOKUP(Data!N142,Codes!$A$47:$B$49,2,FALSE()),"Invalid ("&amp;Data!N142&amp;")"))</f>
        <v>Normal</v>
      </c>
      <c r="O142" s="28" t="str">
        <f aca="false">IF(Data!O142="","",IFERROR(VLOOKUP(Data!O142,Codes!$A$53:$B$57,2,FALSE()),"Invalid ("&amp;Data!O142&amp;")"))</f>
        <v>No disease</v>
      </c>
      <c r="P142" s="22" t="str">
        <f aca="false">IF(Data!P142="","",IFERROR(VLOOKUP(Data!P142,Codes!$A$61:$B$64,2,FALSE()),"Invalid ("&amp;Data!P142&amp;")"))</f>
        <v>Cleveland Clinic</v>
      </c>
    </row>
    <row r="143" customFormat="false" ht="15" hidden="false" customHeight="false" outlineLevel="0" collapsed="false">
      <c r="A143" s="19" t="n">
        <f aca="false">Data!A143</f>
        <v>142</v>
      </c>
      <c r="B143" s="20" t="n">
        <f aca="false">IF(Data!B143="","",Data!B143)</f>
        <v>59</v>
      </c>
      <c r="C143" s="28" t="str">
        <f aca="false">IF(Data!C143="","",IFERROR(VLOOKUP(Data!C143,Codes!$A$6:$B$7,2,FALSE()),"Invalid ("&amp;Data!C143&amp;")"))</f>
        <v>Male</v>
      </c>
      <c r="D143" s="28" t="str">
        <f aca="false">IF(Data!D143="","",IFERROR(VLOOKUP(Data!D143,Codes!$A$11:$B$14,2,FALSE()),"Invalid ("&amp;Data!D143&amp;")"))</f>
        <v>Typical angina</v>
      </c>
      <c r="E143" s="20" t="n">
        <f aca="false">IF(Data!E143="","",Data!E143)</f>
        <v>170</v>
      </c>
      <c r="F143" s="20" t="n">
        <f aca="false">IF(Data!F143="","",Data!F143)</f>
        <v>288</v>
      </c>
      <c r="G143" s="28" t="str">
        <f aca="false">IF(Data!G143="","",IFERROR(VLOOKUP(Data!G143,Codes!$A$18:$B$19,2,FALSE()),"Invalid ("&amp;Data!G143&amp;")"))</f>
        <v>No</v>
      </c>
      <c r="H143" s="28" t="str">
        <f aca="false">IF(Data!H143="","",IFERROR(VLOOKUP(Data!H143,Codes!$A$23:$B$25,2,FALSE()),"Invalid ("&amp;Data!H143&amp;")"))</f>
        <v>Left ventricular hypertrophy</v>
      </c>
      <c r="I143" s="20" t="n">
        <f aca="false">IF(Data!I143="","",Data!I143)</f>
        <v>159</v>
      </c>
      <c r="J143" s="28" t="str">
        <f aca="false">IF(Data!J143="","",IFERROR(VLOOKUP(Data!J143,Codes!$A$29:$B$30,2,FALSE()),"Invalid ("&amp;Data!J143&amp;")"))</f>
        <v>No</v>
      </c>
      <c r="K143" s="21" t="n">
        <f aca="false">IF(Data!K143="","",Data!K143)</f>
        <v>0.2</v>
      </c>
      <c r="L143" s="28" t="str">
        <f aca="false">IF(Data!L143="","",IFERROR(VLOOKUP(Data!L143,Codes!$A$34:$B$36,2,FALSE()),"Invalid ("&amp;Data!L143&amp;")"))</f>
        <v>Flat</v>
      </c>
      <c r="M143" s="20" t="n">
        <f aca="false">IF(Data!M143="","",Data!M143)</f>
        <v>0</v>
      </c>
      <c r="N143" s="28" t="str">
        <f aca="false">IF(Data!N143="","",IFERROR(VLOOKUP(Data!N143,Codes!$A$47:$B$49,2,FALSE()),"Invalid ("&amp;Data!N143&amp;")"))</f>
        <v>Reversible defect</v>
      </c>
      <c r="O143" s="28" t="str">
        <f aca="false">IF(Data!O143="","",IFERROR(VLOOKUP(Data!O143,Codes!$A$53:$B$57,2,FALSE()),"Invalid ("&amp;Data!O143&amp;")"))</f>
        <v>Disease (1)</v>
      </c>
      <c r="P143" s="22" t="str">
        <f aca="false">IF(Data!P143="","",IFERROR(VLOOKUP(Data!P143,Codes!$A$61:$B$64,2,FALSE()),"Invalid ("&amp;Data!P143&amp;")"))</f>
        <v>Cleveland Clinic</v>
      </c>
    </row>
    <row r="144" customFormat="false" ht="15" hidden="false" customHeight="false" outlineLevel="0" collapsed="false">
      <c r="A144" s="19" t="n">
        <f aca="false">Data!A144</f>
        <v>143</v>
      </c>
      <c r="B144" s="20" t="n">
        <f aca="false">IF(Data!B144="","",Data!B144)</f>
        <v>52</v>
      </c>
      <c r="C144" s="28" t="str">
        <f aca="false">IF(Data!C144="","",IFERROR(VLOOKUP(Data!C144,Codes!$A$6:$B$7,2,FALSE()),"Invalid ("&amp;Data!C144&amp;")"))</f>
        <v>Male</v>
      </c>
      <c r="D144" s="28" t="str">
        <f aca="false">IF(Data!D144="","",IFERROR(VLOOKUP(Data!D144,Codes!$A$11:$B$14,2,FALSE()),"Invalid ("&amp;Data!D144&amp;")"))</f>
        <v>Atypical angina</v>
      </c>
      <c r="E144" s="20" t="n">
        <f aca="false">IF(Data!E144="","",Data!E144)</f>
        <v>128</v>
      </c>
      <c r="F144" s="20" t="n">
        <f aca="false">IF(Data!F144="","",Data!F144)</f>
        <v>205</v>
      </c>
      <c r="G144" s="28" t="str">
        <f aca="false">IF(Data!G144="","",IFERROR(VLOOKUP(Data!G144,Codes!$A$18:$B$19,2,FALSE()),"Invalid ("&amp;Data!G144&amp;")"))</f>
        <v>Yes</v>
      </c>
      <c r="H144" s="28" t="str">
        <f aca="false">IF(Data!H144="","",IFERROR(VLOOKUP(Data!H144,Codes!$A$23:$B$25,2,FALSE()),"Invalid ("&amp;Data!H144&amp;")"))</f>
        <v>Normal</v>
      </c>
      <c r="I144" s="20" t="n">
        <f aca="false">IF(Data!I144="","",Data!I144)</f>
        <v>184</v>
      </c>
      <c r="J144" s="28" t="str">
        <f aca="false">IF(Data!J144="","",IFERROR(VLOOKUP(Data!J144,Codes!$A$29:$B$30,2,FALSE()),"Invalid ("&amp;Data!J144&amp;")"))</f>
        <v>No</v>
      </c>
      <c r="K144" s="21" t="n">
        <f aca="false">IF(Data!K144="","",Data!K144)</f>
        <v>0</v>
      </c>
      <c r="L144" s="28" t="str">
        <f aca="false">IF(Data!L144="","",IFERROR(VLOOKUP(Data!L144,Codes!$A$34:$B$36,2,FALSE()),"Invalid ("&amp;Data!L144&amp;")"))</f>
        <v>Upsloping</v>
      </c>
      <c r="M144" s="20" t="n">
        <f aca="false">IF(Data!M144="","",Data!M144)</f>
        <v>0</v>
      </c>
      <c r="N144" s="28" t="str">
        <f aca="false">IF(Data!N144="","",IFERROR(VLOOKUP(Data!N144,Codes!$A$47:$B$49,2,FALSE()),"Invalid ("&amp;Data!N144&amp;")"))</f>
        <v>Normal</v>
      </c>
      <c r="O144" s="28" t="str">
        <f aca="false">IF(Data!O144="","",IFERROR(VLOOKUP(Data!O144,Codes!$A$53:$B$57,2,FALSE()),"Invalid ("&amp;Data!O144&amp;")"))</f>
        <v>No disease</v>
      </c>
      <c r="P144" s="22" t="str">
        <f aca="false">IF(Data!P144="","",IFERROR(VLOOKUP(Data!P144,Codes!$A$61:$B$64,2,FALSE()),"Invalid ("&amp;Data!P144&amp;")"))</f>
        <v>Cleveland Clinic</v>
      </c>
    </row>
    <row r="145" customFormat="false" ht="15" hidden="false" customHeight="false" outlineLevel="0" collapsed="false">
      <c r="A145" s="19" t="n">
        <f aca="false">Data!A145</f>
        <v>144</v>
      </c>
      <c r="B145" s="20" t="n">
        <f aca="false">IF(Data!B145="","",Data!B145)</f>
        <v>64</v>
      </c>
      <c r="C145" s="28" t="str">
        <f aca="false">IF(Data!C145="","",IFERROR(VLOOKUP(Data!C145,Codes!$A$6:$B$7,2,FALSE()),"Invalid ("&amp;Data!C145&amp;")"))</f>
        <v>Male</v>
      </c>
      <c r="D145" s="28" t="str">
        <f aca="false">IF(Data!D145="","",IFERROR(VLOOKUP(Data!D145,Codes!$A$11:$B$14,2,FALSE()),"Invalid ("&amp;Data!D145&amp;")"))</f>
        <v>Non-anginal pain</v>
      </c>
      <c r="E145" s="20" t="n">
        <f aca="false">IF(Data!E145="","",Data!E145)</f>
        <v>125</v>
      </c>
      <c r="F145" s="20" t="n">
        <f aca="false">IF(Data!F145="","",Data!F145)</f>
        <v>309</v>
      </c>
      <c r="G145" s="28" t="str">
        <f aca="false">IF(Data!G145="","",IFERROR(VLOOKUP(Data!G145,Codes!$A$18:$B$19,2,FALSE()),"Invalid ("&amp;Data!G145&amp;")"))</f>
        <v>No</v>
      </c>
      <c r="H145" s="28" t="str">
        <f aca="false">IF(Data!H145="","",IFERROR(VLOOKUP(Data!H145,Codes!$A$23:$B$25,2,FALSE()),"Invalid ("&amp;Data!H145&amp;")"))</f>
        <v>Normal</v>
      </c>
      <c r="I145" s="20" t="n">
        <f aca="false">IF(Data!I145="","",Data!I145)</f>
        <v>131</v>
      </c>
      <c r="J145" s="28" t="str">
        <f aca="false">IF(Data!J145="","",IFERROR(VLOOKUP(Data!J145,Codes!$A$29:$B$30,2,FALSE()),"Invalid ("&amp;Data!J145&amp;")"))</f>
        <v>Yes</v>
      </c>
      <c r="K145" s="21" t="n">
        <f aca="false">IF(Data!K145="","",Data!K145)</f>
        <v>1.8</v>
      </c>
      <c r="L145" s="28" t="str">
        <f aca="false">IF(Data!L145="","",IFERROR(VLOOKUP(Data!L145,Codes!$A$34:$B$36,2,FALSE()),"Invalid ("&amp;Data!L145&amp;")"))</f>
        <v>Flat</v>
      </c>
      <c r="M145" s="20" t="n">
        <f aca="false">IF(Data!M145="","",Data!M145)</f>
        <v>0</v>
      </c>
      <c r="N145" s="28" t="str">
        <f aca="false">IF(Data!N145="","",IFERROR(VLOOKUP(Data!N145,Codes!$A$47:$B$49,2,FALSE()),"Invalid ("&amp;Data!N145&amp;")"))</f>
        <v>Reversible defect</v>
      </c>
      <c r="O145" s="28" t="str">
        <f aca="false">IF(Data!O145="","",IFERROR(VLOOKUP(Data!O145,Codes!$A$53:$B$57,2,FALSE()),"Invalid ("&amp;Data!O145&amp;")"))</f>
        <v>Disease (1)</v>
      </c>
      <c r="P145" s="22" t="str">
        <f aca="false">IF(Data!P145="","",IFERROR(VLOOKUP(Data!P145,Codes!$A$61:$B$64,2,FALSE()),"Invalid ("&amp;Data!P145&amp;")"))</f>
        <v>Cleveland Clinic</v>
      </c>
    </row>
    <row r="146" customFormat="false" ht="15" hidden="false" customHeight="false" outlineLevel="0" collapsed="false">
      <c r="A146" s="19" t="n">
        <f aca="false">Data!A146</f>
        <v>145</v>
      </c>
      <c r="B146" s="20" t="n">
        <f aca="false">IF(Data!B146="","",Data!B146)</f>
        <v>58</v>
      </c>
      <c r="C146" s="28" t="str">
        <f aca="false">IF(Data!C146="","",IFERROR(VLOOKUP(Data!C146,Codes!$A$6:$B$7,2,FALSE()),"Invalid ("&amp;Data!C146&amp;")"))</f>
        <v>Male</v>
      </c>
      <c r="D146" s="28" t="str">
        <f aca="false">IF(Data!D146="","",IFERROR(VLOOKUP(Data!D146,Codes!$A$11:$B$14,2,FALSE()),"Invalid ("&amp;Data!D146&amp;")"))</f>
        <v>Non-anginal pain</v>
      </c>
      <c r="E146" s="20" t="n">
        <f aca="false">IF(Data!E146="","",Data!E146)</f>
        <v>105</v>
      </c>
      <c r="F146" s="20" t="n">
        <f aca="false">IF(Data!F146="","",Data!F146)</f>
        <v>240</v>
      </c>
      <c r="G146" s="28" t="str">
        <f aca="false">IF(Data!G146="","",IFERROR(VLOOKUP(Data!G146,Codes!$A$18:$B$19,2,FALSE()),"Invalid ("&amp;Data!G146&amp;")"))</f>
        <v>No</v>
      </c>
      <c r="H146" s="28" t="str">
        <f aca="false">IF(Data!H146="","",IFERROR(VLOOKUP(Data!H146,Codes!$A$23:$B$25,2,FALSE()),"Invalid ("&amp;Data!H146&amp;")"))</f>
        <v>Left ventricular hypertrophy</v>
      </c>
      <c r="I146" s="20" t="n">
        <f aca="false">IF(Data!I146="","",Data!I146)</f>
        <v>154</v>
      </c>
      <c r="J146" s="28" t="str">
        <f aca="false">IF(Data!J146="","",IFERROR(VLOOKUP(Data!J146,Codes!$A$29:$B$30,2,FALSE()),"Invalid ("&amp;Data!J146&amp;")"))</f>
        <v>Yes</v>
      </c>
      <c r="K146" s="21" t="n">
        <f aca="false">IF(Data!K146="","",Data!K146)</f>
        <v>0.6</v>
      </c>
      <c r="L146" s="28" t="str">
        <f aca="false">IF(Data!L146="","",IFERROR(VLOOKUP(Data!L146,Codes!$A$34:$B$36,2,FALSE()),"Invalid ("&amp;Data!L146&amp;")"))</f>
        <v>Flat</v>
      </c>
      <c r="M146" s="20" t="n">
        <f aca="false">IF(Data!M146="","",Data!M146)</f>
        <v>0</v>
      </c>
      <c r="N146" s="28" t="str">
        <f aca="false">IF(Data!N146="","",IFERROR(VLOOKUP(Data!N146,Codes!$A$47:$B$49,2,FALSE()),"Invalid ("&amp;Data!N146&amp;")"))</f>
        <v>Reversible defect</v>
      </c>
      <c r="O146" s="28" t="str">
        <f aca="false">IF(Data!O146="","",IFERROR(VLOOKUP(Data!O146,Codes!$A$53:$B$57,2,FALSE()),"Invalid ("&amp;Data!O146&amp;")"))</f>
        <v>No disease</v>
      </c>
      <c r="P146" s="22" t="str">
        <f aca="false">IF(Data!P146="","",IFERROR(VLOOKUP(Data!P146,Codes!$A$61:$B$64,2,FALSE()),"Invalid ("&amp;Data!P146&amp;")"))</f>
        <v>Cleveland Clinic</v>
      </c>
    </row>
    <row r="147" customFormat="false" ht="15" hidden="false" customHeight="false" outlineLevel="0" collapsed="false">
      <c r="A147" s="19" t="n">
        <f aca="false">Data!A147</f>
        <v>146</v>
      </c>
      <c r="B147" s="20" t="n">
        <f aca="false">IF(Data!B147="","",Data!B147)</f>
        <v>47</v>
      </c>
      <c r="C147" s="28" t="str">
        <f aca="false">IF(Data!C147="","",IFERROR(VLOOKUP(Data!C147,Codes!$A$6:$B$7,2,FALSE()),"Invalid ("&amp;Data!C147&amp;")"))</f>
        <v>Male</v>
      </c>
      <c r="D147" s="28" t="str">
        <f aca="false">IF(Data!D147="","",IFERROR(VLOOKUP(Data!D147,Codes!$A$11:$B$14,2,FALSE()),"Invalid ("&amp;Data!D147&amp;")"))</f>
        <v>Non-anginal pain</v>
      </c>
      <c r="E147" s="20" t="n">
        <f aca="false">IF(Data!E147="","",Data!E147)</f>
        <v>108</v>
      </c>
      <c r="F147" s="20" t="n">
        <f aca="false">IF(Data!F147="","",Data!F147)</f>
        <v>243</v>
      </c>
      <c r="G147" s="28" t="str">
        <f aca="false">IF(Data!G147="","",IFERROR(VLOOKUP(Data!G147,Codes!$A$18:$B$19,2,FALSE()),"Invalid ("&amp;Data!G147&amp;")"))</f>
        <v>No</v>
      </c>
      <c r="H147" s="28" t="str">
        <f aca="false">IF(Data!H147="","",IFERROR(VLOOKUP(Data!H147,Codes!$A$23:$B$25,2,FALSE()),"Invalid ("&amp;Data!H147&amp;")"))</f>
        <v>Normal</v>
      </c>
      <c r="I147" s="20" t="n">
        <f aca="false">IF(Data!I147="","",Data!I147)</f>
        <v>152</v>
      </c>
      <c r="J147" s="28" t="str">
        <f aca="false">IF(Data!J147="","",IFERROR(VLOOKUP(Data!J147,Codes!$A$29:$B$30,2,FALSE()),"Invalid ("&amp;Data!J147&amp;")"))</f>
        <v>No</v>
      </c>
      <c r="K147" s="21" t="n">
        <f aca="false">IF(Data!K147="","",Data!K147)</f>
        <v>0</v>
      </c>
      <c r="L147" s="28" t="str">
        <f aca="false">IF(Data!L147="","",IFERROR(VLOOKUP(Data!L147,Codes!$A$34:$B$36,2,FALSE()),"Invalid ("&amp;Data!L147&amp;")"))</f>
        <v>Upsloping</v>
      </c>
      <c r="M147" s="20" t="n">
        <f aca="false">IF(Data!M147="","",Data!M147)</f>
        <v>0</v>
      </c>
      <c r="N147" s="28" t="str">
        <f aca="false">IF(Data!N147="","",IFERROR(VLOOKUP(Data!N147,Codes!$A$47:$B$49,2,FALSE()),"Invalid ("&amp;Data!N147&amp;")"))</f>
        <v>Normal</v>
      </c>
      <c r="O147" s="28" t="str">
        <f aca="false">IF(Data!O147="","",IFERROR(VLOOKUP(Data!O147,Codes!$A$53:$B$57,2,FALSE()),"Invalid ("&amp;Data!O147&amp;")"))</f>
        <v>Disease (1)</v>
      </c>
      <c r="P147" s="22" t="str">
        <f aca="false">IF(Data!P147="","",IFERROR(VLOOKUP(Data!P147,Codes!$A$61:$B$64,2,FALSE()),"Invalid ("&amp;Data!P147&amp;")"))</f>
        <v>Cleveland Clinic</v>
      </c>
    </row>
    <row r="148" customFormat="false" ht="15" hidden="false" customHeight="false" outlineLevel="0" collapsed="false">
      <c r="A148" s="19" t="n">
        <f aca="false">Data!A148</f>
        <v>147</v>
      </c>
      <c r="B148" s="20" t="n">
        <f aca="false">IF(Data!B148="","",Data!B148)</f>
        <v>57</v>
      </c>
      <c r="C148" s="28" t="str">
        <f aca="false">IF(Data!C148="","",IFERROR(VLOOKUP(Data!C148,Codes!$A$6:$B$7,2,FALSE()),"Invalid ("&amp;Data!C148&amp;")"))</f>
        <v>Male</v>
      </c>
      <c r="D148" s="28" t="str">
        <f aca="false">IF(Data!D148="","",IFERROR(VLOOKUP(Data!D148,Codes!$A$11:$B$14,2,FALSE()),"Invalid ("&amp;Data!D148&amp;")"))</f>
        <v>Asymptomatic</v>
      </c>
      <c r="E148" s="20" t="n">
        <f aca="false">IF(Data!E148="","",Data!E148)</f>
        <v>165</v>
      </c>
      <c r="F148" s="20" t="n">
        <f aca="false">IF(Data!F148="","",Data!F148)</f>
        <v>289</v>
      </c>
      <c r="G148" s="28" t="str">
        <f aca="false">IF(Data!G148="","",IFERROR(VLOOKUP(Data!G148,Codes!$A$18:$B$19,2,FALSE()),"Invalid ("&amp;Data!G148&amp;")"))</f>
        <v>Yes</v>
      </c>
      <c r="H148" s="28" t="str">
        <f aca="false">IF(Data!H148="","",IFERROR(VLOOKUP(Data!H148,Codes!$A$23:$B$25,2,FALSE()),"Invalid ("&amp;Data!H148&amp;")"))</f>
        <v>Left ventricular hypertrophy</v>
      </c>
      <c r="I148" s="20" t="n">
        <f aca="false">IF(Data!I148="","",Data!I148)</f>
        <v>124</v>
      </c>
      <c r="J148" s="28" t="str">
        <f aca="false">IF(Data!J148="","",IFERROR(VLOOKUP(Data!J148,Codes!$A$29:$B$30,2,FALSE()),"Invalid ("&amp;Data!J148&amp;")"))</f>
        <v>No</v>
      </c>
      <c r="K148" s="21" t="n">
        <f aca="false">IF(Data!K148="","",Data!K148)</f>
        <v>1</v>
      </c>
      <c r="L148" s="28" t="str">
        <f aca="false">IF(Data!L148="","",IFERROR(VLOOKUP(Data!L148,Codes!$A$34:$B$36,2,FALSE()),"Invalid ("&amp;Data!L148&amp;")"))</f>
        <v>Flat</v>
      </c>
      <c r="M148" s="20" t="n">
        <f aca="false">IF(Data!M148="","",Data!M148)</f>
        <v>3</v>
      </c>
      <c r="N148" s="28" t="str">
        <f aca="false">IF(Data!N148="","",IFERROR(VLOOKUP(Data!N148,Codes!$A$47:$B$49,2,FALSE()),"Invalid ("&amp;Data!N148&amp;")"))</f>
        <v>Reversible defect</v>
      </c>
      <c r="O148" s="28" t="str">
        <f aca="false">IF(Data!O148="","",IFERROR(VLOOKUP(Data!O148,Codes!$A$53:$B$57,2,FALSE()),"Invalid ("&amp;Data!O148&amp;")"))</f>
        <v>Disease (4)</v>
      </c>
      <c r="P148" s="22" t="str">
        <f aca="false">IF(Data!P148="","",IFERROR(VLOOKUP(Data!P148,Codes!$A$61:$B$64,2,FALSE()),"Invalid ("&amp;Data!P148&amp;")"))</f>
        <v>Cleveland Clinic</v>
      </c>
    </row>
    <row r="149" customFormat="false" ht="15" hidden="false" customHeight="false" outlineLevel="0" collapsed="false">
      <c r="A149" s="19" t="n">
        <f aca="false">Data!A149</f>
        <v>148</v>
      </c>
      <c r="B149" s="20" t="n">
        <f aca="false">IF(Data!B149="","",Data!B149)</f>
        <v>41</v>
      </c>
      <c r="C149" s="28" t="str">
        <f aca="false">IF(Data!C149="","",IFERROR(VLOOKUP(Data!C149,Codes!$A$6:$B$7,2,FALSE()),"Invalid ("&amp;Data!C149&amp;")"))</f>
        <v>Male</v>
      </c>
      <c r="D149" s="28" t="str">
        <f aca="false">IF(Data!D149="","",IFERROR(VLOOKUP(Data!D149,Codes!$A$11:$B$14,2,FALSE()),"Invalid ("&amp;Data!D149&amp;")"))</f>
        <v>Non-anginal pain</v>
      </c>
      <c r="E149" s="20" t="n">
        <f aca="false">IF(Data!E149="","",Data!E149)</f>
        <v>112</v>
      </c>
      <c r="F149" s="20" t="n">
        <f aca="false">IF(Data!F149="","",Data!F149)</f>
        <v>250</v>
      </c>
      <c r="G149" s="28" t="str">
        <f aca="false">IF(Data!G149="","",IFERROR(VLOOKUP(Data!G149,Codes!$A$18:$B$19,2,FALSE()),"Invalid ("&amp;Data!G149&amp;")"))</f>
        <v>No</v>
      </c>
      <c r="H149" s="28" t="str">
        <f aca="false">IF(Data!H149="","",IFERROR(VLOOKUP(Data!H149,Codes!$A$23:$B$25,2,FALSE()),"Invalid ("&amp;Data!H149&amp;")"))</f>
        <v>Normal</v>
      </c>
      <c r="I149" s="20" t="n">
        <f aca="false">IF(Data!I149="","",Data!I149)</f>
        <v>179</v>
      </c>
      <c r="J149" s="28" t="str">
        <f aca="false">IF(Data!J149="","",IFERROR(VLOOKUP(Data!J149,Codes!$A$29:$B$30,2,FALSE()),"Invalid ("&amp;Data!J149&amp;")"))</f>
        <v>No</v>
      </c>
      <c r="K149" s="21" t="n">
        <f aca="false">IF(Data!K149="","",Data!K149)</f>
        <v>0</v>
      </c>
      <c r="L149" s="28" t="str">
        <f aca="false">IF(Data!L149="","",IFERROR(VLOOKUP(Data!L149,Codes!$A$34:$B$36,2,FALSE()),"Invalid ("&amp;Data!L149&amp;")"))</f>
        <v>Upsloping</v>
      </c>
      <c r="M149" s="20" t="n">
        <f aca="false">IF(Data!M149="","",Data!M149)</f>
        <v>0</v>
      </c>
      <c r="N149" s="28" t="str">
        <f aca="false">IF(Data!N149="","",IFERROR(VLOOKUP(Data!N149,Codes!$A$47:$B$49,2,FALSE()),"Invalid ("&amp;Data!N149&amp;")"))</f>
        <v>Normal</v>
      </c>
      <c r="O149" s="28" t="str">
        <f aca="false">IF(Data!O149="","",IFERROR(VLOOKUP(Data!O149,Codes!$A$53:$B$57,2,FALSE()),"Invalid ("&amp;Data!O149&amp;")"))</f>
        <v>No disease</v>
      </c>
      <c r="P149" s="22" t="str">
        <f aca="false">IF(Data!P149="","",IFERROR(VLOOKUP(Data!P149,Codes!$A$61:$B$64,2,FALSE()),"Invalid ("&amp;Data!P149&amp;")"))</f>
        <v>Cleveland Clinic</v>
      </c>
    </row>
    <row r="150" customFormat="false" ht="15" hidden="false" customHeight="false" outlineLevel="0" collapsed="false">
      <c r="A150" s="19" t="n">
        <f aca="false">Data!A150</f>
        <v>149</v>
      </c>
      <c r="B150" s="20" t="n">
        <f aca="false">IF(Data!B150="","",Data!B150)</f>
        <v>45</v>
      </c>
      <c r="C150" s="28" t="str">
        <f aca="false">IF(Data!C150="","",IFERROR(VLOOKUP(Data!C150,Codes!$A$6:$B$7,2,FALSE()),"Invalid ("&amp;Data!C150&amp;")"))</f>
        <v>Male</v>
      </c>
      <c r="D150" s="28" t="str">
        <f aca="false">IF(Data!D150="","",IFERROR(VLOOKUP(Data!D150,Codes!$A$11:$B$14,2,FALSE()),"Invalid ("&amp;Data!D150&amp;")"))</f>
        <v>Atypical angina</v>
      </c>
      <c r="E150" s="20" t="n">
        <f aca="false">IF(Data!E150="","",Data!E150)</f>
        <v>128</v>
      </c>
      <c r="F150" s="20" t="n">
        <f aca="false">IF(Data!F150="","",Data!F150)</f>
        <v>308</v>
      </c>
      <c r="G150" s="28" t="str">
        <f aca="false">IF(Data!G150="","",IFERROR(VLOOKUP(Data!G150,Codes!$A$18:$B$19,2,FALSE()),"Invalid ("&amp;Data!G150&amp;")"))</f>
        <v>No</v>
      </c>
      <c r="H150" s="28" t="str">
        <f aca="false">IF(Data!H150="","",IFERROR(VLOOKUP(Data!H150,Codes!$A$23:$B$25,2,FALSE()),"Invalid ("&amp;Data!H150&amp;")"))</f>
        <v>Left ventricular hypertrophy</v>
      </c>
      <c r="I150" s="20" t="n">
        <f aca="false">IF(Data!I150="","",Data!I150)</f>
        <v>170</v>
      </c>
      <c r="J150" s="28" t="str">
        <f aca="false">IF(Data!J150="","",IFERROR(VLOOKUP(Data!J150,Codes!$A$29:$B$30,2,FALSE()),"Invalid ("&amp;Data!J150&amp;")"))</f>
        <v>No</v>
      </c>
      <c r="K150" s="21" t="n">
        <f aca="false">IF(Data!K150="","",Data!K150)</f>
        <v>0</v>
      </c>
      <c r="L150" s="28" t="str">
        <f aca="false">IF(Data!L150="","",IFERROR(VLOOKUP(Data!L150,Codes!$A$34:$B$36,2,FALSE()),"Invalid ("&amp;Data!L150&amp;")"))</f>
        <v>Upsloping</v>
      </c>
      <c r="M150" s="20" t="n">
        <f aca="false">IF(Data!M150="","",Data!M150)</f>
        <v>0</v>
      </c>
      <c r="N150" s="28" t="str">
        <f aca="false">IF(Data!N150="","",IFERROR(VLOOKUP(Data!N150,Codes!$A$47:$B$49,2,FALSE()),"Invalid ("&amp;Data!N150&amp;")"))</f>
        <v>Normal</v>
      </c>
      <c r="O150" s="28" t="str">
        <f aca="false">IF(Data!O150="","",IFERROR(VLOOKUP(Data!O150,Codes!$A$53:$B$57,2,FALSE()),"Invalid ("&amp;Data!O150&amp;")"))</f>
        <v>No disease</v>
      </c>
      <c r="P150" s="22" t="str">
        <f aca="false">IF(Data!P150="","",IFERROR(VLOOKUP(Data!P150,Codes!$A$61:$B$64,2,FALSE()),"Invalid ("&amp;Data!P150&amp;")"))</f>
        <v>Cleveland Clinic</v>
      </c>
    </row>
    <row r="151" customFormat="false" ht="15" hidden="false" customHeight="false" outlineLevel="0" collapsed="false">
      <c r="A151" s="19" t="n">
        <f aca="false">Data!A151</f>
        <v>150</v>
      </c>
      <c r="B151" s="20" t="n">
        <f aca="false">IF(Data!B151="","",Data!B151)</f>
        <v>60</v>
      </c>
      <c r="C151" s="28" t="str">
        <f aca="false">IF(Data!C151="","",IFERROR(VLOOKUP(Data!C151,Codes!$A$6:$B$7,2,FALSE()),"Invalid ("&amp;Data!C151&amp;")"))</f>
        <v>Female</v>
      </c>
      <c r="D151" s="28" t="str">
        <f aca="false">IF(Data!D151="","",IFERROR(VLOOKUP(Data!D151,Codes!$A$11:$B$14,2,FALSE()),"Invalid ("&amp;Data!D151&amp;")"))</f>
        <v>Non-anginal pain</v>
      </c>
      <c r="E151" s="20" t="n">
        <f aca="false">IF(Data!E151="","",Data!E151)</f>
        <v>102</v>
      </c>
      <c r="F151" s="20" t="n">
        <f aca="false">IF(Data!F151="","",Data!F151)</f>
        <v>318</v>
      </c>
      <c r="G151" s="28" t="str">
        <f aca="false">IF(Data!G151="","",IFERROR(VLOOKUP(Data!G151,Codes!$A$18:$B$19,2,FALSE()),"Invalid ("&amp;Data!G151&amp;")"))</f>
        <v>No</v>
      </c>
      <c r="H151" s="28" t="str">
        <f aca="false">IF(Data!H151="","",IFERROR(VLOOKUP(Data!H151,Codes!$A$23:$B$25,2,FALSE()),"Invalid ("&amp;Data!H151&amp;")"))</f>
        <v>Normal</v>
      </c>
      <c r="I151" s="20" t="n">
        <f aca="false">IF(Data!I151="","",Data!I151)</f>
        <v>160</v>
      </c>
      <c r="J151" s="28" t="str">
        <f aca="false">IF(Data!J151="","",IFERROR(VLOOKUP(Data!J151,Codes!$A$29:$B$30,2,FALSE()),"Invalid ("&amp;Data!J151&amp;")"))</f>
        <v>No</v>
      </c>
      <c r="K151" s="21" t="n">
        <f aca="false">IF(Data!K151="","",Data!K151)</f>
        <v>0</v>
      </c>
      <c r="L151" s="28" t="str">
        <f aca="false">IF(Data!L151="","",IFERROR(VLOOKUP(Data!L151,Codes!$A$34:$B$36,2,FALSE()),"Invalid ("&amp;Data!L151&amp;")"))</f>
        <v>Upsloping</v>
      </c>
      <c r="M151" s="20" t="n">
        <f aca="false">IF(Data!M151="","",Data!M151)</f>
        <v>1</v>
      </c>
      <c r="N151" s="28" t="str">
        <f aca="false">IF(Data!N151="","",IFERROR(VLOOKUP(Data!N151,Codes!$A$47:$B$49,2,FALSE()),"Invalid ("&amp;Data!N151&amp;")"))</f>
        <v>Normal</v>
      </c>
      <c r="O151" s="28" t="str">
        <f aca="false">IF(Data!O151="","",IFERROR(VLOOKUP(Data!O151,Codes!$A$53:$B$57,2,FALSE()),"Invalid ("&amp;Data!O151&amp;")"))</f>
        <v>No disease</v>
      </c>
      <c r="P151" s="22" t="str">
        <f aca="false">IF(Data!P151="","",IFERROR(VLOOKUP(Data!P151,Codes!$A$61:$B$64,2,FALSE()),"Invalid ("&amp;Data!P151&amp;")"))</f>
        <v>Cleveland Clinic</v>
      </c>
    </row>
    <row r="152" customFormat="false" ht="15" hidden="false" customHeight="false" outlineLevel="0" collapsed="false">
      <c r="A152" s="19" t="n">
        <f aca="false">Data!A152</f>
        <v>151</v>
      </c>
      <c r="B152" s="20" t="n">
        <f aca="false">IF(Data!B152="","",Data!B152)</f>
        <v>52</v>
      </c>
      <c r="C152" s="28" t="str">
        <f aca="false">IF(Data!C152="","",IFERROR(VLOOKUP(Data!C152,Codes!$A$6:$B$7,2,FALSE()),"Invalid ("&amp;Data!C152&amp;")"))</f>
        <v>Male</v>
      </c>
      <c r="D152" s="28" t="str">
        <f aca="false">IF(Data!D152="","",IFERROR(VLOOKUP(Data!D152,Codes!$A$11:$B$14,2,FALSE()),"Invalid ("&amp;Data!D152&amp;")"))</f>
        <v>Typical angina</v>
      </c>
      <c r="E152" s="20" t="n">
        <f aca="false">IF(Data!E152="","",Data!E152)</f>
        <v>152</v>
      </c>
      <c r="F152" s="20" t="n">
        <f aca="false">IF(Data!F152="","",Data!F152)</f>
        <v>298</v>
      </c>
      <c r="G152" s="28" t="str">
        <f aca="false">IF(Data!G152="","",IFERROR(VLOOKUP(Data!G152,Codes!$A$18:$B$19,2,FALSE()),"Invalid ("&amp;Data!G152&amp;")"))</f>
        <v>Yes</v>
      </c>
      <c r="H152" s="28" t="str">
        <f aca="false">IF(Data!H152="","",IFERROR(VLOOKUP(Data!H152,Codes!$A$23:$B$25,2,FALSE()),"Invalid ("&amp;Data!H152&amp;")"))</f>
        <v>Normal</v>
      </c>
      <c r="I152" s="20" t="n">
        <f aca="false">IF(Data!I152="","",Data!I152)</f>
        <v>178</v>
      </c>
      <c r="J152" s="28" t="str">
        <f aca="false">IF(Data!J152="","",IFERROR(VLOOKUP(Data!J152,Codes!$A$29:$B$30,2,FALSE()),"Invalid ("&amp;Data!J152&amp;")"))</f>
        <v>No</v>
      </c>
      <c r="K152" s="21" t="n">
        <f aca="false">IF(Data!K152="","",Data!K152)</f>
        <v>1.2</v>
      </c>
      <c r="L152" s="28" t="str">
        <f aca="false">IF(Data!L152="","",IFERROR(VLOOKUP(Data!L152,Codes!$A$34:$B$36,2,FALSE()),"Invalid ("&amp;Data!L152&amp;")"))</f>
        <v>Flat</v>
      </c>
      <c r="M152" s="20" t="n">
        <f aca="false">IF(Data!M152="","",Data!M152)</f>
        <v>0</v>
      </c>
      <c r="N152" s="28" t="str">
        <f aca="false">IF(Data!N152="","",IFERROR(VLOOKUP(Data!N152,Codes!$A$47:$B$49,2,FALSE()),"Invalid ("&amp;Data!N152&amp;")"))</f>
        <v>Reversible defect</v>
      </c>
      <c r="O152" s="28" t="str">
        <f aca="false">IF(Data!O152="","",IFERROR(VLOOKUP(Data!O152,Codes!$A$53:$B$57,2,FALSE()),"Invalid ("&amp;Data!O152&amp;")"))</f>
        <v>No disease</v>
      </c>
      <c r="P152" s="22" t="str">
        <f aca="false">IF(Data!P152="","",IFERROR(VLOOKUP(Data!P152,Codes!$A$61:$B$64,2,FALSE()),"Invalid ("&amp;Data!P152&amp;")"))</f>
        <v>Cleveland Clinic</v>
      </c>
    </row>
    <row r="153" customFormat="false" ht="15" hidden="false" customHeight="false" outlineLevel="0" collapsed="false">
      <c r="A153" s="19" t="n">
        <f aca="false">Data!A153</f>
        <v>152</v>
      </c>
      <c r="B153" s="20" t="n">
        <f aca="false">IF(Data!B153="","",Data!B153)</f>
        <v>42</v>
      </c>
      <c r="C153" s="28" t="str">
        <f aca="false">IF(Data!C153="","",IFERROR(VLOOKUP(Data!C153,Codes!$A$6:$B$7,2,FALSE()),"Invalid ("&amp;Data!C153&amp;")"))</f>
        <v>Female</v>
      </c>
      <c r="D153" s="28" t="str">
        <f aca="false">IF(Data!D153="","",IFERROR(VLOOKUP(Data!D153,Codes!$A$11:$B$14,2,FALSE()),"Invalid ("&amp;Data!D153&amp;")"))</f>
        <v>Asymptomatic</v>
      </c>
      <c r="E153" s="20" t="n">
        <f aca="false">IF(Data!E153="","",Data!E153)</f>
        <v>102</v>
      </c>
      <c r="F153" s="20" t="n">
        <f aca="false">IF(Data!F153="","",Data!F153)</f>
        <v>265</v>
      </c>
      <c r="G153" s="28" t="str">
        <f aca="false">IF(Data!G153="","",IFERROR(VLOOKUP(Data!G153,Codes!$A$18:$B$19,2,FALSE()),"Invalid ("&amp;Data!G153&amp;")"))</f>
        <v>No</v>
      </c>
      <c r="H153" s="28" t="str">
        <f aca="false">IF(Data!H153="","",IFERROR(VLOOKUP(Data!H153,Codes!$A$23:$B$25,2,FALSE()),"Invalid ("&amp;Data!H153&amp;")"))</f>
        <v>Left ventricular hypertrophy</v>
      </c>
      <c r="I153" s="20" t="n">
        <f aca="false">IF(Data!I153="","",Data!I153)</f>
        <v>122</v>
      </c>
      <c r="J153" s="28" t="str">
        <f aca="false">IF(Data!J153="","",IFERROR(VLOOKUP(Data!J153,Codes!$A$29:$B$30,2,FALSE()),"Invalid ("&amp;Data!J153&amp;")"))</f>
        <v>No</v>
      </c>
      <c r="K153" s="21" t="n">
        <f aca="false">IF(Data!K153="","",Data!K153)</f>
        <v>0.6</v>
      </c>
      <c r="L153" s="28" t="str">
        <f aca="false">IF(Data!L153="","",IFERROR(VLOOKUP(Data!L153,Codes!$A$34:$B$36,2,FALSE()),"Invalid ("&amp;Data!L153&amp;")"))</f>
        <v>Flat</v>
      </c>
      <c r="M153" s="20" t="n">
        <f aca="false">IF(Data!M153="","",Data!M153)</f>
        <v>0</v>
      </c>
      <c r="N153" s="28" t="str">
        <f aca="false">IF(Data!N153="","",IFERROR(VLOOKUP(Data!N153,Codes!$A$47:$B$49,2,FALSE()),"Invalid ("&amp;Data!N153&amp;")"))</f>
        <v>Normal</v>
      </c>
      <c r="O153" s="28" t="str">
        <f aca="false">IF(Data!O153="","",IFERROR(VLOOKUP(Data!O153,Codes!$A$53:$B$57,2,FALSE()),"Invalid ("&amp;Data!O153&amp;")"))</f>
        <v>No disease</v>
      </c>
      <c r="P153" s="22" t="str">
        <f aca="false">IF(Data!P153="","",IFERROR(VLOOKUP(Data!P153,Codes!$A$61:$B$64,2,FALSE()),"Invalid ("&amp;Data!P153&amp;")"))</f>
        <v>Cleveland Clinic</v>
      </c>
    </row>
    <row r="154" customFormat="false" ht="15" hidden="false" customHeight="false" outlineLevel="0" collapsed="false">
      <c r="A154" s="19" t="n">
        <f aca="false">Data!A154</f>
        <v>153</v>
      </c>
      <c r="B154" s="20" t="n">
        <f aca="false">IF(Data!B154="","",Data!B154)</f>
        <v>67</v>
      </c>
      <c r="C154" s="28" t="str">
        <f aca="false">IF(Data!C154="","",IFERROR(VLOOKUP(Data!C154,Codes!$A$6:$B$7,2,FALSE()),"Invalid ("&amp;Data!C154&amp;")"))</f>
        <v>Female</v>
      </c>
      <c r="D154" s="28" t="str">
        <f aca="false">IF(Data!D154="","",IFERROR(VLOOKUP(Data!D154,Codes!$A$11:$B$14,2,FALSE()),"Invalid ("&amp;Data!D154&amp;")"))</f>
        <v>Non-anginal pain</v>
      </c>
      <c r="E154" s="20" t="n">
        <f aca="false">IF(Data!E154="","",Data!E154)</f>
        <v>115</v>
      </c>
      <c r="F154" s="20" t="n">
        <f aca="false">IF(Data!F154="","",Data!F154)</f>
        <v>564</v>
      </c>
      <c r="G154" s="28" t="str">
        <f aca="false">IF(Data!G154="","",IFERROR(VLOOKUP(Data!G154,Codes!$A$18:$B$19,2,FALSE()),"Invalid ("&amp;Data!G154&amp;")"))</f>
        <v>No</v>
      </c>
      <c r="H154" s="28" t="str">
        <f aca="false">IF(Data!H154="","",IFERROR(VLOOKUP(Data!H154,Codes!$A$23:$B$25,2,FALSE()),"Invalid ("&amp;Data!H154&amp;")"))</f>
        <v>Left ventricular hypertrophy</v>
      </c>
      <c r="I154" s="20" t="n">
        <f aca="false">IF(Data!I154="","",Data!I154)</f>
        <v>160</v>
      </c>
      <c r="J154" s="28" t="str">
        <f aca="false">IF(Data!J154="","",IFERROR(VLOOKUP(Data!J154,Codes!$A$29:$B$30,2,FALSE()),"Invalid ("&amp;Data!J154&amp;")"))</f>
        <v>No</v>
      </c>
      <c r="K154" s="21" t="n">
        <f aca="false">IF(Data!K154="","",Data!K154)</f>
        <v>1.6</v>
      </c>
      <c r="L154" s="28" t="str">
        <f aca="false">IF(Data!L154="","",IFERROR(VLOOKUP(Data!L154,Codes!$A$34:$B$36,2,FALSE()),"Invalid ("&amp;Data!L154&amp;")"))</f>
        <v>Flat</v>
      </c>
      <c r="M154" s="20" t="n">
        <f aca="false">IF(Data!M154="","",Data!M154)</f>
        <v>0</v>
      </c>
      <c r="N154" s="28" t="str">
        <f aca="false">IF(Data!N154="","",IFERROR(VLOOKUP(Data!N154,Codes!$A$47:$B$49,2,FALSE()),"Invalid ("&amp;Data!N154&amp;")"))</f>
        <v>Reversible defect</v>
      </c>
      <c r="O154" s="28" t="str">
        <f aca="false">IF(Data!O154="","",IFERROR(VLOOKUP(Data!O154,Codes!$A$53:$B$57,2,FALSE()),"Invalid ("&amp;Data!O154&amp;")"))</f>
        <v>No disease</v>
      </c>
      <c r="P154" s="22" t="str">
        <f aca="false">IF(Data!P154="","",IFERROR(VLOOKUP(Data!P154,Codes!$A$61:$B$64,2,FALSE()),"Invalid ("&amp;Data!P154&amp;")"))</f>
        <v>Cleveland Clinic</v>
      </c>
    </row>
    <row r="155" customFormat="false" ht="15" hidden="false" customHeight="false" outlineLevel="0" collapsed="false">
      <c r="A155" s="19" t="n">
        <f aca="false">Data!A155</f>
        <v>154</v>
      </c>
      <c r="B155" s="20" t="n">
        <f aca="false">IF(Data!B155="","",Data!B155)</f>
        <v>55</v>
      </c>
      <c r="C155" s="28" t="str">
        <f aca="false">IF(Data!C155="","",IFERROR(VLOOKUP(Data!C155,Codes!$A$6:$B$7,2,FALSE()),"Invalid ("&amp;Data!C155&amp;")"))</f>
        <v>Male</v>
      </c>
      <c r="D155" s="28" t="str">
        <f aca="false">IF(Data!D155="","",IFERROR(VLOOKUP(Data!D155,Codes!$A$11:$B$14,2,FALSE()),"Invalid ("&amp;Data!D155&amp;")"))</f>
        <v>Asymptomatic</v>
      </c>
      <c r="E155" s="20" t="n">
        <f aca="false">IF(Data!E155="","",Data!E155)</f>
        <v>160</v>
      </c>
      <c r="F155" s="20" t="n">
        <f aca="false">IF(Data!F155="","",Data!F155)</f>
        <v>289</v>
      </c>
      <c r="G155" s="28" t="str">
        <f aca="false">IF(Data!G155="","",IFERROR(VLOOKUP(Data!G155,Codes!$A$18:$B$19,2,FALSE()),"Invalid ("&amp;Data!G155&amp;")"))</f>
        <v>No</v>
      </c>
      <c r="H155" s="28" t="str">
        <f aca="false">IF(Data!H155="","",IFERROR(VLOOKUP(Data!H155,Codes!$A$23:$B$25,2,FALSE()),"Invalid ("&amp;Data!H155&amp;")"))</f>
        <v>Left ventricular hypertrophy</v>
      </c>
      <c r="I155" s="20" t="n">
        <f aca="false">IF(Data!I155="","",Data!I155)</f>
        <v>145</v>
      </c>
      <c r="J155" s="28" t="str">
        <f aca="false">IF(Data!J155="","",IFERROR(VLOOKUP(Data!J155,Codes!$A$29:$B$30,2,FALSE()),"Invalid ("&amp;Data!J155&amp;")"))</f>
        <v>Yes</v>
      </c>
      <c r="K155" s="21" t="n">
        <f aca="false">IF(Data!K155="","",Data!K155)</f>
        <v>0.8</v>
      </c>
      <c r="L155" s="28" t="str">
        <f aca="false">IF(Data!L155="","",IFERROR(VLOOKUP(Data!L155,Codes!$A$34:$B$36,2,FALSE()),"Invalid ("&amp;Data!L155&amp;")"))</f>
        <v>Flat</v>
      </c>
      <c r="M155" s="20" t="n">
        <f aca="false">IF(Data!M155="","",Data!M155)</f>
        <v>1</v>
      </c>
      <c r="N155" s="28" t="str">
        <f aca="false">IF(Data!N155="","",IFERROR(VLOOKUP(Data!N155,Codes!$A$47:$B$49,2,FALSE()),"Invalid ("&amp;Data!N155&amp;")"))</f>
        <v>Reversible defect</v>
      </c>
      <c r="O155" s="28" t="str">
        <f aca="false">IF(Data!O155="","",IFERROR(VLOOKUP(Data!O155,Codes!$A$53:$B$57,2,FALSE()),"Invalid ("&amp;Data!O155&amp;")"))</f>
        <v>Disease (4)</v>
      </c>
      <c r="P155" s="22" t="str">
        <f aca="false">IF(Data!P155="","",IFERROR(VLOOKUP(Data!P155,Codes!$A$61:$B$64,2,FALSE()),"Invalid ("&amp;Data!P155&amp;")"))</f>
        <v>Cleveland Clinic</v>
      </c>
    </row>
    <row r="156" customFormat="false" ht="15" hidden="false" customHeight="false" outlineLevel="0" collapsed="false">
      <c r="A156" s="19" t="n">
        <f aca="false">Data!A156</f>
        <v>155</v>
      </c>
      <c r="B156" s="20" t="n">
        <f aca="false">IF(Data!B156="","",Data!B156)</f>
        <v>64</v>
      </c>
      <c r="C156" s="28" t="str">
        <f aca="false">IF(Data!C156="","",IFERROR(VLOOKUP(Data!C156,Codes!$A$6:$B$7,2,FALSE()),"Invalid ("&amp;Data!C156&amp;")"))</f>
        <v>Male</v>
      </c>
      <c r="D156" s="28" t="str">
        <f aca="false">IF(Data!D156="","",IFERROR(VLOOKUP(Data!D156,Codes!$A$11:$B$14,2,FALSE()),"Invalid ("&amp;Data!D156&amp;")"))</f>
        <v>Asymptomatic</v>
      </c>
      <c r="E156" s="20" t="n">
        <f aca="false">IF(Data!E156="","",Data!E156)</f>
        <v>120</v>
      </c>
      <c r="F156" s="20" t="n">
        <f aca="false">IF(Data!F156="","",Data!F156)</f>
        <v>246</v>
      </c>
      <c r="G156" s="28" t="str">
        <f aca="false">IF(Data!G156="","",IFERROR(VLOOKUP(Data!G156,Codes!$A$18:$B$19,2,FALSE()),"Invalid ("&amp;Data!G156&amp;")"))</f>
        <v>No</v>
      </c>
      <c r="H156" s="28" t="str">
        <f aca="false">IF(Data!H156="","",IFERROR(VLOOKUP(Data!H156,Codes!$A$23:$B$25,2,FALSE()),"Invalid ("&amp;Data!H156&amp;")"))</f>
        <v>Left ventricular hypertrophy</v>
      </c>
      <c r="I156" s="20" t="n">
        <f aca="false">IF(Data!I156="","",Data!I156)</f>
        <v>96</v>
      </c>
      <c r="J156" s="28" t="str">
        <f aca="false">IF(Data!J156="","",IFERROR(VLOOKUP(Data!J156,Codes!$A$29:$B$30,2,FALSE()),"Invalid ("&amp;Data!J156&amp;")"))</f>
        <v>Yes</v>
      </c>
      <c r="K156" s="21" t="n">
        <f aca="false">IF(Data!K156="","",Data!K156)</f>
        <v>2.2</v>
      </c>
      <c r="L156" s="28" t="str">
        <f aca="false">IF(Data!L156="","",IFERROR(VLOOKUP(Data!L156,Codes!$A$34:$B$36,2,FALSE()),"Invalid ("&amp;Data!L156&amp;")"))</f>
        <v>Downsloping</v>
      </c>
      <c r="M156" s="20" t="n">
        <f aca="false">IF(Data!M156="","",Data!M156)</f>
        <v>1</v>
      </c>
      <c r="N156" s="28" t="str">
        <f aca="false">IF(Data!N156="","",IFERROR(VLOOKUP(Data!N156,Codes!$A$47:$B$49,2,FALSE()),"Invalid ("&amp;Data!N156&amp;")"))</f>
        <v>Normal</v>
      </c>
      <c r="O156" s="28" t="str">
        <f aca="false">IF(Data!O156="","",IFERROR(VLOOKUP(Data!O156,Codes!$A$53:$B$57,2,FALSE()),"Invalid ("&amp;Data!O156&amp;")"))</f>
        <v>Disease (3)</v>
      </c>
      <c r="P156" s="22" t="str">
        <f aca="false">IF(Data!P156="","",IFERROR(VLOOKUP(Data!P156,Codes!$A$61:$B$64,2,FALSE()),"Invalid ("&amp;Data!P156&amp;")"))</f>
        <v>Cleveland Clinic</v>
      </c>
    </row>
    <row r="157" customFormat="false" ht="15" hidden="false" customHeight="false" outlineLevel="0" collapsed="false">
      <c r="A157" s="19" t="n">
        <f aca="false">Data!A157</f>
        <v>156</v>
      </c>
      <c r="B157" s="20" t="n">
        <f aca="false">IF(Data!B157="","",Data!B157)</f>
        <v>70</v>
      </c>
      <c r="C157" s="28" t="str">
        <f aca="false">IF(Data!C157="","",IFERROR(VLOOKUP(Data!C157,Codes!$A$6:$B$7,2,FALSE()),"Invalid ("&amp;Data!C157&amp;")"))</f>
        <v>Male</v>
      </c>
      <c r="D157" s="28" t="str">
        <f aca="false">IF(Data!D157="","",IFERROR(VLOOKUP(Data!D157,Codes!$A$11:$B$14,2,FALSE()),"Invalid ("&amp;Data!D157&amp;")"))</f>
        <v>Asymptomatic</v>
      </c>
      <c r="E157" s="20" t="n">
        <f aca="false">IF(Data!E157="","",Data!E157)</f>
        <v>130</v>
      </c>
      <c r="F157" s="20" t="n">
        <f aca="false">IF(Data!F157="","",Data!F157)</f>
        <v>322</v>
      </c>
      <c r="G157" s="28" t="str">
        <f aca="false">IF(Data!G157="","",IFERROR(VLOOKUP(Data!G157,Codes!$A$18:$B$19,2,FALSE()),"Invalid ("&amp;Data!G157&amp;")"))</f>
        <v>No</v>
      </c>
      <c r="H157" s="28" t="str">
        <f aca="false">IF(Data!H157="","",IFERROR(VLOOKUP(Data!H157,Codes!$A$23:$B$25,2,FALSE()),"Invalid ("&amp;Data!H157&amp;")"))</f>
        <v>Left ventricular hypertrophy</v>
      </c>
      <c r="I157" s="20" t="n">
        <f aca="false">IF(Data!I157="","",Data!I157)</f>
        <v>109</v>
      </c>
      <c r="J157" s="28" t="str">
        <f aca="false">IF(Data!J157="","",IFERROR(VLOOKUP(Data!J157,Codes!$A$29:$B$30,2,FALSE()),"Invalid ("&amp;Data!J157&amp;")"))</f>
        <v>No</v>
      </c>
      <c r="K157" s="21" t="n">
        <f aca="false">IF(Data!K157="","",Data!K157)</f>
        <v>2.4</v>
      </c>
      <c r="L157" s="28" t="str">
        <f aca="false">IF(Data!L157="","",IFERROR(VLOOKUP(Data!L157,Codes!$A$34:$B$36,2,FALSE()),"Invalid ("&amp;Data!L157&amp;")"))</f>
        <v>Flat</v>
      </c>
      <c r="M157" s="20" t="n">
        <f aca="false">IF(Data!M157="","",Data!M157)</f>
        <v>3</v>
      </c>
      <c r="N157" s="28" t="str">
        <f aca="false">IF(Data!N157="","",IFERROR(VLOOKUP(Data!N157,Codes!$A$47:$B$49,2,FALSE()),"Invalid ("&amp;Data!N157&amp;")"))</f>
        <v>Normal</v>
      </c>
      <c r="O157" s="28" t="str">
        <f aca="false">IF(Data!O157="","",IFERROR(VLOOKUP(Data!O157,Codes!$A$53:$B$57,2,FALSE()),"Invalid ("&amp;Data!O157&amp;")"))</f>
        <v>Disease (1)</v>
      </c>
      <c r="P157" s="22" t="str">
        <f aca="false">IF(Data!P157="","",IFERROR(VLOOKUP(Data!P157,Codes!$A$61:$B$64,2,FALSE()),"Invalid ("&amp;Data!P157&amp;")"))</f>
        <v>Cleveland Clinic</v>
      </c>
    </row>
    <row r="158" customFormat="false" ht="15" hidden="false" customHeight="false" outlineLevel="0" collapsed="false">
      <c r="A158" s="19" t="n">
        <f aca="false">Data!A158</f>
        <v>157</v>
      </c>
      <c r="B158" s="20" t="n">
        <f aca="false">IF(Data!B158="","",Data!B158)</f>
        <v>51</v>
      </c>
      <c r="C158" s="28" t="str">
        <f aca="false">IF(Data!C158="","",IFERROR(VLOOKUP(Data!C158,Codes!$A$6:$B$7,2,FALSE()),"Invalid ("&amp;Data!C158&amp;")"))</f>
        <v>Male</v>
      </c>
      <c r="D158" s="28" t="str">
        <f aca="false">IF(Data!D158="","",IFERROR(VLOOKUP(Data!D158,Codes!$A$11:$B$14,2,FALSE()),"Invalid ("&amp;Data!D158&amp;")"))</f>
        <v>Asymptomatic</v>
      </c>
      <c r="E158" s="20" t="n">
        <f aca="false">IF(Data!E158="","",Data!E158)</f>
        <v>140</v>
      </c>
      <c r="F158" s="20" t="n">
        <f aca="false">IF(Data!F158="","",Data!F158)</f>
        <v>299</v>
      </c>
      <c r="G158" s="28" t="str">
        <f aca="false">IF(Data!G158="","",IFERROR(VLOOKUP(Data!G158,Codes!$A$18:$B$19,2,FALSE()),"Invalid ("&amp;Data!G158&amp;")"))</f>
        <v>No</v>
      </c>
      <c r="H158" s="28" t="str">
        <f aca="false">IF(Data!H158="","",IFERROR(VLOOKUP(Data!H158,Codes!$A$23:$B$25,2,FALSE()),"Invalid ("&amp;Data!H158&amp;")"))</f>
        <v>Normal</v>
      </c>
      <c r="I158" s="20" t="n">
        <f aca="false">IF(Data!I158="","",Data!I158)</f>
        <v>173</v>
      </c>
      <c r="J158" s="28" t="str">
        <f aca="false">IF(Data!J158="","",IFERROR(VLOOKUP(Data!J158,Codes!$A$29:$B$30,2,FALSE()),"Invalid ("&amp;Data!J158&amp;")"))</f>
        <v>Yes</v>
      </c>
      <c r="K158" s="21" t="n">
        <f aca="false">IF(Data!K158="","",Data!K158)</f>
        <v>1.6</v>
      </c>
      <c r="L158" s="28" t="str">
        <f aca="false">IF(Data!L158="","",IFERROR(VLOOKUP(Data!L158,Codes!$A$34:$B$36,2,FALSE()),"Invalid ("&amp;Data!L158&amp;")"))</f>
        <v>Upsloping</v>
      </c>
      <c r="M158" s="20" t="n">
        <f aca="false">IF(Data!M158="","",Data!M158)</f>
        <v>0</v>
      </c>
      <c r="N158" s="28" t="str">
        <f aca="false">IF(Data!N158="","",IFERROR(VLOOKUP(Data!N158,Codes!$A$47:$B$49,2,FALSE()),"Invalid ("&amp;Data!N158&amp;")"))</f>
        <v>Reversible defect</v>
      </c>
      <c r="O158" s="28" t="str">
        <f aca="false">IF(Data!O158="","",IFERROR(VLOOKUP(Data!O158,Codes!$A$53:$B$57,2,FALSE()),"Invalid ("&amp;Data!O158&amp;")"))</f>
        <v>Disease (1)</v>
      </c>
      <c r="P158" s="22" t="str">
        <f aca="false">IF(Data!P158="","",IFERROR(VLOOKUP(Data!P158,Codes!$A$61:$B$64,2,FALSE()),"Invalid ("&amp;Data!P158&amp;")"))</f>
        <v>Cleveland Clinic</v>
      </c>
    </row>
    <row r="159" customFormat="false" ht="15" hidden="false" customHeight="false" outlineLevel="0" collapsed="false">
      <c r="A159" s="19" t="n">
        <f aca="false">Data!A159</f>
        <v>158</v>
      </c>
      <c r="B159" s="20" t="n">
        <f aca="false">IF(Data!B159="","",Data!B159)</f>
        <v>58</v>
      </c>
      <c r="C159" s="28" t="str">
        <f aca="false">IF(Data!C159="","",IFERROR(VLOOKUP(Data!C159,Codes!$A$6:$B$7,2,FALSE()),"Invalid ("&amp;Data!C159&amp;")"))</f>
        <v>Male</v>
      </c>
      <c r="D159" s="28" t="str">
        <f aca="false">IF(Data!D159="","",IFERROR(VLOOKUP(Data!D159,Codes!$A$11:$B$14,2,FALSE()),"Invalid ("&amp;Data!D159&amp;")"))</f>
        <v>Asymptomatic</v>
      </c>
      <c r="E159" s="20" t="n">
        <f aca="false">IF(Data!E159="","",Data!E159)</f>
        <v>125</v>
      </c>
      <c r="F159" s="20" t="n">
        <f aca="false">IF(Data!F159="","",Data!F159)</f>
        <v>300</v>
      </c>
      <c r="G159" s="28" t="str">
        <f aca="false">IF(Data!G159="","",IFERROR(VLOOKUP(Data!G159,Codes!$A$18:$B$19,2,FALSE()),"Invalid ("&amp;Data!G159&amp;")"))</f>
        <v>No</v>
      </c>
      <c r="H159" s="28" t="str">
        <f aca="false">IF(Data!H159="","",IFERROR(VLOOKUP(Data!H159,Codes!$A$23:$B$25,2,FALSE()),"Invalid ("&amp;Data!H159&amp;")"))</f>
        <v>Left ventricular hypertrophy</v>
      </c>
      <c r="I159" s="20" t="n">
        <f aca="false">IF(Data!I159="","",Data!I159)</f>
        <v>171</v>
      </c>
      <c r="J159" s="28" t="str">
        <f aca="false">IF(Data!J159="","",IFERROR(VLOOKUP(Data!J159,Codes!$A$29:$B$30,2,FALSE()),"Invalid ("&amp;Data!J159&amp;")"))</f>
        <v>No</v>
      </c>
      <c r="K159" s="21" t="n">
        <f aca="false">IF(Data!K159="","",Data!K159)</f>
        <v>0</v>
      </c>
      <c r="L159" s="28" t="str">
        <f aca="false">IF(Data!L159="","",IFERROR(VLOOKUP(Data!L159,Codes!$A$34:$B$36,2,FALSE()),"Invalid ("&amp;Data!L159&amp;")"))</f>
        <v>Upsloping</v>
      </c>
      <c r="M159" s="20" t="n">
        <f aca="false">IF(Data!M159="","",Data!M159)</f>
        <v>2</v>
      </c>
      <c r="N159" s="28" t="str">
        <f aca="false">IF(Data!N159="","",IFERROR(VLOOKUP(Data!N159,Codes!$A$47:$B$49,2,FALSE()),"Invalid ("&amp;Data!N159&amp;")"))</f>
        <v>Reversible defect</v>
      </c>
      <c r="O159" s="28" t="str">
        <f aca="false">IF(Data!O159="","",IFERROR(VLOOKUP(Data!O159,Codes!$A$53:$B$57,2,FALSE()),"Invalid ("&amp;Data!O159&amp;")"))</f>
        <v>Disease (1)</v>
      </c>
      <c r="P159" s="22" t="str">
        <f aca="false">IF(Data!P159="","",IFERROR(VLOOKUP(Data!P159,Codes!$A$61:$B$64,2,FALSE()),"Invalid ("&amp;Data!P159&amp;")"))</f>
        <v>Cleveland Clinic</v>
      </c>
    </row>
    <row r="160" customFormat="false" ht="15" hidden="false" customHeight="false" outlineLevel="0" collapsed="false">
      <c r="A160" s="19" t="n">
        <f aca="false">Data!A160</f>
        <v>159</v>
      </c>
      <c r="B160" s="20" t="n">
        <f aca="false">IF(Data!B160="","",Data!B160)</f>
        <v>60</v>
      </c>
      <c r="C160" s="28" t="str">
        <f aca="false">IF(Data!C160="","",IFERROR(VLOOKUP(Data!C160,Codes!$A$6:$B$7,2,FALSE()),"Invalid ("&amp;Data!C160&amp;")"))</f>
        <v>Male</v>
      </c>
      <c r="D160" s="28" t="str">
        <f aca="false">IF(Data!D160="","",IFERROR(VLOOKUP(Data!D160,Codes!$A$11:$B$14,2,FALSE()),"Invalid ("&amp;Data!D160&amp;")"))</f>
        <v>Asymptomatic</v>
      </c>
      <c r="E160" s="20" t="n">
        <f aca="false">IF(Data!E160="","",Data!E160)</f>
        <v>140</v>
      </c>
      <c r="F160" s="20" t="n">
        <f aca="false">IF(Data!F160="","",Data!F160)</f>
        <v>293</v>
      </c>
      <c r="G160" s="28" t="str">
        <f aca="false">IF(Data!G160="","",IFERROR(VLOOKUP(Data!G160,Codes!$A$18:$B$19,2,FALSE()),"Invalid ("&amp;Data!G160&amp;")"))</f>
        <v>No</v>
      </c>
      <c r="H160" s="28" t="str">
        <f aca="false">IF(Data!H160="","",IFERROR(VLOOKUP(Data!H160,Codes!$A$23:$B$25,2,FALSE()),"Invalid ("&amp;Data!H160&amp;")"))</f>
        <v>Left ventricular hypertrophy</v>
      </c>
      <c r="I160" s="20" t="n">
        <f aca="false">IF(Data!I160="","",Data!I160)</f>
        <v>170</v>
      </c>
      <c r="J160" s="28" t="str">
        <f aca="false">IF(Data!J160="","",IFERROR(VLOOKUP(Data!J160,Codes!$A$29:$B$30,2,FALSE()),"Invalid ("&amp;Data!J160&amp;")"))</f>
        <v>No</v>
      </c>
      <c r="K160" s="21" t="n">
        <f aca="false">IF(Data!K160="","",Data!K160)</f>
        <v>1.2</v>
      </c>
      <c r="L160" s="28" t="str">
        <f aca="false">IF(Data!L160="","",IFERROR(VLOOKUP(Data!L160,Codes!$A$34:$B$36,2,FALSE()),"Invalid ("&amp;Data!L160&amp;")"))</f>
        <v>Flat</v>
      </c>
      <c r="M160" s="20" t="n">
        <f aca="false">IF(Data!M160="","",Data!M160)</f>
        <v>2</v>
      </c>
      <c r="N160" s="28" t="str">
        <f aca="false">IF(Data!N160="","",IFERROR(VLOOKUP(Data!N160,Codes!$A$47:$B$49,2,FALSE()),"Invalid ("&amp;Data!N160&amp;")"))</f>
        <v>Reversible defect</v>
      </c>
      <c r="O160" s="28" t="str">
        <f aca="false">IF(Data!O160="","",IFERROR(VLOOKUP(Data!O160,Codes!$A$53:$B$57,2,FALSE()),"Invalid ("&amp;Data!O160&amp;")"))</f>
        <v>Disease (2)</v>
      </c>
      <c r="P160" s="22" t="str">
        <f aca="false">IF(Data!P160="","",IFERROR(VLOOKUP(Data!P160,Codes!$A$61:$B$64,2,FALSE()),"Invalid ("&amp;Data!P160&amp;")"))</f>
        <v>Cleveland Clinic</v>
      </c>
    </row>
    <row r="161" customFormat="false" ht="15" hidden="false" customHeight="false" outlineLevel="0" collapsed="false">
      <c r="A161" s="19" t="n">
        <f aca="false">Data!A161</f>
        <v>160</v>
      </c>
      <c r="B161" s="20" t="n">
        <f aca="false">IF(Data!B161="","",Data!B161)</f>
        <v>68</v>
      </c>
      <c r="C161" s="28" t="str">
        <f aca="false">IF(Data!C161="","",IFERROR(VLOOKUP(Data!C161,Codes!$A$6:$B$7,2,FALSE()),"Invalid ("&amp;Data!C161&amp;")"))</f>
        <v>Male</v>
      </c>
      <c r="D161" s="28" t="str">
        <f aca="false">IF(Data!D161="","",IFERROR(VLOOKUP(Data!D161,Codes!$A$11:$B$14,2,FALSE()),"Invalid ("&amp;Data!D161&amp;")"))</f>
        <v>Non-anginal pain</v>
      </c>
      <c r="E161" s="20" t="n">
        <f aca="false">IF(Data!E161="","",Data!E161)</f>
        <v>118</v>
      </c>
      <c r="F161" s="20" t="n">
        <f aca="false">IF(Data!F161="","",Data!F161)</f>
        <v>277</v>
      </c>
      <c r="G161" s="28" t="str">
        <f aca="false">IF(Data!G161="","",IFERROR(VLOOKUP(Data!G161,Codes!$A$18:$B$19,2,FALSE()),"Invalid ("&amp;Data!G161&amp;")"))</f>
        <v>No</v>
      </c>
      <c r="H161" s="28" t="str">
        <f aca="false">IF(Data!H161="","",IFERROR(VLOOKUP(Data!H161,Codes!$A$23:$B$25,2,FALSE()),"Invalid ("&amp;Data!H161&amp;")"))</f>
        <v>Normal</v>
      </c>
      <c r="I161" s="20" t="n">
        <f aca="false">IF(Data!I161="","",Data!I161)</f>
        <v>151</v>
      </c>
      <c r="J161" s="28" t="str">
        <f aca="false">IF(Data!J161="","",IFERROR(VLOOKUP(Data!J161,Codes!$A$29:$B$30,2,FALSE()),"Invalid ("&amp;Data!J161&amp;")"))</f>
        <v>No</v>
      </c>
      <c r="K161" s="21" t="n">
        <f aca="false">IF(Data!K161="","",Data!K161)</f>
        <v>1</v>
      </c>
      <c r="L161" s="28" t="str">
        <f aca="false">IF(Data!L161="","",IFERROR(VLOOKUP(Data!L161,Codes!$A$34:$B$36,2,FALSE()),"Invalid ("&amp;Data!L161&amp;")"))</f>
        <v>Upsloping</v>
      </c>
      <c r="M161" s="20" t="n">
        <f aca="false">IF(Data!M161="","",Data!M161)</f>
        <v>1</v>
      </c>
      <c r="N161" s="28" t="str">
        <f aca="false">IF(Data!N161="","",IFERROR(VLOOKUP(Data!N161,Codes!$A$47:$B$49,2,FALSE()),"Invalid ("&amp;Data!N161&amp;")"))</f>
        <v>Reversible defect</v>
      </c>
      <c r="O161" s="28" t="str">
        <f aca="false">IF(Data!O161="","",IFERROR(VLOOKUP(Data!O161,Codes!$A$53:$B$57,2,FALSE()),"Invalid ("&amp;Data!O161&amp;")"))</f>
        <v>No disease</v>
      </c>
      <c r="P161" s="22" t="str">
        <f aca="false">IF(Data!P161="","",IFERROR(VLOOKUP(Data!P161,Codes!$A$61:$B$64,2,FALSE()),"Invalid ("&amp;Data!P161&amp;")"))</f>
        <v>Cleveland Clinic</v>
      </c>
    </row>
    <row r="162" customFormat="false" ht="15" hidden="false" customHeight="false" outlineLevel="0" collapsed="false">
      <c r="A162" s="19" t="n">
        <f aca="false">Data!A162</f>
        <v>161</v>
      </c>
      <c r="B162" s="20" t="n">
        <f aca="false">IF(Data!B162="","",Data!B162)</f>
        <v>46</v>
      </c>
      <c r="C162" s="28" t="str">
        <f aca="false">IF(Data!C162="","",IFERROR(VLOOKUP(Data!C162,Codes!$A$6:$B$7,2,FALSE()),"Invalid ("&amp;Data!C162&amp;")"))</f>
        <v>Male</v>
      </c>
      <c r="D162" s="28" t="str">
        <f aca="false">IF(Data!D162="","",IFERROR(VLOOKUP(Data!D162,Codes!$A$11:$B$14,2,FALSE()),"Invalid ("&amp;Data!D162&amp;")"))</f>
        <v>Atypical angina</v>
      </c>
      <c r="E162" s="20" t="n">
        <f aca="false">IF(Data!E162="","",Data!E162)</f>
        <v>101</v>
      </c>
      <c r="F162" s="20" t="n">
        <f aca="false">IF(Data!F162="","",Data!F162)</f>
        <v>197</v>
      </c>
      <c r="G162" s="28" t="str">
        <f aca="false">IF(Data!G162="","",IFERROR(VLOOKUP(Data!G162,Codes!$A$18:$B$19,2,FALSE()),"Invalid ("&amp;Data!G162&amp;")"))</f>
        <v>Yes</v>
      </c>
      <c r="H162" s="28" t="str">
        <f aca="false">IF(Data!H162="","",IFERROR(VLOOKUP(Data!H162,Codes!$A$23:$B$25,2,FALSE()),"Invalid ("&amp;Data!H162&amp;")"))</f>
        <v>Normal</v>
      </c>
      <c r="I162" s="20" t="n">
        <f aca="false">IF(Data!I162="","",Data!I162)</f>
        <v>156</v>
      </c>
      <c r="J162" s="28" t="str">
        <f aca="false">IF(Data!J162="","",IFERROR(VLOOKUP(Data!J162,Codes!$A$29:$B$30,2,FALSE()),"Invalid ("&amp;Data!J162&amp;")"))</f>
        <v>No</v>
      </c>
      <c r="K162" s="21" t="n">
        <f aca="false">IF(Data!K162="","",Data!K162)</f>
        <v>0</v>
      </c>
      <c r="L162" s="28" t="str">
        <f aca="false">IF(Data!L162="","",IFERROR(VLOOKUP(Data!L162,Codes!$A$34:$B$36,2,FALSE()),"Invalid ("&amp;Data!L162&amp;")"))</f>
        <v>Upsloping</v>
      </c>
      <c r="M162" s="20" t="n">
        <f aca="false">IF(Data!M162="","",Data!M162)</f>
        <v>0</v>
      </c>
      <c r="N162" s="28" t="str">
        <f aca="false">IF(Data!N162="","",IFERROR(VLOOKUP(Data!N162,Codes!$A$47:$B$49,2,FALSE()),"Invalid ("&amp;Data!N162&amp;")"))</f>
        <v>Reversible defect</v>
      </c>
      <c r="O162" s="28" t="str">
        <f aca="false">IF(Data!O162="","",IFERROR(VLOOKUP(Data!O162,Codes!$A$53:$B$57,2,FALSE()),"Invalid ("&amp;Data!O162&amp;")"))</f>
        <v>No disease</v>
      </c>
      <c r="P162" s="22" t="str">
        <f aca="false">IF(Data!P162="","",IFERROR(VLOOKUP(Data!P162,Codes!$A$61:$B$64,2,FALSE()),"Invalid ("&amp;Data!P162&amp;")"))</f>
        <v>Cleveland Clinic</v>
      </c>
    </row>
    <row r="163" customFormat="false" ht="15" hidden="false" customHeight="false" outlineLevel="0" collapsed="false">
      <c r="A163" s="19" t="n">
        <f aca="false">Data!A163</f>
        <v>162</v>
      </c>
      <c r="B163" s="20" t="n">
        <f aca="false">IF(Data!B163="","",Data!B163)</f>
        <v>77</v>
      </c>
      <c r="C163" s="28" t="str">
        <f aca="false">IF(Data!C163="","",IFERROR(VLOOKUP(Data!C163,Codes!$A$6:$B$7,2,FALSE()),"Invalid ("&amp;Data!C163&amp;")"))</f>
        <v>Male</v>
      </c>
      <c r="D163" s="28" t="str">
        <f aca="false">IF(Data!D163="","",IFERROR(VLOOKUP(Data!D163,Codes!$A$11:$B$14,2,FALSE()),"Invalid ("&amp;Data!D163&amp;")"))</f>
        <v>Asymptomatic</v>
      </c>
      <c r="E163" s="20" t="n">
        <f aca="false">IF(Data!E163="","",Data!E163)</f>
        <v>125</v>
      </c>
      <c r="F163" s="20" t="n">
        <f aca="false">IF(Data!F163="","",Data!F163)</f>
        <v>304</v>
      </c>
      <c r="G163" s="28" t="str">
        <f aca="false">IF(Data!G163="","",IFERROR(VLOOKUP(Data!G163,Codes!$A$18:$B$19,2,FALSE()),"Invalid ("&amp;Data!G163&amp;")"))</f>
        <v>No</v>
      </c>
      <c r="H163" s="28" t="str">
        <f aca="false">IF(Data!H163="","",IFERROR(VLOOKUP(Data!H163,Codes!$A$23:$B$25,2,FALSE()),"Invalid ("&amp;Data!H163&amp;")"))</f>
        <v>Left ventricular hypertrophy</v>
      </c>
      <c r="I163" s="20" t="n">
        <f aca="false">IF(Data!I163="","",Data!I163)</f>
        <v>162</v>
      </c>
      <c r="J163" s="28" t="str">
        <f aca="false">IF(Data!J163="","",IFERROR(VLOOKUP(Data!J163,Codes!$A$29:$B$30,2,FALSE()),"Invalid ("&amp;Data!J163&amp;")"))</f>
        <v>Yes</v>
      </c>
      <c r="K163" s="21" t="n">
        <f aca="false">IF(Data!K163="","",Data!K163)</f>
        <v>0</v>
      </c>
      <c r="L163" s="28" t="str">
        <f aca="false">IF(Data!L163="","",IFERROR(VLOOKUP(Data!L163,Codes!$A$34:$B$36,2,FALSE()),"Invalid ("&amp;Data!L163&amp;")"))</f>
        <v>Upsloping</v>
      </c>
      <c r="M163" s="20" t="n">
        <f aca="false">IF(Data!M163="","",Data!M163)</f>
        <v>3</v>
      </c>
      <c r="N163" s="28" t="str">
        <f aca="false">IF(Data!N163="","",IFERROR(VLOOKUP(Data!N163,Codes!$A$47:$B$49,2,FALSE()),"Invalid ("&amp;Data!N163&amp;")"))</f>
        <v>Normal</v>
      </c>
      <c r="O163" s="28" t="str">
        <f aca="false">IF(Data!O163="","",IFERROR(VLOOKUP(Data!O163,Codes!$A$53:$B$57,2,FALSE()),"Invalid ("&amp;Data!O163&amp;")"))</f>
        <v>Disease (4)</v>
      </c>
      <c r="P163" s="22" t="str">
        <f aca="false">IF(Data!P163="","",IFERROR(VLOOKUP(Data!P163,Codes!$A$61:$B$64,2,FALSE()),"Invalid ("&amp;Data!P163&amp;")"))</f>
        <v>Cleveland Clinic</v>
      </c>
    </row>
    <row r="164" customFormat="false" ht="15" hidden="false" customHeight="false" outlineLevel="0" collapsed="false">
      <c r="A164" s="19" t="n">
        <f aca="false">Data!A164</f>
        <v>163</v>
      </c>
      <c r="B164" s="20" t="n">
        <f aca="false">IF(Data!B164="","",Data!B164)</f>
        <v>54</v>
      </c>
      <c r="C164" s="28" t="str">
        <f aca="false">IF(Data!C164="","",IFERROR(VLOOKUP(Data!C164,Codes!$A$6:$B$7,2,FALSE()),"Invalid ("&amp;Data!C164&amp;")"))</f>
        <v>Female</v>
      </c>
      <c r="D164" s="28" t="str">
        <f aca="false">IF(Data!D164="","",IFERROR(VLOOKUP(Data!D164,Codes!$A$11:$B$14,2,FALSE()),"Invalid ("&amp;Data!D164&amp;")"))</f>
        <v>Non-anginal pain</v>
      </c>
      <c r="E164" s="20" t="n">
        <f aca="false">IF(Data!E164="","",Data!E164)</f>
        <v>110</v>
      </c>
      <c r="F164" s="20" t="n">
        <f aca="false">IF(Data!F164="","",Data!F164)</f>
        <v>214</v>
      </c>
      <c r="G164" s="28" t="str">
        <f aca="false">IF(Data!G164="","",IFERROR(VLOOKUP(Data!G164,Codes!$A$18:$B$19,2,FALSE()),"Invalid ("&amp;Data!G164&amp;")"))</f>
        <v>No</v>
      </c>
      <c r="H164" s="28" t="str">
        <f aca="false">IF(Data!H164="","",IFERROR(VLOOKUP(Data!H164,Codes!$A$23:$B$25,2,FALSE()),"Invalid ("&amp;Data!H164&amp;")"))</f>
        <v>Normal</v>
      </c>
      <c r="I164" s="20" t="n">
        <f aca="false">IF(Data!I164="","",Data!I164)</f>
        <v>158</v>
      </c>
      <c r="J164" s="28" t="str">
        <f aca="false">IF(Data!J164="","",IFERROR(VLOOKUP(Data!J164,Codes!$A$29:$B$30,2,FALSE()),"Invalid ("&amp;Data!J164&amp;")"))</f>
        <v>No</v>
      </c>
      <c r="K164" s="21" t="n">
        <f aca="false">IF(Data!K164="","",Data!K164)</f>
        <v>1.6</v>
      </c>
      <c r="L164" s="28" t="str">
        <f aca="false">IF(Data!L164="","",IFERROR(VLOOKUP(Data!L164,Codes!$A$34:$B$36,2,FALSE()),"Invalid ("&amp;Data!L164&amp;")"))</f>
        <v>Flat</v>
      </c>
      <c r="M164" s="20" t="n">
        <f aca="false">IF(Data!M164="","",Data!M164)</f>
        <v>0</v>
      </c>
      <c r="N164" s="28" t="str">
        <f aca="false">IF(Data!N164="","",IFERROR(VLOOKUP(Data!N164,Codes!$A$47:$B$49,2,FALSE()),"Invalid ("&amp;Data!N164&amp;")"))</f>
        <v>Normal</v>
      </c>
      <c r="O164" s="28" t="str">
        <f aca="false">IF(Data!O164="","",IFERROR(VLOOKUP(Data!O164,Codes!$A$53:$B$57,2,FALSE()),"Invalid ("&amp;Data!O164&amp;")"))</f>
        <v>No disease</v>
      </c>
      <c r="P164" s="22" t="str">
        <f aca="false">IF(Data!P164="","",IFERROR(VLOOKUP(Data!P164,Codes!$A$61:$B$64,2,FALSE()),"Invalid ("&amp;Data!P164&amp;")"))</f>
        <v>Cleveland Clinic</v>
      </c>
    </row>
    <row r="165" customFormat="false" ht="15" hidden="false" customHeight="false" outlineLevel="0" collapsed="false">
      <c r="A165" s="19" t="n">
        <f aca="false">Data!A165</f>
        <v>164</v>
      </c>
      <c r="B165" s="20" t="n">
        <f aca="false">IF(Data!B165="","",Data!B165)</f>
        <v>58</v>
      </c>
      <c r="C165" s="28" t="str">
        <f aca="false">IF(Data!C165="","",IFERROR(VLOOKUP(Data!C165,Codes!$A$6:$B$7,2,FALSE()),"Invalid ("&amp;Data!C165&amp;")"))</f>
        <v>Female</v>
      </c>
      <c r="D165" s="28" t="str">
        <f aca="false">IF(Data!D165="","",IFERROR(VLOOKUP(Data!D165,Codes!$A$11:$B$14,2,FALSE()),"Invalid ("&amp;Data!D165&amp;")"))</f>
        <v>Asymptomatic</v>
      </c>
      <c r="E165" s="20" t="n">
        <f aca="false">IF(Data!E165="","",Data!E165)</f>
        <v>100</v>
      </c>
      <c r="F165" s="20" t="n">
        <f aca="false">IF(Data!F165="","",Data!F165)</f>
        <v>248</v>
      </c>
      <c r="G165" s="28" t="str">
        <f aca="false">IF(Data!G165="","",IFERROR(VLOOKUP(Data!G165,Codes!$A$18:$B$19,2,FALSE()),"Invalid ("&amp;Data!G165&amp;")"))</f>
        <v>No</v>
      </c>
      <c r="H165" s="28" t="str">
        <f aca="false">IF(Data!H165="","",IFERROR(VLOOKUP(Data!H165,Codes!$A$23:$B$25,2,FALSE()),"Invalid ("&amp;Data!H165&amp;")"))</f>
        <v>Left ventricular hypertrophy</v>
      </c>
      <c r="I165" s="20" t="n">
        <f aca="false">IF(Data!I165="","",Data!I165)</f>
        <v>122</v>
      </c>
      <c r="J165" s="28" t="str">
        <f aca="false">IF(Data!J165="","",IFERROR(VLOOKUP(Data!J165,Codes!$A$29:$B$30,2,FALSE()),"Invalid ("&amp;Data!J165&amp;")"))</f>
        <v>No</v>
      </c>
      <c r="K165" s="21" t="n">
        <f aca="false">IF(Data!K165="","",Data!K165)</f>
        <v>1</v>
      </c>
      <c r="L165" s="28" t="str">
        <f aca="false">IF(Data!L165="","",IFERROR(VLOOKUP(Data!L165,Codes!$A$34:$B$36,2,FALSE()),"Invalid ("&amp;Data!L165&amp;")"))</f>
        <v>Flat</v>
      </c>
      <c r="M165" s="20" t="n">
        <f aca="false">IF(Data!M165="","",Data!M165)</f>
        <v>0</v>
      </c>
      <c r="N165" s="28" t="str">
        <f aca="false">IF(Data!N165="","",IFERROR(VLOOKUP(Data!N165,Codes!$A$47:$B$49,2,FALSE()),"Invalid ("&amp;Data!N165&amp;")"))</f>
        <v>Normal</v>
      </c>
      <c r="O165" s="28" t="str">
        <f aca="false">IF(Data!O165="","",IFERROR(VLOOKUP(Data!O165,Codes!$A$53:$B$57,2,FALSE()),"Invalid ("&amp;Data!O165&amp;")"))</f>
        <v>No disease</v>
      </c>
      <c r="P165" s="22" t="str">
        <f aca="false">IF(Data!P165="","",IFERROR(VLOOKUP(Data!P165,Codes!$A$61:$B$64,2,FALSE()),"Invalid ("&amp;Data!P165&amp;")"))</f>
        <v>Cleveland Clinic</v>
      </c>
    </row>
    <row r="166" customFormat="false" ht="15" hidden="false" customHeight="false" outlineLevel="0" collapsed="false">
      <c r="A166" s="19" t="n">
        <f aca="false">Data!A166</f>
        <v>165</v>
      </c>
      <c r="B166" s="20" t="n">
        <f aca="false">IF(Data!B166="","",Data!B166)</f>
        <v>48</v>
      </c>
      <c r="C166" s="28" t="str">
        <f aca="false">IF(Data!C166="","",IFERROR(VLOOKUP(Data!C166,Codes!$A$6:$B$7,2,FALSE()),"Invalid ("&amp;Data!C166&amp;")"))</f>
        <v>Male</v>
      </c>
      <c r="D166" s="28" t="str">
        <f aca="false">IF(Data!D166="","",IFERROR(VLOOKUP(Data!D166,Codes!$A$11:$B$14,2,FALSE()),"Invalid ("&amp;Data!D166&amp;")"))</f>
        <v>Non-anginal pain</v>
      </c>
      <c r="E166" s="20" t="n">
        <f aca="false">IF(Data!E166="","",Data!E166)</f>
        <v>124</v>
      </c>
      <c r="F166" s="20" t="n">
        <f aca="false">IF(Data!F166="","",Data!F166)</f>
        <v>255</v>
      </c>
      <c r="G166" s="28" t="str">
        <f aca="false">IF(Data!G166="","",IFERROR(VLOOKUP(Data!G166,Codes!$A$18:$B$19,2,FALSE()),"Invalid ("&amp;Data!G166&amp;")"))</f>
        <v>Yes</v>
      </c>
      <c r="H166" s="28" t="str">
        <f aca="false">IF(Data!H166="","",IFERROR(VLOOKUP(Data!H166,Codes!$A$23:$B$25,2,FALSE()),"Invalid ("&amp;Data!H166&amp;")"))</f>
        <v>Normal</v>
      </c>
      <c r="I166" s="20" t="n">
        <f aca="false">IF(Data!I166="","",Data!I166)</f>
        <v>175</v>
      </c>
      <c r="J166" s="28" t="str">
        <f aca="false">IF(Data!J166="","",IFERROR(VLOOKUP(Data!J166,Codes!$A$29:$B$30,2,FALSE()),"Invalid ("&amp;Data!J166&amp;")"))</f>
        <v>No</v>
      </c>
      <c r="K166" s="21" t="n">
        <f aca="false">IF(Data!K166="","",Data!K166)</f>
        <v>0</v>
      </c>
      <c r="L166" s="28" t="str">
        <f aca="false">IF(Data!L166="","",IFERROR(VLOOKUP(Data!L166,Codes!$A$34:$B$36,2,FALSE()),"Invalid ("&amp;Data!L166&amp;")"))</f>
        <v>Upsloping</v>
      </c>
      <c r="M166" s="20" t="n">
        <f aca="false">IF(Data!M166="","",Data!M166)</f>
        <v>2</v>
      </c>
      <c r="N166" s="28" t="str">
        <f aca="false">IF(Data!N166="","",IFERROR(VLOOKUP(Data!N166,Codes!$A$47:$B$49,2,FALSE()),"Invalid ("&amp;Data!N166&amp;")"))</f>
        <v>Normal</v>
      </c>
      <c r="O166" s="28" t="str">
        <f aca="false">IF(Data!O166="","",IFERROR(VLOOKUP(Data!O166,Codes!$A$53:$B$57,2,FALSE()),"Invalid ("&amp;Data!O166&amp;")"))</f>
        <v>No disease</v>
      </c>
      <c r="P166" s="22" t="str">
        <f aca="false">IF(Data!P166="","",IFERROR(VLOOKUP(Data!P166,Codes!$A$61:$B$64,2,FALSE()),"Invalid ("&amp;Data!P166&amp;")"))</f>
        <v>Cleveland Clinic</v>
      </c>
    </row>
    <row r="167" customFormat="false" ht="15" hidden="false" customHeight="false" outlineLevel="0" collapsed="false">
      <c r="A167" s="19" t="n">
        <f aca="false">Data!A167</f>
        <v>166</v>
      </c>
      <c r="B167" s="20" t="n">
        <f aca="false">IF(Data!B167="","",Data!B167)</f>
        <v>57</v>
      </c>
      <c r="C167" s="28" t="str">
        <f aca="false">IF(Data!C167="","",IFERROR(VLOOKUP(Data!C167,Codes!$A$6:$B$7,2,FALSE()),"Invalid ("&amp;Data!C167&amp;")"))</f>
        <v>Male</v>
      </c>
      <c r="D167" s="28" t="str">
        <f aca="false">IF(Data!D167="","",IFERROR(VLOOKUP(Data!D167,Codes!$A$11:$B$14,2,FALSE()),"Invalid ("&amp;Data!D167&amp;")"))</f>
        <v>Asymptomatic</v>
      </c>
      <c r="E167" s="20" t="n">
        <f aca="false">IF(Data!E167="","",Data!E167)</f>
        <v>132</v>
      </c>
      <c r="F167" s="20" t="n">
        <f aca="false">IF(Data!F167="","",Data!F167)</f>
        <v>207</v>
      </c>
      <c r="G167" s="28" t="str">
        <f aca="false">IF(Data!G167="","",IFERROR(VLOOKUP(Data!G167,Codes!$A$18:$B$19,2,FALSE()),"Invalid ("&amp;Data!G167&amp;")"))</f>
        <v>No</v>
      </c>
      <c r="H167" s="28" t="str">
        <f aca="false">IF(Data!H167="","",IFERROR(VLOOKUP(Data!H167,Codes!$A$23:$B$25,2,FALSE()),"Invalid ("&amp;Data!H167&amp;")"))</f>
        <v>Normal</v>
      </c>
      <c r="I167" s="20" t="n">
        <f aca="false">IF(Data!I167="","",Data!I167)</f>
        <v>168</v>
      </c>
      <c r="J167" s="28" t="str">
        <f aca="false">IF(Data!J167="","",IFERROR(VLOOKUP(Data!J167,Codes!$A$29:$B$30,2,FALSE()),"Invalid ("&amp;Data!J167&amp;")"))</f>
        <v>Yes</v>
      </c>
      <c r="K167" s="21" t="n">
        <f aca="false">IF(Data!K167="","",Data!K167)</f>
        <v>0</v>
      </c>
      <c r="L167" s="28" t="str">
        <f aca="false">IF(Data!L167="","",IFERROR(VLOOKUP(Data!L167,Codes!$A$34:$B$36,2,FALSE()),"Invalid ("&amp;Data!L167&amp;")"))</f>
        <v>Upsloping</v>
      </c>
      <c r="M167" s="20" t="n">
        <f aca="false">IF(Data!M167="","",Data!M167)</f>
        <v>0</v>
      </c>
      <c r="N167" s="28" t="str">
        <f aca="false">IF(Data!N167="","",IFERROR(VLOOKUP(Data!N167,Codes!$A$47:$B$49,2,FALSE()),"Invalid ("&amp;Data!N167&amp;")"))</f>
        <v>Reversible defect</v>
      </c>
      <c r="O167" s="28" t="str">
        <f aca="false">IF(Data!O167="","",IFERROR(VLOOKUP(Data!O167,Codes!$A$53:$B$57,2,FALSE()),"Invalid ("&amp;Data!O167&amp;")"))</f>
        <v>No disease</v>
      </c>
      <c r="P167" s="22" t="str">
        <f aca="false">IF(Data!P167="","",IFERROR(VLOOKUP(Data!P167,Codes!$A$61:$B$64,2,FALSE()),"Invalid ("&amp;Data!P167&amp;")"))</f>
        <v>Cleveland Clinic</v>
      </c>
    </row>
    <row r="168" customFormat="false" ht="15" hidden="false" customHeight="false" outlineLevel="0" collapsed="false">
      <c r="A168" s="19" t="n">
        <f aca="false">Data!A168</f>
        <v>167</v>
      </c>
      <c r="B168" s="20" t="n">
        <f aca="false">IF(Data!B168="","",Data!B168)</f>
        <v>52</v>
      </c>
      <c r="C168" s="28" t="str">
        <f aca="false">IF(Data!C168="","",IFERROR(VLOOKUP(Data!C168,Codes!$A$6:$B$7,2,FALSE()),"Invalid ("&amp;Data!C168&amp;")"))</f>
        <v>Male</v>
      </c>
      <c r="D168" s="28" t="str">
        <f aca="false">IF(Data!D168="","",IFERROR(VLOOKUP(Data!D168,Codes!$A$11:$B$14,2,FALSE()),"Invalid ("&amp;Data!D168&amp;")"))</f>
        <v>Non-anginal pain</v>
      </c>
      <c r="E168" s="20" t="n">
        <f aca="false">IF(Data!E168="","",Data!E168)</f>
        <v>138</v>
      </c>
      <c r="F168" s="20" t="n">
        <f aca="false">IF(Data!F168="","",Data!F168)</f>
        <v>223</v>
      </c>
      <c r="G168" s="28" t="str">
        <f aca="false">IF(Data!G168="","",IFERROR(VLOOKUP(Data!G168,Codes!$A$18:$B$19,2,FALSE()),"Invalid ("&amp;Data!G168&amp;")"))</f>
        <v>No</v>
      </c>
      <c r="H168" s="28" t="str">
        <f aca="false">IF(Data!H168="","",IFERROR(VLOOKUP(Data!H168,Codes!$A$23:$B$25,2,FALSE()),"Invalid ("&amp;Data!H168&amp;")"))</f>
        <v>Normal</v>
      </c>
      <c r="I168" s="20" t="n">
        <f aca="false">IF(Data!I168="","",Data!I168)</f>
        <v>169</v>
      </c>
      <c r="J168" s="28" t="str">
        <f aca="false">IF(Data!J168="","",IFERROR(VLOOKUP(Data!J168,Codes!$A$29:$B$30,2,FALSE()),"Invalid ("&amp;Data!J168&amp;")"))</f>
        <v>No</v>
      </c>
      <c r="K168" s="21" t="n">
        <f aca="false">IF(Data!K168="","",Data!K168)</f>
        <v>0</v>
      </c>
      <c r="L168" s="28" t="str">
        <f aca="false">IF(Data!L168="","",IFERROR(VLOOKUP(Data!L168,Codes!$A$34:$B$36,2,FALSE()),"Invalid ("&amp;Data!L168&amp;")"))</f>
        <v>Upsloping</v>
      </c>
      <c r="M168" s="20" t="str">
        <f aca="false">IF(Data!M168="","",Data!M168)</f>
        <v/>
      </c>
      <c r="N168" s="28" t="str">
        <f aca="false">IF(Data!N168="","",IFERROR(VLOOKUP(Data!N168,Codes!$A$47:$B$49,2,FALSE()),"Invalid ("&amp;Data!N168&amp;")"))</f>
        <v>Normal</v>
      </c>
      <c r="O168" s="28" t="str">
        <f aca="false">IF(Data!O168="","",IFERROR(VLOOKUP(Data!O168,Codes!$A$53:$B$57,2,FALSE()),"Invalid ("&amp;Data!O168&amp;")"))</f>
        <v>No disease</v>
      </c>
      <c r="P168" s="22" t="str">
        <f aca="false">IF(Data!P168="","",IFERROR(VLOOKUP(Data!P168,Codes!$A$61:$B$64,2,FALSE()),"Invalid ("&amp;Data!P168&amp;")"))</f>
        <v>Cleveland Clinic</v>
      </c>
    </row>
    <row r="169" customFormat="false" ht="15" hidden="false" customHeight="false" outlineLevel="0" collapsed="false">
      <c r="A169" s="19" t="n">
        <f aca="false">Data!A169</f>
        <v>168</v>
      </c>
      <c r="B169" s="20" t="n">
        <f aca="false">IF(Data!B169="","",Data!B169)</f>
        <v>54</v>
      </c>
      <c r="C169" s="28" t="str">
        <f aca="false">IF(Data!C169="","",IFERROR(VLOOKUP(Data!C169,Codes!$A$6:$B$7,2,FALSE()),"Invalid ("&amp;Data!C169&amp;")"))</f>
        <v>Female</v>
      </c>
      <c r="D169" s="28" t="str">
        <f aca="false">IF(Data!D169="","",IFERROR(VLOOKUP(Data!D169,Codes!$A$11:$B$14,2,FALSE()),"Invalid ("&amp;Data!D169&amp;")"))</f>
        <v>Atypical angina</v>
      </c>
      <c r="E169" s="20" t="n">
        <f aca="false">IF(Data!E169="","",Data!E169)</f>
        <v>132</v>
      </c>
      <c r="F169" s="20" t="n">
        <f aca="false">IF(Data!F169="","",Data!F169)</f>
        <v>288</v>
      </c>
      <c r="G169" s="28" t="str">
        <f aca="false">IF(Data!G169="","",IFERROR(VLOOKUP(Data!G169,Codes!$A$18:$B$19,2,FALSE()),"Invalid ("&amp;Data!G169&amp;")"))</f>
        <v>Yes</v>
      </c>
      <c r="H169" s="28" t="str">
        <f aca="false">IF(Data!H169="","",IFERROR(VLOOKUP(Data!H169,Codes!$A$23:$B$25,2,FALSE()),"Invalid ("&amp;Data!H169&amp;")"))</f>
        <v>Left ventricular hypertrophy</v>
      </c>
      <c r="I169" s="20" t="n">
        <f aca="false">IF(Data!I169="","",Data!I169)</f>
        <v>159</v>
      </c>
      <c r="J169" s="28" t="str">
        <f aca="false">IF(Data!J169="","",IFERROR(VLOOKUP(Data!J169,Codes!$A$29:$B$30,2,FALSE()),"Invalid ("&amp;Data!J169&amp;")"))</f>
        <v>Yes</v>
      </c>
      <c r="K169" s="21" t="n">
        <f aca="false">IF(Data!K169="","",Data!K169)</f>
        <v>0</v>
      </c>
      <c r="L169" s="28" t="str">
        <f aca="false">IF(Data!L169="","",IFERROR(VLOOKUP(Data!L169,Codes!$A$34:$B$36,2,FALSE()),"Invalid ("&amp;Data!L169&amp;")"))</f>
        <v>Upsloping</v>
      </c>
      <c r="M169" s="20" t="n">
        <f aca="false">IF(Data!M169="","",Data!M169)</f>
        <v>1</v>
      </c>
      <c r="N169" s="28" t="str">
        <f aca="false">IF(Data!N169="","",IFERROR(VLOOKUP(Data!N169,Codes!$A$47:$B$49,2,FALSE()),"Invalid ("&amp;Data!N169&amp;")"))</f>
        <v>Normal</v>
      </c>
      <c r="O169" s="28" t="str">
        <f aca="false">IF(Data!O169="","",IFERROR(VLOOKUP(Data!O169,Codes!$A$53:$B$57,2,FALSE()),"Invalid ("&amp;Data!O169&amp;")"))</f>
        <v>No disease</v>
      </c>
      <c r="P169" s="22" t="str">
        <f aca="false">IF(Data!P169="","",IFERROR(VLOOKUP(Data!P169,Codes!$A$61:$B$64,2,FALSE()),"Invalid ("&amp;Data!P169&amp;")"))</f>
        <v>Cleveland Clinic</v>
      </c>
    </row>
    <row r="170" customFormat="false" ht="15" hidden="false" customHeight="false" outlineLevel="0" collapsed="false">
      <c r="A170" s="19" t="n">
        <f aca="false">Data!A170</f>
        <v>169</v>
      </c>
      <c r="B170" s="20" t="n">
        <f aca="false">IF(Data!B170="","",Data!B170)</f>
        <v>35</v>
      </c>
      <c r="C170" s="28" t="str">
        <f aca="false">IF(Data!C170="","",IFERROR(VLOOKUP(Data!C170,Codes!$A$6:$B$7,2,FALSE()),"Invalid ("&amp;Data!C170&amp;")"))</f>
        <v>Male</v>
      </c>
      <c r="D170" s="28" t="str">
        <f aca="false">IF(Data!D170="","",IFERROR(VLOOKUP(Data!D170,Codes!$A$11:$B$14,2,FALSE()),"Invalid ("&amp;Data!D170&amp;")"))</f>
        <v>Asymptomatic</v>
      </c>
      <c r="E170" s="20" t="n">
        <f aca="false">IF(Data!E170="","",Data!E170)</f>
        <v>126</v>
      </c>
      <c r="F170" s="20" t="n">
        <f aca="false">IF(Data!F170="","",Data!F170)</f>
        <v>282</v>
      </c>
      <c r="G170" s="28" t="str">
        <f aca="false">IF(Data!G170="","",IFERROR(VLOOKUP(Data!G170,Codes!$A$18:$B$19,2,FALSE()),"Invalid ("&amp;Data!G170&amp;")"))</f>
        <v>No</v>
      </c>
      <c r="H170" s="28" t="str">
        <f aca="false">IF(Data!H170="","",IFERROR(VLOOKUP(Data!H170,Codes!$A$23:$B$25,2,FALSE()),"Invalid ("&amp;Data!H170&amp;")"))</f>
        <v>Left ventricular hypertrophy</v>
      </c>
      <c r="I170" s="20" t="n">
        <f aca="false">IF(Data!I170="","",Data!I170)</f>
        <v>156</v>
      </c>
      <c r="J170" s="28" t="str">
        <f aca="false">IF(Data!J170="","",IFERROR(VLOOKUP(Data!J170,Codes!$A$29:$B$30,2,FALSE()),"Invalid ("&amp;Data!J170&amp;")"))</f>
        <v>Yes</v>
      </c>
      <c r="K170" s="21" t="n">
        <f aca="false">IF(Data!K170="","",Data!K170)</f>
        <v>0</v>
      </c>
      <c r="L170" s="28" t="str">
        <f aca="false">IF(Data!L170="","",IFERROR(VLOOKUP(Data!L170,Codes!$A$34:$B$36,2,FALSE()),"Invalid ("&amp;Data!L170&amp;")"))</f>
        <v>Upsloping</v>
      </c>
      <c r="M170" s="20" t="n">
        <f aca="false">IF(Data!M170="","",Data!M170)</f>
        <v>0</v>
      </c>
      <c r="N170" s="28" t="str">
        <f aca="false">IF(Data!N170="","",IFERROR(VLOOKUP(Data!N170,Codes!$A$47:$B$49,2,FALSE()),"Invalid ("&amp;Data!N170&amp;")"))</f>
        <v>Reversible defect</v>
      </c>
      <c r="O170" s="28" t="str">
        <f aca="false">IF(Data!O170="","",IFERROR(VLOOKUP(Data!O170,Codes!$A$53:$B$57,2,FALSE()),"Invalid ("&amp;Data!O170&amp;")"))</f>
        <v>Disease (1)</v>
      </c>
      <c r="P170" s="22" t="str">
        <f aca="false">IF(Data!P170="","",IFERROR(VLOOKUP(Data!P170,Codes!$A$61:$B$64,2,FALSE()),"Invalid ("&amp;Data!P170&amp;")"))</f>
        <v>Cleveland Clinic</v>
      </c>
    </row>
    <row r="171" customFormat="false" ht="15" hidden="false" customHeight="false" outlineLevel="0" collapsed="false">
      <c r="A171" s="19" t="n">
        <f aca="false">Data!A171</f>
        <v>170</v>
      </c>
      <c r="B171" s="20" t="n">
        <f aca="false">IF(Data!B171="","",Data!B171)</f>
        <v>45</v>
      </c>
      <c r="C171" s="28" t="str">
        <f aca="false">IF(Data!C171="","",IFERROR(VLOOKUP(Data!C171,Codes!$A$6:$B$7,2,FALSE()),"Invalid ("&amp;Data!C171&amp;")"))</f>
        <v>Female</v>
      </c>
      <c r="D171" s="28" t="str">
        <f aca="false">IF(Data!D171="","",IFERROR(VLOOKUP(Data!D171,Codes!$A$11:$B$14,2,FALSE()),"Invalid ("&amp;Data!D171&amp;")"))</f>
        <v>Atypical angina</v>
      </c>
      <c r="E171" s="20" t="n">
        <f aca="false">IF(Data!E171="","",Data!E171)</f>
        <v>112</v>
      </c>
      <c r="F171" s="20" t="n">
        <f aca="false">IF(Data!F171="","",Data!F171)</f>
        <v>160</v>
      </c>
      <c r="G171" s="28" t="str">
        <f aca="false">IF(Data!G171="","",IFERROR(VLOOKUP(Data!G171,Codes!$A$18:$B$19,2,FALSE()),"Invalid ("&amp;Data!G171&amp;")"))</f>
        <v>No</v>
      </c>
      <c r="H171" s="28" t="str">
        <f aca="false">IF(Data!H171="","",IFERROR(VLOOKUP(Data!H171,Codes!$A$23:$B$25,2,FALSE()),"Invalid ("&amp;Data!H171&amp;")"))</f>
        <v>Normal</v>
      </c>
      <c r="I171" s="20" t="n">
        <f aca="false">IF(Data!I171="","",Data!I171)</f>
        <v>138</v>
      </c>
      <c r="J171" s="28" t="str">
        <f aca="false">IF(Data!J171="","",IFERROR(VLOOKUP(Data!J171,Codes!$A$29:$B$30,2,FALSE()),"Invalid ("&amp;Data!J171&amp;")"))</f>
        <v>No</v>
      </c>
      <c r="K171" s="21" t="n">
        <f aca="false">IF(Data!K171="","",Data!K171)</f>
        <v>0</v>
      </c>
      <c r="L171" s="28" t="str">
        <f aca="false">IF(Data!L171="","",IFERROR(VLOOKUP(Data!L171,Codes!$A$34:$B$36,2,FALSE()),"Invalid ("&amp;Data!L171&amp;")"))</f>
        <v>Flat</v>
      </c>
      <c r="M171" s="20" t="n">
        <f aca="false">IF(Data!M171="","",Data!M171)</f>
        <v>0</v>
      </c>
      <c r="N171" s="28" t="str">
        <f aca="false">IF(Data!N171="","",IFERROR(VLOOKUP(Data!N171,Codes!$A$47:$B$49,2,FALSE()),"Invalid ("&amp;Data!N171&amp;")"))</f>
        <v>Normal</v>
      </c>
      <c r="O171" s="28" t="str">
        <f aca="false">IF(Data!O171="","",IFERROR(VLOOKUP(Data!O171,Codes!$A$53:$B$57,2,FALSE()),"Invalid ("&amp;Data!O171&amp;")"))</f>
        <v>No disease</v>
      </c>
      <c r="P171" s="22" t="str">
        <f aca="false">IF(Data!P171="","",IFERROR(VLOOKUP(Data!P171,Codes!$A$61:$B$64,2,FALSE()),"Invalid ("&amp;Data!P171&amp;")"))</f>
        <v>Cleveland Clinic</v>
      </c>
    </row>
    <row r="172" customFormat="false" ht="15" hidden="false" customHeight="false" outlineLevel="0" collapsed="false">
      <c r="A172" s="19" t="n">
        <f aca="false">Data!A172</f>
        <v>171</v>
      </c>
      <c r="B172" s="20" t="n">
        <f aca="false">IF(Data!B172="","",Data!B172)</f>
        <v>70</v>
      </c>
      <c r="C172" s="28" t="str">
        <f aca="false">IF(Data!C172="","",IFERROR(VLOOKUP(Data!C172,Codes!$A$6:$B$7,2,FALSE()),"Invalid ("&amp;Data!C172&amp;")"))</f>
        <v>Male</v>
      </c>
      <c r="D172" s="28" t="str">
        <f aca="false">IF(Data!D172="","",IFERROR(VLOOKUP(Data!D172,Codes!$A$11:$B$14,2,FALSE()),"Invalid ("&amp;Data!D172&amp;")"))</f>
        <v>Non-anginal pain</v>
      </c>
      <c r="E172" s="20" t="n">
        <f aca="false">IF(Data!E172="","",Data!E172)</f>
        <v>160</v>
      </c>
      <c r="F172" s="20" t="n">
        <f aca="false">IF(Data!F172="","",Data!F172)</f>
        <v>269</v>
      </c>
      <c r="G172" s="28" t="str">
        <f aca="false">IF(Data!G172="","",IFERROR(VLOOKUP(Data!G172,Codes!$A$18:$B$19,2,FALSE()),"Invalid ("&amp;Data!G172&amp;")"))</f>
        <v>No</v>
      </c>
      <c r="H172" s="28" t="str">
        <f aca="false">IF(Data!H172="","",IFERROR(VLOOKUP(Data!H172,Codes!$A$23:$B$25,2,FALSE()),"Invalid ("&amp;Data!H172&amp;")"))</f>
        <v>Normal</v>
      </c>
      <c r="I172" s="20" t="n">
        <f aca="false">IF(Data!I172="","",Data!I172)</f>
        <v>112</v>
      </c>
      <c r="J172" s="28" t="str">
        <f aca="false">IF(Data!J172="","",IFERROR(VLOOKUP(Data!J172,Codes!$A$29:$B$30,2,FALSE()),"Invalid ("&amp;Data!J172&amp;")"))</f>
        <v>Yes</v>
      </c>
      <c r="K172" s="21" t="n">
        <f aca="false">IF(Data!K172="","",Data!K172)</f>
        <v>2.9</v>
      </c>
      <c r="L172" s="28" t="str">
        <f aca="false">IF(Data!L172="","",IFERROR(VLOOKUP(Data!L172,Codes!$A$34:$B$36,2,FALSE()),"Invalid ("&amp;Data!L172&amp;")"))</f>
        <v>Flat</v>
      </c>
      <c r="M172" s="20" t="n">
        <f aca="false">IF(Data!M172="","",Data!M172)</f>
        <v>1</v>
      </c>
      <c r="N172" s="28" t="str">
        <f aca="false">IF(Data!N172="","",IFERROR(VLOOKUP(Data!N172,Codes!$A$47:$B$49,2,FALSE()),"Invalid ("&amp;Data!N172&amp;")"))</f>
        <v>Reversible defect</v>
      </c>
      <c r="O172" s="28" t="str">
        <f aca="false">IF(Data!O172="","",IFERROR(VLOOKUP(Data!O172,Codes!$A$53:$B$57,2,FALSE()),"Invalid ("&amp;Data!O172&amp;")"))</f>
        <v>Disease (3)</v>
      </c>
      <c r="P172" s="22" t="str">
        <f aca="false">IF(Data!P172="","",IFERROR(VLOOKUP(Data!P172,Codes!$A$61:$B$64,2,FALSE()),"Invalid ("&amp;Data!P172&amp;")"))</f>
        <v>Cleveland Clinic</v>
      </c>
    </row>
    <row r="173" customFormat="false" ht="15" hidden="false" customHeight="false" outlineLevel="0" collapsed="false">
      <c r="A173" s="19" t="n">
        <f aca="false">Data!A173</f>
        <v>172</v>
      </c>
      <c r="B173" s="20" t="n">
        <f aca="false">IF(Data!B173="","",Data!B173)</f>
        <v>53</v>
      </c>
      <c r="C173" s="28" t="str">
        <f aca="false">IF(Data!C173="","",IFERROR(VLOOKUP(Data!C173,Codes!$A$6:$B$7,2,FALSE()),"Invalid ("&amp;Data!C173&amp;")"))</f>
        <v>Male</v>
      </c>
      <c r="D173" s="28" t="str">
        <f aca="false">IF(Data!D173="","",IFERROR(VLOOKUP(Data!D173,Codes!$A$11:$B$14,2,FALSE()),"Invalid ("&amp;Data!D173&amp;")"))</f>
        <v>Asymptomatic</v>
      </c>
      <c r="E173" s="20" t="n">
        <f aca="false">IF(Data!E173="","",Data!E173)</f>
        <v>142</v>
      </c>
      <c r="F173" s="20" t="n">
        <f aca="false">IF(Data!F173="","",Data!F173)</f>
        <v>226</v>
      </c>
      <c r="G173" s="28" t="str">
        <f aca="false">IF(Data!G173="","",IFERROR(VLOOKUP(Data!G173,Codes!$A$18:$B$19,2,FALSE()),"Invalid ("&amp;Data!G173&amp;")"))</f>
        <v>No</v>
      </c>
      <c r="H173" s="28" t="str">
        <f aca="false">IF(Data!H173="","",IFERROR(VLOOKUP(Data!H173,Codes!$A$23:$B$25,2,FALSE()),"Invalid ("&amp;Data!H173&amp;")"))</f>
        <v>Left ventricular hypertrophy</v>
      </c>
      <c r="I173" s="20" t="n">
        <f aca="false">IF(Data!I173="","",Data!I173)</f>
        <v>111</v>
      </c>
      <c r="J173" s="28" t="str">
        <f aca="false">IF(Data!J173="","",IFERROR(VLOOKUP(Data!J173,Codes!$A$29:$B$30,2,FALSE()),"Invalid ("&amp;Data!J173&amp;")"))</f>
        <v>Yes</v>
      </c>
      <c r="K173" s="21" t="n">
        <f aca="false">IF(Data!K173="","",Data!K173)</f>
        <v>0</v>
      </c>
      <c r="L173" s="28" t="str">
        <f aca="false">IF(Data!L173="","",IFERROR(VLOOKUP(Data!L173,Codes!$A$34:$B$36,2,FALSE()),"Invalid ("&amp;Data!L173&amp;")"))</f>
        <v>Upsloping</v>
      </c>
      <c r="M173" s="20" t="n">
        <f aca="false">IF(Data!M173="","",Data!M173)</f>
        <v>0</v>
      </c>
      <c r="N173" s="28" t="str">
        <f aca="false">IF(Data!N173="","",IFERROR(VLOOKUP(Data!N173,Codes!$A$47:$B$49,2,FALSE()),"Invalid ("&amp;Data!N173&amp;")"))</f>
        <v>Reversible defect</v>
      </c>
      <c r="O173" s="28" t="str">
        <f aca="false">IF(Data!O173="","",IFERROR(VLOOKUP(Data!O173,Codes!$A$53:$B$57,2,FALSE()),"Invalid ("&amp;Data!O173&amp;")"))</f>
        <v>No disease</v>
      </c>
      <c r="P173" s="22" t="str">
        <f aca="false">IF(Data!P173="","",IFERROR(VLOOKUP(Data!P173,Codes!$A$61:$B$64,2,FALSE()),"Invalid ("&amp;Data!P173&amp;")"))</f>
        <v>Cleveland Clinic</v>
      </c>
    </row>
    <row r="174" customFormat="false" ht="15" hidden="false" customHeight="false" outlineLevel="0" collapsed="false">
      <c r="A174" s="19" t="n">
        <f aca="false">Data!A174</f>
        <v>173</v>
      </c>
      <c r="B174" s="20" t="n">
        <f aca="false">IF(Data!B174="","",Data!B174)</f>
        <v>59</v>
      </c>
      <c r="C174" s="28" t="str">
        <f aca="false">IF(Data!C174="","",IFERROR(VLOOKUP(Data!C174,Codes!$A$6:$B$7,2,FALSE()),"Invalid ("&amp;Data!C174&amp;")"))</f>
        <v>Female</v>
      </c>
      <c r="D174" s="28" t="str">
        <f aca="false">IF(Data!D174="","",IFERROR(VLOOKUP(Data!D174,Codes!$A$11:$B$14,2,FALSE()),"Invalid ("&amp;Data!D174&amp;")"))</f>
        <v>Asymptomatic</v>
      </c>
      <c r="E174" s="20" t="n">
        <f aca="false">IF(Data!E174="","",Data!E174)</f>
        <v>174</v>
      </c>
      <c r="F174" s="20" t="n">
        <f aca="false">IF(Data!F174="","",Data!F174)</f>
        <v>249</v>
      </c>
      <c r="G174" s="28" t="str">
        <f aca="false">IF(Data!G174="","",IFERROR(VLOOKUP(Data!G174,Codes!$A$18:$B$19,2,FALSE()),"Invalid ("&amp;Data!G174&amp;")"))</f>
        <v>No</v>
      </c>
      <c r="H174" s="28" t="str">
        <f aca="false">IF(Data!H174="","",IFERROR(VLOOKUP(Data!H174,Codes!$A$23:$B$25,2,FALSE()),"Invalid ("&amp;Data!H174&amp;")"))</f>
        <v>Normal</v>
      </c>
      <c r="I174" s="20" t="n">
        <f aca="false">IF(Data!I174="","",Data!I174)</f>
        <v>143</v>
      </c>
      <c r="J174" s="28" t="str">
        <f aca="false">IF(Data!J174="","",IFERROR(VLOOKUP(Data!J174,Codes!$A$29:$B$30,2,FALSE()),"Invalid ("&amp;Data!J174&amp;")"))</f>
        <v>Yes</v>
      </c>
      <c r="K174" s="21" t="n">
        <f aca="false">IF(Data!K174="","",Data!K174)</f>
        <v>0</v>
      </c>
      <c r="L174" s="28" t="str">
        <f aca="false">IF(Data!L174="","",IFERROR(VLOOKUP(Data!L174,Codes!$A$34:$B$36,2,FALSE()),"Invalid ("&amp;Data!L174&amp;")"))</f>
        <v>Flat</v>
      </c>
      <c r="M174" s="20" t="n">
        <f aca="false">IF(Data!M174="","",Data!M174)</f>
        <v>0</v>
      </c>
      <c r="N174" s="28" t="str">
        <f aca="false">IF(Data!N174="","",IFERROR(VLOOKUP(Data!N174,Codes!$A$47:$B$49,2,FALSE()),"Invalid ("&amp;Data!N174&amp;")"))</f>
        <v>Normal</v>
      </c>
      <c r="O174" s="28" t="str">
        <f aca="false">IF(Data!O174="","",IFERROR(VLOOKUP(Data!O174,Codes!$A$53:$B$57,2,FALSE()),"Invalid ("&amp;Data!O174&amp;")"))</f>
        <v>Disease (1)</v>
      </c>
      <c r="P174" s="22" t="str">
        <f aca="false">IF(Data!P174="","",IFERROR(VLOOKUP(Data!P174,Codes!$A$61:$B$64,2,FALSE()),"Invalid ("&amp;Data!P174&amp;")"))</f>
        <v>Cleveland Clinic</v>
      </c>
    </row>
    <row r="175" customFormat="false" ht="15" hidden="false" customHeight="false" outlineLevel="0" collapsed="false">
      <c r="A175" s="19" t="n">
        <f aca="false">Data!A175</f>
        <v>174</v>
      </c>
      <c r="B175" s="20" t="n">
        <f aca="false">IF(Data!B175="","",Data!B175)</f>
        <v>62</v>
      </c>
      <c r="C175" s="28" t="str">
        <f aca="false">IF(Data!C175="","",IFERROR(VLOOKUP(Data!C175,Codes!$A$6:$B$7,2,FALSE()),"Invalid ("&amp;Data!C175&amp;")"))</f>
        <v>Female</v>
      </c>
      <c r="D175" s="28" t="str">
        <f aca="false">IF(Data!D175="","",IFERROR(VLOOKUP(Data!D175,Codes!$A$11:$B$14,2,FALSE()),"Invalid ("&amp;Data!D175&amp;")"))</f>
        <v>Asymptomatic</v>
      </c>
      <c r="E175" s="20" t="n">
        <f aca="false">IF(Data!E175="","",Data!E175)</f>
        <v>140</v>
      </c>
      <c r="F175" s="20" t="n">
        <f aca="false">IF(Data!F175="","",Data!F175)</f>
        <v>394</v>
      </c>
      <c r="G175" s="28" t="str">
        <f aca="false">IF(Data!G175="","",IFERROR(VLOOKUP(Data!G175,Codes!$A$18:$B$19,2,FALSE()),"Invalid ("&amp;Data!G175&amp;")"))</f>
        <v>No</v>
      </c>
      <c r="H175" s="28" t="str">
        <f aca="false">IF(Data!H175="","",IFERROR(VLOOKUP(Data!H175,Codes!$A$23:$B$25,2,FALSE()),"Invalid ("&amp;Data!H175&amp;")"))</f>
        <v>Left ventricular hypertrophy</v>
      </c>
      <c r="I175" s="20" t="n">
        <f aca="false">IF(Data!I175="","",Data!I175)</f>
        <v>157</v>
      </c>
      <c r="J175" s="28" t="str">
        <f aca="false">IF(Data!J175="","",IFERROR(VLOOKUP(Data!J175,Codes!$A$29:$B$30,2,FALSE()),"Invalid ("&amp;Data!J175&amp;")"))</f>
        <v>No</v>
      </c>
      <c r="K175" s="21" t="n">
        <f aca="false">IF(Data!K175="","",Data!K175)</f>
        <v>1.2</v>
      </c>
      <c r="L175" s="28" t="str">
        <f aca="false">IF(Data!L175="","",IFERROR(VLOOKUP(Data!L175,Codes!$A$34:$B$36,2,FALSE()),"Invalid ("&amp;Data!L175&amp;")"))</f>
        <v>Flat</v>
      </c>
      <c r="M175" s="20" t="n">
        <f aca="false">IF(Data!M175="","",Data!M175)</f>
        <v>0</v>
      </c>
      <c r="N175" s="28" t="str">
        <f aca="false">IF(Data!N175="","",IFERROR(VLOOKUP(Data!N175,Codes!$A$47:$B$49,2,FALSE()),"Invalid ("&amp;Data!N175&amp;")"))</f>
        <v>Normal</v>
      </c>
      <c r="O175" s="28" t="str">
        <f aca="false">IF(Data!O175="","",IFERROR(VLOOKUP(Data!O175,Codes!$A$53:$B$57,2,FALSE()),"Invalid ("&amp;Data!O175&amp;")"))</f>
        <v>No disease</v>
      </c>
      <c r="P175" s="22" t="str">
        <f aca="false">IF(Data!P175="","",IFERROR(VLOOKUP(Data!P175,Codes!$A$61:$B$64,2,FALSE()),"Invalid ("&amp;Data!P175&amp;")"))</f>
        <v>Cleveland Clinic</v>
      </c>
    </row>
    <row r="176" customFormat="false" ht="15" hidden="false" customHeight="false" outlineLevel="0" collapsed="false">
      <c r="A176" s="19" t="n">
        <f aca="false">Data!A176</f>
        <v>175</v>
      </c>
      <c r="B176" s="20" t="n">
        <f aca="false">IF(Data!B176="","",Data!B176)</f>
        <v>64</v>
      </c>
      <c r="C176" s="28" t="str">
        <f aca="false">IF(Data!C176="","",IFERROR(VLOOKUP(Data!C176,Codes!$A$6:$B$7,2,FALSE()),"Invalid ("&amp;Data!C176&amp;")"))</f>
        <v>Male</v>
      </c>
      <c r="D176" s="28" t="str">
        <f aca="false">IF(Data!D176="","",IFERROR(VLOOKUP(Data!D176,Codes!$A$11:$B$14,2,FALSE()),"Invalid ("&amp;Data!D176&amp;")"))</f>
        <v>Asymptomatic</v>
      </c>
      <c r="E176" s="20" t="n">
        <f aca="false">IF(Data!E176="","",Data!E176)</f>
        <v>145</v>
      </c>
      <c r="F176" s="20" t="n">
        <f aca="false">IF(Data!F176="","",Data!F176)</f>
        <v>212</v>
      </c>
      <c r="G176" s="28" t="str">
        <f aca="false">IF(Data!G176="","",IFERROR(VLOOKUP(Data!G176,Codes!$A$18:$B$19,2,FALSE()),"Invalid ("&amp;Data!G176&amp;")"))</f>
        <v>No</v>
      </c>
      <c r="H176" s="28" t="str">
        <f aca="false">IF(Data!H176="","",IFERROR(VLOOKUP(Data!H176,Codes!$A$23:$B$25,2,FALSE()),"Invalid ("&amp;Data!H176&amp;")"))</f>
        <v>Left ventricular hypertrophy</v>
      </c>
      <c r="I176" s="20" t="n">
        <f aca="false">IF(Data!I176="","",Data!I176)</f>
        <v>132</v>
      </c>
      <c r="J176" s="28" t="str">
        <f aca="false">IF(Data!J176="","",IFERROR(VLOOKUP(Data!J176,Codes!$A$29:$B$30,2,FALSE()),"Invalid ("&amp;Data!J176&amp;")"))</f>
        <v>No</v>
      </c>
      <c r="K176" s="21" t="n">
        <f aca="false">IF(Data!K176="","",Data!K176)</f>
        <v>2</v>
      </c>
      <c r="L176" s="28" t="str">
        <f aca="false">IF(Data!L176="","",IFERROR(VLOOKUP(Data!L176,Codes!$A$34:$B$36,2,FALSE()),"Invalid ("&amp;Data!L176&amp;")"))</f>
        <v>Flat</v>
      </c>
      <c r="M176" s="20" t="n">
        <f aca="false">IF(Data!M176="","",Data!M176)</f>
        <v>2</v>
      </c>
      <c r="N176" s="28" t="str">
        <f aca="false">IF(Data!N176="","",IFERROR(VLOOKUP(Data!N176,Codes!$A$47:$B$49,2,FALSE()),"Invalid ("&amp;Data!N176&amp;")"))</f>
        <v>Fixed defect</v>
      </c>
      <c r="O176" s="28" t="str">
        <f aca="false">IF(Data!O176="","",IFERROR(VLOOKUP(Data!O176,Codes!$A$53:$B$57,2,FALSE()),"Invalid ("&amp;Data!O176&amp;")"))</f>
        <v>Disease (4)</v>
      </c>
      <c r="P176" s="22" t="str">
        <f aca="false">IF(Data!P176="","",IFERROR(VLOOKUP(Data!P176,Codes!$A$61:$B$64,2,FALSE()),"Invalid ("&amp;Data!P176&amp;")"))</f>
        <v>Cleveland Clinic</v>
      </c>
    </row>
    <row r="177" customFormat="false" ht="15" hidden="false" customHeight="false" outlineLevel="0" collapsed="false">
      <c r="A177" s="19" t="n">
        <f aca="false">Data!A177</f>
        <v>176</v>
      </c>
      <c r="B177" s="20" t="n">
        <f aca="false">IF(Data!B177="","",Data!B177)</f>
        <v>57</v>
      </c>
      <c r="C177" s="28" t="str">
        <f aca="false">IF(Data!C177="","",IFERROR(VLOOKUP(Data!C177,Codes!$A$6:$B$7,2,FALSE()),"Invalid ("&amp;Data!C177&amp;")"))</f>
        <v>Male</v>
      </c>
      <c r="D177" s="28" t="str">
        <f aca="false">IF(Data!D177="","",IFERROR(VLOOKUP(Data!D177,Codes!$A$11:$B$14,2,FALSE()),"Invalid ("&amp;Data!D177&amp;")"))</f>
        <v>Asymptomatic</v>
      </c>
      <c r="E177" s="20" t="n">
        <f aca="false">IF(Data!E177="","",Data!E177)</f>
        <v>152</v>
      </c>
      <c r="F177" s="20" t="n">
        <f aca="false">IF(Data!F177="","",Data!F177)</f>
        <v>274</v>
      </c>
      <c r="G177" s="28" t="str">
        <f aca="false">IF(Data!G177="","",IFERROR(VLOOKUP(Data!G177,Codes!$A$18:$B$19,2,FALSE()),"Invalid ("&amp;Data!G177&amp;")"))</f>
        <v>No</v>
      </c>
      <c r="H177" s="28" t="str">
        <f aca="false">IF(Data!H177="","",IFERROR(VLOOKUP(Data!H177,Codes!$A$23:$B$25,2,FALSE()),"Invalid ("&amp;Data!H177&amp;")"))</f>
        <v>Normal</v>
      </c>
      <c r="I177" s="20" t="n">
        <f aca="false">IF(Data!I177="","",Data!I177)</f>
        <v>88</v>
      </c>
      <c r="J177" s="28" t="str">
        <f aca="false">IF(Data!J177="","",IFERROR(VLOOKUP(Data!J177,Codes!$A$29:$B$30,2,FALSE()),"Invalid ("&amp;Data!J177&amp;")"))</f>
        <v>Yes</v>
      </c>
      <c r="K177" s="21" t="n">
        <f aca="false">IF(Data!K177="","",Data!K177)</f>
        <v>1.2</v>
      </c>
      <c r="L177" s="28" t="str">
        <f aca="false">IF(Data!L177="","",IFERROR(VLOOKUP(Data!L177,Codes!$A$34:$B$36,2,FALSE()),"Invalid ("&amp;Data!L177&amp;")"))</f>
        <v>Flat</v>
      </c>
      <c r="M177" s="20" t="n">
        <f aca="false">IF(Data!M177="","",Data!M177)</f>
        <v>1</v>
      </c>
      <c r="N177" s="28" t="str">
        <f aca="false">IF(Data!N177="","",IFERROR(VLOOKUP(Data!N177,Codes!$A$47:$B$49,2,FALSE()),"Invalid ("&amp;Data!N177&amp;")"))</f>
        <v>Reversible defect</v>
      </c>
      <c r="O177" s="28" t="str">
        <f aca="false">IF(Data!O177="","",IFERROR(VLOOKUP(Data!O177,Codes!$A$53:$B$57,2,FALSE()),"Invalid ("&amp;Data!O177&amp;")"))</f>
        <v>Disease (1)</v>
      </c>
      <c r="P177" s="22" t="str">
        <f aca="false">IF(Data!P177="","",IFERROR(VLOOKUP(Data!P177,Codes!$A$61:$B$64,2,FALSE()),"Invalid ("&amp;Data!P177&amp;")"))</f>
        <v>Cleveland Clinic</v>
      </c>
    </row>
    <row r="178" customFormat="false" ht="15" hidden="false" customHeight="false" outlineLevel="0" collapsed="false">
      <c r="A178" s="19" t="n">
        <f aca="false">Data!A178</f>
        <v>177</v>
      </c>
      <c r="B178" s="20" t="n">
        <f aca="false">IF(Data!B178="","",Data!B178)</f>
        <v>52</v>
      </c>
      <c r="C178" s="28" t="str">
        <f aca="false">IF(Data!C178="","",IFERROR(VLOOKUP(Data!C178,Codes!$A$6:$B$7,2,FALSE()),"Invalid ("&amp;Data!C178&amp;")"))</f>
        <v>Male</v>
      </c>
      <c r="D178" s="28" t="str">
        <f aca="false">IF(Data!D178="","",IFERROR(VLOOKUP(Data!D178,Codes!$A$11:$B$14,2,FALSE()),"Invalid ("&amp;Data!D178&amp;")"))</f>
        <v>Asymptomatic</v>
      </c>
      <c r="E178" s="20" t="n">
        <f aca="false">IF(Data!E178="","",Data!E178)</f>
        <v>108</v>
      </c>
      <c r="F178" s="20" t="n">
        <f aca="false">IF(Data!F178="","",Data!F178)</f>
        <v>233</v>
      </c>
      <c r="G178" s="28" t="str">
        <f aca="false">IF(Data!G178="","",IFERROR(VLOOKUP(Data!G178,Codes!$A$18:$B$19,2,FALSE()),"Invalid ("&amp;Data!G178&amp;")"))</f>
        <v>Yes</v>
      </c>
      <c r="H178" s="28" t="str">
        <f aca="false">IF(Data!H178="","",IFERROR(VLOOKUP(Data!H178,Codes!$A$23:$B$25,2,FALSE()),"Invalid ("&amp;Data!H178&amp;")"))</f>
        <v>Normal</v>
      </c>
      <c r="I178" s="20" t="n">
        <f aca="false">IF(Data!I178="","",Data!I178)</f>
        <v>147</v>
      </c>
      <c r="J178" s="28" t="str">
        <f aca="false">IF(Data!J178="","",IFERROR(VLOOKUP(Data!J178,Codes!$A$29:$B$30,2,FALSE()),"Invalid ("&amp;Data!J178&amp;")"))</f>
        <v>No</v>
      </c>
      <c r="K178" s="21" t="n">
        <f aca="false">IF(Data!K178="","",Data!K178)</f>
        <v>0.1</v>
      </c>
      <c r="L178" s="28" t="str">
        <f aca="false">IF(Data!L178="","",IFERROR(VLOOKUP(Data!L178,Codes!$A$34:$B$36,2,FALSE()),"Invalid ("&amp;Data!L178&amp;")"))</f>
        <v>Upsloping</v>
      </c>
      <c r="M178" s="20" t="n">
        <f aca="false">IF(Data!M178="","",Data!M178)</f>
        <v>3</v>
      </c>
      <c r="N178" s="28" t="str">
        <f aca="false">IF(Data!N178="","",IFERROR(VLOOKUP(Data!N178,Codes!$A$47:$B$49,2,FALSE()),"Invalid ("&amp;Data!N178&amp;")"))</f>
        <v>Reversible defect</v>
      </c>
      <c r="O178" s="28" t="str">
        <f aca="false">IF(Data!O178="","",IFERROR(VLOOKUP(Data!O178,Codes!$A$53:$B$57,2,FALSE()),"Invalid ("&amp;Data!O178&amp;")"))</f>
        <v>No disease</v>
      </c>
      <c r="P178" s="22" t="str">
        <f aca="false">IF(Data!P178="","",IFERROR(VLOOKUP(Data!P178,Codes!$A$61:$B$64,2,FALSE()),"Invalid ("&amp;Data!P178&amp;")"))</f>
        <v>Cleveland Clinic</v>
      </c>
    </row>
    <row r="179" customFormat="false" ht="15" hidden="false" customHeight="false" outlineLevel="0" collapsed="false">
      <c r="A179" s="19" t="n">
        <f aca="false">Data!A179</f>
        <v>178</v>
      </c>
      <c r="B179" s="20" t="n">
        <f aca="false">IF(Data!B179="","",Data!B179)</f>
        <v>56</v>
      </c>
      <c r="C179" s="28" t="str">
        <f aca="false">IF(Data!C179="","",IFERROR(VLOOKUP(Data!C179,Codes!$A$6:$B$7,2,FALSE()),"Invalid ("&amp;Data!C179&amp;")"))</f>
        <v>Male</v>
      </c>
      <c r="D179" s="28" t="str">
        <f aca="false">IF(Data!D179="","",IFERROR(VLOOKUP(Data!D179,Codes!$A$11:$B$14,2,FALSE()),"Invalid ("&amp;Data!D179&amp;")"))</f>
        <v>Asymptomatic</v>
      </c>
      <c r="E179" s="20" t="n">
        <f aca="false">IF(Data!E179="","",Data!E179)</f>
        <v>132</v>
      </c>
      <c r="F179" s="20" t="n">
        <f aca="false">IF(Data!F179="","",Data!F179)</f>
        <v>184</v>
      </c>
      <c r="G179" s="28" t="str">
        <f aca="false">IF(Data!G179="","",IFERROR(VLOOKUP(Data!G179,Codes!$A$18:$B$19,2,FALSE()),"Invalid ("&amp;Data!G179&amp;")"))</f>
        <v>No</v>
      </c>
      <c r="H179" s="28" t="str">
        <f aca="false">IF(Data!H179="","",IFERROR(VLOOKUP(Data!H179,Codes!$A$23:$B$25,2,FALSE()),"Invalid ("&amp;Data!H179&amp;")"))</f>
        <v>Left ventricular hypertrophy</v>
      </c>
      <c r="I179" s="20" t="n">
        <f aca="false">IF(Data!I179="","",Data!I179)</f>
        <v>105</v>
      </c>
      <c r="J179" s="28" t="str">
        <f aca="false">IF(Data!J179="","",IFERROR(VLOOKUP(Data!J179,Codes!$A$29:$B$30,2,FALSE()),"Invalid ("&amp;Data!J179&amp;")"))</f>
        <v>Yes</v>
      </c>
      <c r="K179" s="21" t="n">
        <f aca="false">IF(Data!K179="","",Data!K179)</f>
        <v>2.1</v>
      </c>
      <c r="L179" s="28" t="str">
        <f aca="false">IF(Data!L179="","",IFERROR(VLOOKUP(Data!L179,Codes!$A$34:$B$36,2,FALSE()),"Invalid ("&amp;Data!L179&amp;")"))</f>
        <v>Flat</v>
      </c>
      <c r="M179" s="20" t="n">
        <f aca="false">IF(Data!M179="","",Data!M179)</f>
        <v>1</v>
      </c>
      <c r="N179" s="28" t="str">
        <f aca="false">IF(Data!N179="","",IFERROR(VLOOKUP(Data!N179,Codes!$A$47:$B$49,2,FALSE()),"Invalid ("&amp;Data!N179&amp;")"))</f>
        <v>Fixed defect</v>
      </c>
      <c r="O179" s="28" t="str">
        <f aca="false">IF(Data!O179="","",IFERROR(VLOOKUP(Data!O179,Codes!$A$53:$B$57,2,FALSE()),"Invalid ("&amp;Data!O179&amp;")"))</f>
        <v>Disease (1)</v>
      </c>
      <c r="P179" s="22" t="str">
        <f aca="false">IF(Data!P179="","",IFERROR(VLOOKUP(Data!P179,Codes!$A$61:$B$64,2,FALSE()),"Invalid ("&amp;Data!P179&amp;")"))</f>
        <v>Cleveland Clinic</v>
      </c>
    </row>
    <row r="180" customFormat="false" ht="15" hidden="false" customHeight="false" outlineLevel="0" collapsed="false">
      <c r="A180" s="19" t="n">
        <f aca="false">Data!A180</f>
        <v>179</v>
      </c>
      <c r="B180" s="20" t="n">
        <f aca="false">IF(Data!B180="","",Data!B180)</f>
        <v>43</v>
      </c>
      <c r="C180" s="28" t="str">
        <f aca="false">IF(Data!C180="","",IFERROR(VLOOKUP(Data!C180,Codes!$A$6:$B$7,2,FALSE()),"Invalid ("&amp;Data!C180&amp;")"))</f>
        <v>Male</v>
      </c>
      <c r="D180" s="28" t="str">
        <f aca="false">IF(Data!D180="","",IFERROR(VLOOKUP(Data!D180,Codes!$A$11:$B$14,2,FALSE()),"Invalid ("&amp;Data!D180&amp;")"))</f>
        <v>Non-anginal pain</v>
      </c>
      <c r="E180" s="20" t="n">
        <f aca="false">IF(Data!E180="","",Data!E180)</f>
        <v>130</v>
      </c>
      <c r="F180" s="20" t="n">
        <f aca="false">IF(Data!F180="","",Data!F180)</f>
        <v>315</v>
      </c>
      <c r="G180" s="28" t="str">
        <f aca="false">IF(Data!G180="","",IFERROR(VLOOKUP(Data!G180,Codes!$A$18:$B$19,2,FALSE()),"Invalid ("&amp;Data!G180&amp;")"))</f>
        <v>No</v>
      </c>
      <c r="H180" s="28" t="str">
        <f aca="false">IF(Data!H180="","",IFERROR(VLOOKUP(Data!H180,Codes!$A$23:$B$25,2,FALSE()),"Invalid ("&amp;Data!H180&amp;")"))</f>
        <v>Normal</v>
      </c>
      <c r="I180" s="20" t="n">
        <f aca="false">IF(Data!I180="","",Data!I180)</f>
        <v>162</v>
      </c>
      <c r="J180" s="28" t="str">
        <f aca="false">IF(Data!J180="","",IFERROR(VLOOKUP(Data!J180,Codes!$A$29:$B$30,2,FALSE()),"Invalid ("&amp;Data!J180&amp;")"))</f>
        <v>No</v>
      </c>
      <c r="K180" s="21" t="n">
        <f aca="false">IF(Data!K180="","",Data!K180)</f>
        <v>1.9</v>
      </c>
      <c r="L180" s="28" t="str">
        <f aca="false">IF(Data!L180="","",IFERROR(VLOOKUP(Data!L180,Codes!$A$34:$B$36,2,FALSE()),"Invalid ("&amp;Data!L180&amp;")"))</f>
        <v>Upsloping</v>
      </c>
      <c r="M180" s="20" t="n">
        <f aca="false">IF(Data!M180="","",Data!M180)</f>
        <v>1</v>
      </c>
      <c r="N180" s="28" t="str">
        <f aca="false">IF(Data!N180="","",IFERROR(VLOOKUP(Data!N180,Codes!$A$47:$B$49,2,FALSE()),"Invalid ("&amp;Data!N180&amp;")"))</f>
        <v>Normal</v>
      </c>
      <c r="O180" s="28" t="str">
        <f aca="false">IF(Data!O180="","",IFERROR(VLOOKUP(Data!O180,Codes!$A$53:$B$57,2,FALSE()),"Invalid ("&amp;Data!O180&amp;")"))</f>
        <v>No disease</v>
      </c>
      <c r="P180" s="22" t="str">
        <f aca="false">IF(Data!P180="","",IFERROR(VLOOKUP(Data!P180,Codes!$A$61:$B$64,2,FALSE()),"Invalid ("&amp;Data!P180&amp;")"))</f>
        <v>Cleveland Clinic</v>
      </c>
    </row>
    <row r="181" customFormat="false" ht="15" hidden="false" customHeight="false" outlineLevel="0" collapsed="false">
      <c r="A181" s="19" t="n">
        <f aca="false">Data!A181</f>
        <v>180</v>
      </c>
      <c r="B181" s="20" t="n">
        <f aca="false">IF(Data!B181="","",Data!B181)</f>
        <v>53</v>
      </c>
      <c r="C181" s="28" t="str">
        <f aca="false">IF(Data!C181="","",IFERROR(VLOOKUP(Data!C181,Codes!$A$6:$B$7,2,FALSE()),"Invalid ("&amp;Data!C181&amp;")"))</f>
        <v>Male</v>
      </c>
      <c r="D181" s="28" t="str">
        <f aca="false">IF(Data!D181="","",IFERROR(VLOOKUP(Data!D181,Codes!$A$11:$B$14,2,FALSE()),"Invalid ("&amp;Data!D181&amp;")"))</f>
        <v>Non-anginal pain</v>
      </c>
      <c r="E181" s="20" t="n">
        <f aca="false">IF(Data!E181="","",Data!E181)</f>
        <v>130</v>
      </c>
      <c r="F181" s="20" t="n">
        <f aca="false">IF(Data!F181="","",Data!F181)</f>
        <v>246</v>
      </c>
      <c r="G181" s="28" t="str">
        <f aca="false">IF(Data!G181="","",IFERROR(VLOOKUP(Data!G181,Codes!$A$18:$B$19,2,FALSE()),"Invalid ("&amp;Data!G181&amp;")"))</f>
        <v>Yes</v>
      </c>
      <c r="H181" s="28" t="str">
        <f aca="false">IF(Data!H181="","",IFERROR(VLOOKUP(Data!H181,Codes!$A$23:$B$25,2,FALSE()),"Invalid ("&amp;Data!H181&amp;")"))</f>
        <v>Left ventricular hypertrophy</v>
      </c>
      <c r="I181" s="20" t="n">
        <f aca="false">IF(Data!I181="","",Data!I181)</f>
        <v>173</v>
      </c>
      <c r="J181" s="28" t="str">
        <f aca="false">IF(Data!J181="","",IFERROR(VLOOKUP(Data!J181,Codes!$A$29:$B$30,2,FALSE()),"Invalid ("&amp;Data!J181&amp;")"))</f>
        <v>No</v>
      </c>
      <c r="K181" s="21" t="n">
        <f aca="false">IF(Data!K181="","",Data!K181)</f>
        <v>0</v>
      </c>
      <c r="L181" s="28" t="str">
        <f aca="false">IF(Data!L181="","",IFERROR(VLOOKUP(Data!L181,Codes!$A$34:$B$36,2,FALSE()),"Invalid ("&amp;Data!L181&amp;")"))</f>
        <v>Upsloping</v>
      </c>
      <c r="M181" s="20" t="n">
        <f aca="false">IF(Data!M181="","",Data!M181)</f>
        <v>3</v>
      </c>
      <c r="N181" s="28" t="str">
        <f aca="false">IF(Data!N181="","",IFERROR(VLOOKUP(Data!N181,Codes!$A$47:$B$49,2,FALSE()),"Invalid ("&amp;Data!N181&amp;")"))</f>
        <v>Normal</v>
      </c>
      <c r="O181" s="28" t="str">
        <f aca="false">IF(Data!O181="","",IFERROR(VLOOKUP(Data!O181,Codes!$A$53:$B$57,2,FALSE()),"Invalid ("&amp;Data!O181&amp;")"))</f>
        <v>No disease</v>
      </c>
      <c r="P181" s="22" t="str">
        <f aca="false">IF(Data!P181="","",IFERROR(VLOOKUP(Data!P181,Codes!$A$61:$B$64,2,FALSE()),"Invalid ("&amp;Data!P181&amp;")"))</f>
        <v>Cleveland Clinic</v>
      </c>
    </row>
    <row r="182" customFormat="false" ht="15" hidden="false" customHeight="false" outlineLevel="0" collapsed="false">
      <c r="A182" s="19" t="n">
        <f aca="false">Data!A182</f>
        <v>181</v>
      </c>
      <c r="B182" s="20" t="n">
        <f aca="false">IF(Data!B182="","",Data!B182)</f>
        <v>48</v>
      </c>
      <c r="C182" s="28" t="str">
        <f aca="false">IF(Data!C182="","",IFERROR(VLOOKUP(Data!C182,Codes!$A$6:$B$7,2,FALSE()),"Invalid ("&amp;Data!C182&amp;")"))</f>
        <v>Male</v>
      </c>
      <c r="D182" s="28" t="str">
        <f aca="false">IF(Data!D182="","",IFERROR(VLOOKUP(Data!D182,Codes!$A$11:$B$14,2,FALSE()),"Invalid ("&amp;Data!D182&amp;")"))</f>
        <v>Asymptomatic</v>
      </c>
      <c r="E182" s="20" t="n">
        <f aca="false">IF(Data!E182="","",Data!E182)</f>
        <v>124</v>
      </c>
      <c r="F182" s="20" t="n">
        <f aca="false">IF(Data!F182="","",Data!F182)</f>
        <v>274</v>
      </c>
      <c r="G182" s="28" t="str">
        <f aca="false">IF(Data!G182="","",IFERROR(VLOOKUP(Data!G182,Codes!$A$18:$B$19,2,FALSE()),"Invalid ("&amp;Data!G182&amp;")"))</f>
        <v>No</v>
      </c>
      <c r="H182" s="28" t="str">
        <f aca="false">IF(Data!H182="","",IFERROR(VLOOKUP(Data!H182,Codes!$A$23:$B$25,2,FALSE()),"Invalid ("&amp;Data!H182&amp;")"))</f>
        <v>Left ventricular hypertrophy</v>
      </c>
      <c r="I182" s="20" t="n">
        <f aca="false">IF(Data!I182="","",Data!I182)</f>
        <v>166</v>
      </c>
      <c r="J182" s="28" t="str">
        <f aca="false">IF(Data!J182="","",IFERROR(VLOOKUP(Data!J182,Codes!$A$29:$B$30,2,FALSE()),"Invalid ("&amp;Data!J182&amp;")"))</f>
        <v>No</v>
      </c>
      <c r="K182" s="21" t="n">
        <f aca="false">IF(Data!K182="","",Data!K182)</f>
        <v>0.5</v>
      </c>
      <c r="L182" s="28" t="str">
        <f aca="false">IF(Data!L182="","",IFERROR(VLOOKUP(Data!L182,Codes!$A$34:$B$36,2,FALSE()),"Invalid ("&amp;Data!L182&amp;")"))</f>
        <v>Flat</v>
      </c>
      <c r="M182" s="20" t="n">
        <f aca="false">IF(Data!M182="","",Data!M182)</f>
        <v>0</v>
      </c>
      <c r="N182" s="28" t="str">
        <f aca="false">IF(Data!N182="","",IFERROR(VLOOKUP(Data!N182,Codes!$A$47:$B$49,2,FALSE()),"Invalid ("&amp;Data!N182&amp;")"))</f>
        <v>Reversible defect</v>
      </c>
      <c r="O182" s="28" t="str">
        <f aca="false">IF(Data!O182="","",IFERROR(VLOOKUP(Data!O182,Codes!$A$53:$B$57,2,FALSE()),"Invalid ("&amp;Data!O182&amp;")"))</f>
        <v>Disease (3)</v>
      </c>
      <c r="P182" s="22" t="str">
        <f aca="false">IF(Data!P182="","",IFERROR(VLOOKUP(Data!P182,Codes!$A$61:$B$64,2,FALSE()),"Invalid ("&amp;Data!P182&amp;")"))</f>
        <v>Cleveland Clinic</v>
      </c>
    </row>
    <row r="183" customFormat="false" ht="15" hidden="false" customHeight="false" outlineLevel="0" collapsed="false">
      <c r="A183" s="19" t="n">
        <f aca="false">Data!A183</f>
        <v>182</v>
      </c>
      <c r="B183" s="20" t="n">
        <f aca="false">IF(Data!B183="","",Data!B183)</f>
        <v>56</v>
      </c>
      <c r="C183" s="28" t="str">
        <f aca="false">IF(Data!C183="","",IFERROR(VLOOKUP(Data!C183,Codes!$A$6:$B$7,2,FALSE()),"Invalid ("&amp;Data!C183&amp;")"))</f>
        <v>Female</v>
      </c>
      <c r="D183" s="28" t="str">
        <f aca="false">IF(Data!D183="","",IFERROR(VLOOKUP(Data!D183,Codes!$A$11:$B$14,2,FALSE()),"Invalid ("&amp;Data!D183&amp;")"))</f>
        <v>Asymptomatic</v>
      </c>
      <c r="E183" s="20" t="n">
        <f aca="false">IF(Data!E183="","",Data!E183)</f>
        <v>134</v>
      </c>
      <c r="F183" s="20" t="n">
        <f aca="false">IF(Data!F183="","",Data!F183)</f>
        <v>409</v>
      </c>
      <c r="G183" s="28" t="str">
        <f aca="false">IF(Data!G183="","",IFERROR(VLOOKUP(Data!G183,Codes!$A$18:$B$19,2,FALSE()),"Invalid ("&amp;Data!G183&amp;")"))</f>
        <v>No</v>
      </c>
      <c r="H183" s="28" t="str">
        <f aca="false">IF(Data!H183="","",IFERROR(VLOOKUP(Data!H183,Codes!$A$23:$B$25,2,FALSE()),"Invalid ("&amp;Data!H183&amp;")"))</f>
        <v>Left ventricular hypertrophy</v>
      </c>
      <c r="I183" s="20" t="n">
        <f aca="false">IF(Data!I183="","",Data!I183)</f>
        <v>150</v>
      </c>
      <c r="J183" s="28" t="str">
        <f aca="false">IF(Data!J183="","",IFERROR(VLOOKUP(Data!J183,Codes!$A$29:$B$30,2,FALSE()),"Invalid ("&amp;Data!J183&amp;")"))</f>
        <v>Yes</v>
      </c>
      <c r="K183" s="21" t="n">
        <f aca="false">IF(Data!K183="","",Data!K183)</f>
        <v>1.9</v>
      </c>
      <c r="L183" s="28" t="str">
        <f aca="false">IF(Data!L183="","",IFERROR(VLOOKUP(Data!L183,Codes!$A$34:$B$36,2,FALSE()),"Invalid ("&amp;Data!L183&amp;")"))</f>
        <v>Flat</v>
      </c>
      <c r="M183" s="20" t="n">
        <f aca="false">IF(Data!M183="","",Data!M183)</f>
        <v>2</v>
      </c>
      <c r="N183" s="28" t="str">
        <f aca="false">IF(Data!N183="","",IFERROR(VLOOKUP(Data!N183,Codes!$A$47:$B$49,2,FALSE()),"Invalid ("&amp;Data!N183&amp;")"))</f>
        <v>Reversible defect</v>
      </c>
      <c r="O183" s="28" t="str">
        <f aca="false">IF(Data!O183="","",IFERROR(VLOOKUP(Data!O183,Codes!$A$53:$B$57,2,FALSE()),"Invalid ("&amp;Data!O183&amp;")"))</f>
        <v>Disease (2)</v>
      </c>
      <c r="P183" s="22" t="str">
        <f aca="false">IF(Data!P183="","",IFERROR(VLOOKUP(Data!P183,Codes!$A$61:$B$64,2,FALSE()),"Invalid ("&amp;Data!P183&amp;")"))</f>
        <v>Cleveland Clinic</v>
      </c>
    </row>
    <row r="184" customFormat="false" ht="15" hidden="false" customHeight="false" outlineLevel="0" collapsed="false">
      <c r="A184" s="19" t="n">
        <f aca="false">Data!A184</f>
        <v>183</v>
      </c>
      <c r="B184" s="20" t="n">
        <f aca="false">IF(Data!B184="","",Data!B184)</f>
        <v>42</v>
      </c>
      <c r="C184" s="28" t="str">
        <f aca="false">IF(Data!C184="","",IFERROR(VLOOKUP(Data!C184,Codes!$A$6:$B$7,2,FALSE()),"Invalid ("&amp;Data!C184&amp;")"))</f>
        <v>Male</v>
      </c>
      <c r="D184" s="28" t="str">
        <f aca="false">IF(Data!D184="","",IFERROR(VLOOKUP(Data!D184,Codes!$A$11:$B$14,2,FALSE()),"Invalid ("&amp;Data!D184&amp;")"))</f>
        <v>Typical angina</v>
      </c>
      <c r="E184" s="20" t="n">
        <f aca="false">IF(Data!E184="","",Data!E184)</f>
        <v>148</v>
      </c>
      <c r="F184" s="20" t="n">
        <f aca="false">IF(Data!F184="","",Data!F184)</f>
        <v>244</v>
      </c>
      <c r="G184" s="28" t="str">
        <f aca="false">IF(Data!G184="","",IFERROR(VLOOKUP(Data!G184,Codes!$A$18:$B$19,2,FALSE()),"Invalid ("&amp;Data!G184&amp;")"))</f>
        <v>No</v>
      </c>
      <c r="H184" s="28" t="str">
        <f aca="false">IF(Data!H184="","",IFERROR(VLOOKUP(Data!H184,Codes!$A$23:$B$25,2,FALSE()),"Invalid ("&amp;Data!H184&amp;")"))</f>
        <v>Left ventricular hypertrophy</v>
      </c>
      <c r="I184" s="20" t="n">
        <f aca="false">IF(Data!I184="","",Data!I184)</f>
        <v>178</v>
      </c>
      <c r="J184" s="28" t="str">
        <f aca="false">IF(Data!J184="","",IFERROR(VLOOKUP(Data!J184,Codes!$A$29:$B$30,2,FALSE()),"Invalid ("&amp;Data!J184&amp;")"))</f>
        <v>No</v>
      </c>
      <c r="K184" s="21" t="n">
        <f aca="false">IF(Data!K184="","",Data!K184)</f>
        <v>0.8</v>
      </c>
      <c r="L184" s="28" t="str">
        <f aca="false">IF(Data!L184="","",IFERROR(VLOOKUP(Data!L184,Codes!$A$34:$B$36,2,FALSE()),"Invalid ("&amp;Data!L184&amp;")"))</f>
        <v>Upsloping</v>
      </c>
      <c r="M184" s="20" t="n">
        <f aca="false">IF(Data!M184="","",Data!M184)</f>
        <v>2</v>
      </c>
      <c r="N184" s="28" t="str">
        <f aca="false">IF(Data!N184="","",IFERROR(VLOOKUP(Data!N184,Codes!$A$47:$B$49,2,FALSE()),"Invalid ("&amp;Data!N184&amp;")"))</f>
        <v>Normal</v>
      </c>
      <c r="O184" s="28" t="str">
        <f aca="false">IF(Data!O184="","",IFERROR(VLOOKUP(Data!O184,Codes!$A$53:$B$57,2,FALSE()),"Invalid ("&amp;Data!O184&amp;")"))</f>
        <v>No disease</v>
      </c>
      <c r="P184" s="22" t="str">
        <f aca="false">IF(Data!P184="","",IFERROR(VLOOKUP(Data!P184,Codes!$A$61:$B$64,2,FALSE()),"Invalid ("&amp;Data!P184&amp;")"))</f>
        <v>Cleveland Clinic</v>
      </c>
    </row>
    <row r="185" customFormat="false" ht="15" hidden="false" customHeight="false" outlineLevel="0" collapsed="false">
      <c r="A185" s="19" t="n">
        <f aca="false">Data!A185</f>
        <v>184</v>
      </c>
      <c r="B185" s="20" t="n">
        <f aca="false">IF(Data!B185="","",Data!B185)</f>
        <v>59</v>
      </c>
      <c r="C185" s="28" t="str">
        <f aca="false">IF(Data!C185="","",IFERROR(VLOOKUP(Data!C185,Codes!$A$6:$B$7,2,FALSE()),"Invalid ("&amp;Data!C185&amp;")"))</f>
        <v>Male</v>
      </c>
      <c r="D185" s="28" t="str">
        <f aca="false">IF(Data!D185="","",IFERROR(VLOOKUP(Data!D185,Codes!$A$11:$B$14,2,FALSE()),"Invalid ("&amp;Data!D185&amp;")"))</f>
        <v>Typical angina</v>
      </c>
      <c r="E185" s="20" t="n">
        <f aca="false">IF(Data!E185="","",Data!E185)</f>
        <v>178</v>
      </c>
      <c r="F185" s="20" t="n">
        <f aca="false">IF(Data!F185="","",Data!F185)</f>
        <v>270</v>
      </c>
      <c r="G185" s="28" t="str">
        <f aca="false">IF(Data!G185="","",IFERROR(VLOOKUP(Data!G185,Codes!$A$18:$B$19,2,FALSE()),"Invalid ("&amp;Data!G185&amp;")"))</f>
        <v>No</v>
      </c>
      <c r="H185" s="28" t="str">
        <f aca="false">IF(Data!H185="","",IFERROR(VLOOKUP(Data!H185,Codes!$A$23:$B$25,2,FALSE()),"Invalid ("&amp;Data!H185&amp;")"))</f>
        <v>Left ventricular hypertrophy</v>
      </c>
      <c r="I185" s="20" t="n">
        <f aca="false">IF(Data!I185="","",Data!I185)</f>
        <v>145</v>
      </c>
      <c r="J185" s="28" t="str">
        <f aca="false">IF(Data!J185="","",IFERROR(VLOOKUP(Data!J185,Codes!$A$29:$B$30,2,FALSE()),"Invalid ("&amp;Data!J185&amp;")"))</f>
        <v>No</v>
      </c>
      <c r="K185" s="21" t="n">
        <f aca="false">IF(Data!K185="","",Data!K185)</f>
        <v>4.2</v>
      </c>
      <c r="L185" s="28" t="str">
        <f aca="false">IF(Data!L185="","",IFERROR(VLOOKUP(Data!L185,Codes!$A$34:$B$36,2,FALSE()),"Invalid ("&amp;Data!L185&amp;")"))</f>
        <v>Downsloping</v>
      </c>
      <c r="M185" s="20" t="n">
        <f aca="false">IF(Data!M185="","",Data!M185)</f>
        <v>0</v>
      </c>
      <c r="N185" s="28" t="str">
        <f aca="false">IF(Data!N185="","",IFERROR(VLOOKUP(Data!N185,Codes!$A$47:$B$49,2,FALSE()),"Invalid ("&amp;Data!N185&amp;")"))</f>
        <v>Reversible defect</v>
      </c>
      <c r="O185" s="28" t="str">
        <f aca="false">IF(Data!O185="","",IFERROR(VLOOKUP(Data!O185,Codes!$A$53:$B$57,2,FALSE()),"Invalid ("&amp;Data!O185&amp;")"))</f>
        <v>No disease</v>
      </c>
      <c r="P185" s="22" t="str">
        <f aca="false">IF(Data!P185="","",IFERROR(VLOOKUP(Data!P185,Codes!$A$61:$B$64,2,FALSE()),"Invalid ("&amp;Data!P185&amp;")"))</f>
        <v>Cleveland Clinic</v>
      </c>
    </row>
    <row r="186" customFormat="false" ht="15" hidden="false" customHeight="false" outlineLevel="0" collapsed="false">
      <c r="A186" s="19" t="n">
        <f aca="false">Data!A186</f>
        <v>185</v>
      </c>
      <c r="B186" s="20" t="n">
        <f aca="false">IF(Data!B186="","",Data!B186)</f>
        <v>60</v>
      </c>
      <c r="C186" s="28" t="str">
        <f aca="false">IF(Data!C186="","",IFERROR(VLOOKUP(Data!C186,Codes!$A$6:$B$7,2,FALSE()),"Invalid ("&amp;Data!C186&amp;")"))</f>
        <v>Female</v>
      </c>
      <c r="D186" s="28" t="str">
        <f aca="false">IF(Data!D186="","",IFERROR(VLOOKUP(Data!D186,Codes!$A$11:$B$14,2,FALSE()),"Invalid ("&amp;Data!D186&amp;")"))</f>
        <v>Asymptomatic</v>
      </c>
      <c r="E186" s="20" t="n">
        <f aca="false">IF(Data!E186="","",Data!E186)</f>
        <v>158</v>
      </c>
      <c r="F186" s="20" t="n">
        <f aca="false">IF(Data!F186="","",Data!F186)</f>
        <v>305</v>
      </c>
      <c r="G186" s="28" t="str">
        <f aca="false">IF(Data!G186="","",IFERROR(VLOOKUP(Data!G186,Codes!$A$18:$B$19,2,FALSE()),"Invalid ("&amp;Data!G186&amp;")"))</f>
        <v>No</v>
      </c>
      <c r="H186" s="28" t="str">
        <f aca="false">IF(Data!H186="","",IFERROR(VLOOKUP(Data!H186,Codes!$A$23:$B$25,2,FALSE()),"Invalid ("&amp;Data!H186&amp;")"))</f>
        <v>Left ventricular hypertrophy</v>
      </c>
      <c r="I186" s="20" t="n">
        <f aca="false">IF(Data!I186="","",Data!I186)</f>
        <v>161</v>
      </c>
      <c r="J186" s="28" t="str">
        <f aca="false">IF(Data!J186="","",IFERROR(VLOOKUP(Data!J186,Codes!$A$29:$B$30,2,FALSE()),"Invalid ("&amp;Data!J186&amp;")"))</f>
        <v>No</v>
      </c>
      <c r="K186" s="21" t="n">
        <f aca="false">IF(Data!K186="","",Data!K186)</f>
        <v>0</v>
      </c>
      <c r="L186" s="28" t="str">
        <f aca="false">IF(Data!L186="","",IFERROR(VLOOKUP(Data!L186,Codes!$A$34:$B$36,2,FALSE()),"Invalid ("&amp;Data!L186&amp;")"))</f>
        <v>Upsloping</v>
      </c>
      <c r="M186" s="20" t="n">
        <f aca="false">IF(Data!M186="","",Data!M186)</f>
        <v>0</v>
      </c>
      <c r="N186" s="28" t="str">
        <f aca="false">IF(Data!N186="","",IFERROR(VLOOKUP(Data!N186,Codes!$A$47:$B$49,2,FALSE()),"Invalid ("&amp;Data!N186&amp;")"))</f>
        <v>Normal</v>
      </c>
      <c r="O186" s="28" t="str">
        <f aca="false">IF(Data!O186="","",IFERROR(VLOOKUP(Data!O186,Codes!$A$53:$B$57,2,FALSE()),"Invalid ("&amp;Data!O186&amp;")"))</f>
        <v>Disease (1)</v>
      </c>
      <c r="P186" s="22" t="str">
        <f aca="false">IF(Data!P186="","",IFERROR(VLOOKUP(Data!P186,Codes!$A$61:$B$64,2,FALSE()),"Invalid ("&amp;Data!P186&amp;")"))</f>
        <v>Cleveland Clinic</v>
      </c>
    </row>
    <row r="187" customFormat="false" ht="15" hidden="false" customHeight="false" outlineLevel="0" collapsed="false">
      <c r="A187" s="19" t="n">
        <f aca="false">Data!A187</f>
        <v>186</v>
      </c>
      <c r="B187" s="20" t="n">
        <f aca="false">IF(Data!B187="","",Data!B187)</f>
        <v>63</v>
      </c>
      <c r="C187" s="28" t="str">
        <f aca="false">IF(Data!C187="","",IFERROR(VLOOKUP(Data!C187,Codes!$A$6:$B$7,2,FALSE()),"Invalid ("&amp;Data!C187&amp;")"))</f>
        <v>Female</v>
      </c>
      <c r="D187" s="28" t="str">
        <f aca="false">IF(Data!D187="","",IFERROR(VLOOKUP(Data!D187,Codes!$A$11:$B$14,2,FALSE()),"Invalid ("&amp;Data!D187&amp;")"))</f>
        <v>Atypical angina</v>
      </c>
      <c r="E187" s="20" t="n">
        <f aca="false">IF(Data!E187="","",Data!E187)</f>
        <v>140</v>
      </c>
      <c r="F187" s="20" t="n">
        <f aca="false">IF(Data!F187="","",Data!F187)</f>
        <v>195</v>
      </c>
      <c r="G187" s="28" t="str">
        <f aca="false">IF(Data!G187="","",IFERROR(VLOOKUP(Data!G187,Codes!$A$18:$B$19,2,FALSE()),"Invalid ("&amp;Data!G187&amp;")"))</f>
        <v>No</v>
      </c>
      <c r="H187" s="28" t="str">
        <f aca="false">IF(Data!H187="","",IFERROR(VLOOKUP(Data!H187,Codes!$A$23:$B$25,2,FALSE()),"Invalid ("&amp;Data!H187&amp;")"))</f>
        <v>Normal</v>
      </c>
      <c r="I187" s="20" t="n">
        <f aca="false">IF(Data!I187="","",Data!I187)</f>
        <v>179</v>
      </c>
      <c r="J187" s="28" t="str">
        <f aca="false">IF(Data!J187="","",IFERROR(VLOOKUP(Data!J187,Codes!$A$29:$B$30,2,FALSE()),"Invalid ("&amp;Data!J187&amp;")"))</f>
        <v>No</v>
      </c>
      <c r="K187" s="21" t="n">
        <f aca="false">IF(Data!K187="","",Data!K187)</f>
        <v>0</v>
      </c>
      <c r="L187" s="28" t="str">
        <f aca="false">IF(Data!L187="","",IFERROR(VLOOKUP(Data!L187,Codes!$A$34:$B$36,2,FALSE()),"Invalid ("&amp;Data!L187&amp;")"))</f>
        <v>Upsloping</v>
      </c>
      <c r="M187" s="20" t="n">
        <f aca="false">IF(Data!M187="","",Data!M187)</f>
        <v>2</v>
      </c>
      <c r="N187" s="28" t="str">
        <f aca="false">IF(Data!N187="","",IFERROR(VLOOKUP(Data!N187,Codes!$A$47:$B$49,2,FALSE()),"Invalid ("&amp;Data!N187&amp;")"))</f>
        <v>Normal</v>
      </c>
      <c r="O187" s="28" t="str">
        <f aca="false">IF(Data!O187="","",IFERROR(VLOOKUP(Data!O187,Codes!$A$53:$B$57,2,FALSE()),"Invalid ("&amp;Data!O187&amp;")"))</f>
        <v>No disease</v>
      </c>
      <c r="P187" s="22" t="str">
        <f aca="false">IF(Data!P187="","",IFERROR(VLOOKUP(Data!P187,Codes!$A$61:$B$64,2,FALSE()),"Invalid ("&amp;Data!P187&amp;")"))</f>
        <v>Cleveland Clinic</v>
      </c>
    </row>
    <row r="188" customFormat="false" ht="15" hidden="false" customHeight="false" outlineLevel="0" collapsed="false">
      <c r="A188" s="19" t="n">
        <f aca="false">Data!A188</f>
        <v>187</v>
      </c>
      <c r="B188" s="20" t="n">
        <f aca="false">IF(Data!B188="","",Data!B188)</f>
        <v>42</v>
      </c>
      <c r="C188" s="28" t="str">
        <f aca="false">IF(Data!C188="","",IFERROR(VLOOKUP(Data!C188,Codes!$A$6:$B$7,2,FALSE()),"Invalid ("&amp;Data!C188&amp;")"))</f>
        <v>Male</v>
      </c>
      <c r="D188" s="28" t="str">
        <f aca="false">IF(Data!D188="","",IFERROR(VLOOKUP(Data!D188,Codes!$A$11:$B$14,2,FALSE()),"Invalid ("&amp;Data!D188&amp;")"))</f>
        <v>Non-anginal pain</v>
      </c>
      <c r="E188" s="20" t="n">
        <f aca="false">IF(Data!E188="","",Data!E188)</f>
        <v>120</v>
      </c>
      <c r="F188" s="20" t="n">
        <f aca="false">IF(Data!F188="","",Data!F188)</f>
        <v>240</v>
      </c>
      <c r="G188" s="28" t="str">
        <f aca="false">IF(Data!G188="","",IFERROR(VLOOKUP(Data!G188,Codes!$A$18:$B$19,2,FALSE()),"Invalid ("&amp;Data!G188&amp;")"))</f>
        <v>Yes</v>
      </c>
      <c r="H188" s="28" t="str">
        <f aca="false">IF(Data!H188="","",IFERROR(VLOOKUP(Data!H188,Codes!$A$23:$B$25,2,FALSE()),"Invalid ("&amp;Data!H188&amp;")"))</f>
        <v>Normal</v>
      </c>
      <c r="I188" s="20" t="n">
        <f aca="false">IF(Data!I188="","",Data!I188)</f>
        <v>194</v>
      </c>
      <c r="J188" s="28" t="str">
        <f aca="false">IF(Data!J188="","",IFERROR(VLOOKUP(Data!J188,Codes!$A$29:$B$30,2,FALSE()),"Invalid ("&amp;Data!J188&amp;")"))</f>
        <v>No</v>
      </c>
      <c r="K188" s="21" t="n">
        <f aca="false">IF(Data!K188="","",Data!K188)</f>
        <v>0.8</v>
      </c>
      <c r="L188" s="28" t="str">
        <f aca="false">IF(Data!L188="","",IFERROR(VLOOKUP(Data!L188,Codes!$A$34:$B$36,2,FALSE()),"Invalid ("&amp;Data!L188&amp;")"))</f>
        <v>Downsloping</v>
      </c>
      <c r="M188" s="20" t="n">
        <f aca="false">IF(Data!M188="","",Data!M188)</f>
        <v>0</v>
      </c>
      <c r="N188" s="28" t="str">
        <f aca="false">IF(Data!N188="","",IFERROR(VLOOKUP(Data!N188,Codes!$A$47:$B$49,2,FALSE()),"Invalid ("&amp;Data!N188&amp;")"))</f>
        <v>Reversible defect</v>
      </c>
      <c r="O188" s="28" t="str">
        <f aca="false">IF(Data!O188="","",IFERROR(VLOOKUP(Data!O188,Codes!$A$53:$B$57,2,FALSE()),"Invalid ("&amp;Data!O188&amp;")"))</f>
        <v>No disease</v>
      </c>
      <c r="P188" s="22" t="str">
        <f aca="false">IF(Data!P188="","",IFERROR(VLOOKUP(Data!P188,Codes!$A$61:$B$64,2,FALSE()),"Invalid ("&amp;Data!P188&amp;")"))</f>
        <v>Cleveland Clinic</v>
      </c>
    </row>
    <row r="189" customFormat="false" ht="15" hidden="false" customHeight="false" outlineLevel="0" collapsed="false">
      <c r="A189" s="19" t="n">
        <f aca="false">Data!A189</f>
        <v>188</v>
      </c>
      <c r="B189" s="20" t="n">
        <f aca="false">IF(Data!B189="","",Data!B189)</f>
        <v>66</v>
      </c>
      <c r="C189" s="28" t="str">
        <f aca="false">IF(Data!C189="","",IFERROR(VLOOKUP(Data!C189,Codes!$A$6:$B$7,2,FALSE()),"Invalid ("&amp;Data!C189&amp;")"))</f>
        <v>Male</v>
      </c>
      <c r="D189" s="28" t="str">
        <f aca="false">IF(Data!D189="","",IFERROR(VLOOKUP(Data!D189,Codes!$A$11:$B$14,2,FALSE()),"Invalid ("&amp;Data!D189&amp;")"))</f>
        <v>Atypical angina</v>
      </c>
      <c r="E189" s="20" t="n">
        <f aca="false">IF(Data!E189="","",Data!E189)</f>
        <v>160</v>
      </c>
      <c r="F189" s="20" t="n">
        <f aca="false">IF(Data!F189="","",Data!F189)</f>
        <v>246</v>
      </c>
      <c r="G189" s="28" t="str">
        <f aca="false">IF(Data!G189="","",IFERROR(VLOOKUP(Data!G189,Codes!$A$18:$B$19,2,FALSE()),"Invalid ("&amp;Data!G189&amp;")"))</f>
        <v>No</v>
      </c>
      <c r="H189" s="28" t="str">
        <f aca="false">IF(Data!H189="","",IFERROR(VLOOKUP(Data!H189,Codes!$A$23:$B$25,2,FALSE()),"Invalid ("&amp;Data!H189&amp;")"))</f>
        <v>Normal</v>
      </c>
      <c r="I189" s="20" t="n">
        <f aca="false">IF(Data!I189="","",Data!I189)</f>
        <v>120</v>
      </c>
      <c r="J189" s="28" t="str">
        <f aca="false">IF(Data!J189="","",IFERROR(VLOOKUP(Data!J189,Codes!$A$29:$B$30,2,FALSE()),"Invalid ("&amp;Data!J189&amp;")"))</f>
        <v>Yes</v>
      </c>
      <c r="K189" s="21" t="n">
        <f aca="false">IF(Data!K189="","",Data!K189)</f>
        <v>0</v>
      </c>
      <c r="L189" s="28" t="str">
        <f aca="false">IF(Data!L189="","",IFERROR(VLOOKUP(Data!L189,Codes!$A$34:$B$36,2,FALSE()),"Invalid ("&amp;Data!L189&amp;")"))</f>
        <v>Flat</v>
      </c>
      <c r="M189" s="20" t="n">
        <f aca="false">IF(Data!M189="","",Data!M189)</f>
        <v>3</v>
      </c>
      <c r="N189" s="28" t="str">
        <f aca="false">IF(Data!N189="","",IFERROR(VLOOKUP(Data!N189,Codes!$A$47:$B$49,2,FALSE()),"Invalid ("&amp;Data!N189&amp;")"))</f>
        <v>Fixed defect</v>
      </c>
      <c r="O189" s="28" t="str">
        <f aca="false">IF(Data!O189="","",IFERROR(VLOOKUP(Data!O189,Codes!$A$53:$B$57,2,FALSE()),"Invalid ("&amp;Data!O189&amp;")"))</f>
        <v>Disease (2)</v>
      </c>
      <c r="P189" s="22" t="str">
        <f aca="false">IF(Data!P189="","",IFERROR(VLOOKUP(Data!P189,Codes!$A$61:$B$64,2,FALSE()),"Invalid ("&amp;Data!P189&amp;")"))</f>
        <v>Cleveland Clinic</v>
      </c>
    </row>
    <row r="190" customFormat="false" ht="15" hidden="false" customHeight="false" outlineLevel="0" collapsed="false">
      <c r="A190" s="19" t="n">
        <f aca="false">Data!A190</f>
        <v>189</v>
      </c>
      <c r="B190" s="20" t="n">
        <f aca="false">IF(Data!B190="","",Data!B190)</f>
        <v>54</v>
      </c>
      <c r="C190" s="28" t="str">
        <f aca="false">IF(Data!C190="","",IFERROR(VLOOKUP(Data!C190,Codes!$A$6:$B$7,2,FALSE()),"Invalid ("&amp;Data!C190&amp;")"))</f>
        <v>Male</v>
      </c>
      <c r="D190" s="28" t="str">
        <f aca="false">IF(Data!D190="","",IFERROR(VLOOKUP(Data!D190,Codes!$A$11:$B$14,2,FALSE()),"Invalid ("&amp;Data!D190&amp;")"))</f>
        <v>Atypical angina</v>
      </c>
      <c r="E190" s="20" t="n">
        <f aca="false">IF(Data!E190="","",Data!E190)</f>
        <v>192</v>
      </c>
      <c r="F190" s="20" t="n">
        <f aca="false">IF(Data!F190="","",Data!F190)</f>
        <v>283</v>
      </c>
      <c r="G190" s="28" t="str">
        <f aca="false">IF(Data!G190="","",IFERROR(VLOOKUP(Data!G190,Codes!$A$18:$B$19,2,FALSE()),"Invalid ("&amp;Data!G190&amp;")"))</f>
        <v>No</v>
      </c>
      <c r="H190" s="28" t="str">
        <f aca="false">IF(Data!H190="","",IFERROR(VLOOKUP(Data!H190,Codes!$A$23:$B$25,2,FALSE()),"Invalid ("&amp;Data!H190&amp;")"))</f>
        <v>Left ventricular hypertrophy</v>
      </c>
      <c r="I190" s="20" t="n">
        <f aca="false">IF(Data!I190="","",Data!I190)</f>
        <v>195</v>
      </c>
      <c r="J190" s="28" t="str">
        <f aca="false">IF(Data!J190="","",IFERROR(VLOOKUP(Data!J190,Codes!$A$29:$B$30,2,FALSE()),"Invalid ("&amp;Data!J190&amp;")"))</f>
        <v>No</v>
      </c>
      <c r="K190" s="21" t="n">
        <f aca="false">IF(Data!K190="","",Data!K190)</f>
        <v>0</v>
      </c>
      <c r="L190" s="28" t="str">
        <f aca="false">IF(Data!L190="","",IFERROR(VLOOKUP(Data!L190,Codes!$A$34:$B$36,2,FALSE()),"Invalid ("&amp;Data!L190&amp;")"))</f>
        <v>Upsloping</v>
      </c>
      <c r="M190" s="20" t="n">
        <f aca="false">IF(Data!M190="","",Data!M190)</f>
        <v>1</v>
      </c>
      <c r="N190" s="28" t="str">
        <f aca="false">IF(Data!N190="","",IFERROR(VLOOKUP(Data!N190,Codes!$A$47:$B$49,2,FALSE()),"Invalid ("&amp;Data!N190&amp;")"))</f>
        <v>Reversible defect</v>
      </c>
      <c r="O190" s="28" t="str">
        <f aca="false">IF(Data!O190="","",IFERROR(VLOOKUP(Data!O190,Codes!$A$53:$B$57,2,FALSE()),"Invalid ("&amp;Data!O190&amp;")"))</f>
        <v>Disease (1)</v>
      </c>
      <c r="P190" s="22" t="str">
        <f aca="false">IF(Data!P190="","",IFERROR(VLOOKUP(Data!P190,Codes!$A$61:$B$64,2,FALSE()),"Invalid ("&amp;Data!P190&amp;")"))</f>
        <v>Cleveland Clinic</v>
      </c>
    </row>
    <row r="191" customFormat="false" ht="15" hidden="false" customHeight="false" outlineLevel="0" collapsed="false">
      <c r="A191" s="19" t="n">
        <f aca="false">Data!A191</f>
        <v>190</v>
      </c>
      <c r="B191" s="20" t="n">
        <f aca="false">IF(Data!B191="","",Data!B191)</f>
        <v>69</v>
      </c>
      <c r="C191" s="28" t="str">
        <f aca="false">IF(Data!C191="","",IFERROR(VLOOKUP(Data!C191,Codes!$A$6:$B$7,2,FALSE()),"Invalid ("&amp;Data!C191&amp;")"))</f>
        <v>Male</v>
      </c>
      <c r="D191" s="28" t="str">
        <f aca="false">IF(Data!D191="","",IFERROR(VLOOKUP(Data!D191,Codes!$A$11:$B$14,2,FALSE()),"Invalid ("&amp;Data!D191&amp;")"))</f>
        <v>Non-anginal pain</v>
      </c>
      <c r="E191" s="20" t="n">
        <f aca="false">IF(Data!E191="","",Data!E191)</f>
        <v>140</v>
      </c>
      <c r="F191" s="20" t="n">
        <f aca="false">IF(Data!F191="","",Data!F191)</f>
        <v>254</v>
      </c>
      <c r="G191" s="28" t="str">
        <f aca="false">IF(Data!G191="","",IFERROR(VLOOKUP(Data!G191,Codes!$A$18:$B$19,2,FALSE()),"Invalid ("&amp;Data!G191&amp;")"))</f>
        <v>No</v>
      </c>
      <c r="H191" s="28" t="str">
        <f aca="false">IF(Data!H191="","",IFERROR(VLOOKUP(Data!H191,Codes!$A$23:$B$25,2,FALSE()),"Invalid ("&amp;Data!H191&amp;")"))</f>
        <v>Left ventricular hypertrophy</v>
      </c>
      <c r="I191" s="20" t="n">
        <f aca="false">IF(Data!I191="","",Data!I191)</f>
        <v>146</v>
      </c>
      <c r="J191" s="28" t="str">
        <f aca="false">IF(Data!J191="","",IFERROR(VLOOKUP(Data!J191,Codes!$A$29:$B$30,2,FALSE()),"Invalid ("&amp;Data!J191&amp;")"))</f>
        <v>No</v>
      </c>
      <c r="K191" s="21" t="n">
        <f aca="false">IF(Data!K191="","",Data!K191)</f>
        <v>2</v>
      </c>
      <c r="L191" s="28" t="str">
        <f aca="false">IF(Data!L191="","",IFERROR(VLOOKUP(Data!L191,Codes!$A$34:$B$36,2,FALSE()),"Invalid ("&amp;Data!L191&amp;")"))</f>
        <v>Flat</v>
      </c>
      <c r="M191" s="20" t="n">
        <f aca="false">IF(Data!M191="","",Data!M191)</f>
        <v>3</v>
      </c>
      <c r="N191" s="28" t="str">
        <f aca="false">IF(Data!N191="","",IFERROR(VLOOKUP(Data!N191,Codes!$A$47:$B$49,2,FALSE()),"Invalid ("&amp;Data!N191&amp;")"))</f>
        <v>Reversible defect</v>
      </c>
      <c r="O191" s="28" t="str">
        <f aca="false">IF(Data!O191="","",IFERROR(VLOOKUP(Data!O191,Codes!$A$53:$B$57,2,FALSE()),"Invalid ("&amp;Data!O191&amp;")"))</f>
        <v>Disease (2)</v>
      </c>
      <c r="P191" s="22" t="str">
        <f aca="false">IF(Data!P191="","",IFERROR(VLOOKUP(Data!P191,Codes!$A$61:$B$64,2,FALSE()),"Invalid ("&amp;Data!P191&amp;")"))</f>
        <v>Cleveland Clinic</v>
      </c>
    </row>
    <row r="192" customFormat="false" ht="15" hidden="false" customHeight="false" outlineLevel="0" collapsed="false">
      <c r="A192" s="19" t="n">
        <f aca="false">Data!A192</f>
        <v>191</v>
      </c>
      <c r="B192" s="20" t="n">
        <f aca="false">IF(Data!B192="","",Data!B192)</f>
        <v>50</v>
      </c>
      <c r="C192" s="28" t="str">
        <f aca="false">IF(Data!C192="","",IFERROR(VLOOKUP(Data!C192,Codes!$A$6:$B$7,2,FALSE()),"Invalid ("&amp;Data!C192&amp;")"))</f>
        <v>Male</v>
      </c>
      <c r="D192" s="28" t="str">
        <f aca="false">IF(Data!D192="","",IFERROR(VLOOKUP(Data!D192,Codes!$A$11:$B$14,2,FALSE()),"Invalid ("&amp;Data!D192&amp;")"))</f>
        <v>Non-anginal pain</v>
      </c>
      <c r="E192" s="20" t="n">
        <f aca="false">IF(Data!E192="","",Data!E192)</f>
        <v>129</v>
      </c>
      <c r="F192" s="20" t="n">
        <f aca="false">IF(Data!F192="","",Data!F192)</f>
        <v>196</v>
      </c>
      <c r="G192" s="28" t="str">
        <f aca="false">IF(Data!G192="","",IFERROR(VLOOKUP(Data!G192,Codes!$A$18:$B$19,2,FALSE()),"Invalid ("&amp;Data!G192&amp;")"))</f>
        <v>No</v>
      </c>
      <c r="H192" s="28" t="str">
        <f aca="false">IF(Data!H192="","",IFERROR(VLOOKUP(Data!H192,Codes!$A$23:$B$25,2,FALSE()),"Invalid ("&amp;Data!H192&amp;")"))</f>
        <v>Normal</v>
      </c>
      <c r="I192" s="20" t="n">
        <f aca="false">IF(Data!I192="","",Data!I192)</f>
        <v>163</v>
      </c>
      <c r="J192" s="28" t="str">
        <f aca="false">IF(Data!J192="","",IFERROR(VLOOKUP(Data!J192,Codes!$A$29:$B$30,2,FALSE()),"Invalid ("&amp;Data!J192&amp;")"))</f>
        <v>No</v>
      </c>
      <c r="K192" s="21" t="n">
        <f aca="false">IF(Data!K192="","",Data!K192)</f>
        <v>0</v>
      </c>
      <c r="L192" s="28" t="str">
        <f aca="false">IF(Data!L192="","",IFERROR(VLOOKUP(Data!L192,Codes!$A$34:$B$36,2,FALSE()),"Invalid ("&amp;Data!L192&amp;")"))</f>
        <v>Upsloping</v>
      </c>
      <c r="M192" s="20" t="n">
        <f aca="false">IF(Data!M192="","",Data!M192)</f>
        <v>0</v>
      </c>
      <c r="N192" s="28" t="str">
        <f aca="false">IF(Data!N192="","",IFERROR(VLOOKUP(Data!N192,Codes!$A$47:$B$49,2,FALSE()),"Invalid ("&amp;Data!N192&amp;")"))</f>
        <v>Normal</v>
      </c>
      <c r="O192" s="28" t="str">
        <f aca="false">IF(Data!O192="","",IFERROR(VLOOKUP(Data!O192,Codes!$A$53:$B$57,2,FALSE()),"Invalid ("&amp;Data!O192&amp;")"))</f>
        <v>No disease</v>
      </c>
      <c r="P192" s="22" t="str">
        <f aca="false">IF(Data!P192="","",IFERROR(VLOOKUP(Data!P192,Codes!$A$61:$B$64,2,FALSE()),"Invalid ("&amp;Data!P192&amp;")"))</f>
        <v>Cleveland Clinic</v>
      </c>
    </row>
    <row r="193" customFormat="false" ht="15" hidden="false" customHeight="false" outlineLevel="0" collapsed="false">
      <c r="A193" s="19" t="n">
        <f aca="false">Data!A193</f>
        <v>192</v>
      </c>
      <c r="B193" s="20" t="n">
        <f aca="false">IF(Data!B193="","",Data!B193)</f>
        <v>51</v>
      </c>
      <c r="C193" s="28" t="str">
        <f aca="false">IF(Data!C193="","",IFERROR(VLOOKUP(Data!C193,Codes!$A$6:$B$7,2,FALSE()),"Invalid ("&amp;Data!C193&amp;")"))</f>
        <v>Male</v>
      </c>
      <c r="D193" s="28" t="str">
        <f aca="false">IF(Data!D193="","",IFERROR(VLOOKUP(Data!D193,Codes!$A$11:$B$14,2,FALSE()),"Invalid ("&amp;Data!D193&amp;")"))</f>
        <v>Asymptomatic</v>
      </c>
      <c r="E193" s="20" t="n">
        <f aca="false">IF(Data!E193="","",Data!E193)</f>
        <v>140</v>
      </c>
      <c r="F193" s="20" t="n">
        <f aca="false">IF(Data!F193="","",Data!F193)</f>
        <v>298</v>
      </c>
      <c r="G193" s="28" t="str">
        <f aca="false">IF(Data!G193="","",IFERROR(VLOOKUP(Data!G193,Codes!$A$18:$B$19,2,FALSE()),"Invalid ("&amp;Data!G193&amp;")"))</f>
        <v>No</v>
      </c>
      <c r="H193" s="28" t="str">
        <f aca="false">IF(Data!H193="","",IFERROR(VLOOKUP(Data!H193,Codes!$A$23:$B$25,2,FALSE()),"Invalid ("&amp;Data!H193&amp;")"))</f>
        <v>Normal</v>
      </c>
      <c r="I193" s="20" t="n">
        <f aca="false">IF(Data!I193="","",Data!I193)</f>
        <v>122</v>
      </c>
      <c r="J193" s="28" t="str">
        <f aca="false">IF(Data!J193="","",IFERROR(VLOOKUP(Data!J193,Codes!$A$29:$B$30,2,FALSE()),"Invalid ("&amp;Data!J193&amp;")"))</f>
        <v>Yes</v>
      </c>
      <c r="K193" s="21" t="n">
        <f aca="false">IF(Data!K193="","",Data!K193)</f>
        <v>4.2</v>
      </c>
      <c r="L193" s="28" t="str">
        <f aca="false">IF(Data!L193="","",IFERROR(VLOOKUP(Data!L193,Codes!$A$34:$B$36,2,FALSE()),"Invalid ("&amp;Data!L193&amp;")"))</f>
        <v>Flat</v>
      </c>
      <c r="M193" s="20" t="n">
        <f aca="false">IF(Data!M193="","",Data!M193)</f>
        <v>3</v>
      </c>
      <c r="N193" s="28" t="str">
        <f aca="false">IF(Data!N193="","",IFERROR(VLOOKUP(Data!N193,Codes!$A$47:$B$49,2,FALSE()),"Invalid ("&amp;Data!N193&amp;")"))</f>
        <v>Reversible defect</v>
      </c>
      <c r="O193" s="28" t="str">
        <f aca="false">IF(Data!O193="","",IFERROR(VLOOKUP(Data!O193,Codes!$A$53:$B$57,2,FALSE()),"Invalid ("&amp;Data!O193&amp;")"))</f>
        <v>Disease (3)</v>
      </c>
      <c r="P193" s="22" t="str">
        <f aca="false">IF(Data!P193="","",IFERROR(VLOOKUP(Data!P193,Codes!$A$61:$B$64,2,FALSE()),"Invalid ("&amp;Data!P193&amp;")"))</f>
        <v>Cleveland Clinic</v>
      </c>
    </row>
    <row r="194" customFormat="false" ht="15" hidden="false" customHeight="false" outlineLevel="0" collapsed="false">
      <c r="A194" s="19" t="n">
        <f aca="false">Data!A194</f>
        <v>193</v>
      </c>
      <c r="B194" s="20" t="n">
        <f aca="false">IF(Data!B194="","",Data!B194)</f>
        <v>43</v>
      </c>
      <c r="C194" s="28" t="str">
        <f aca="false">IF(Data!C194="","",IFERROR(VLOOKUP(Data!C194,Codes!$A$6:$B$7,2,FALSE()),"Invalid ("&amp;Data!C194&amp;")"))</f>
        <v>Male</v>
      </c>
      <c r="D194" s="28" t="str">
        <f aca="false">IF(Data!D194="","",IFERROR(VLOOKUP(Data!D194,Codes!$A$11:$B$14,2,FALSE()),"Invalid ("&amp;Data!D194&amp;")"))</f>
        <v>Asymptomatic</v>
      </c>
      <c r="E194" s="20" t="n">
        <f aca="false">IF(Data!E194="","",Data!E194)</f>
        <v>132</v>
      </c>
      <c r="F194" s="20" t="n">
        <f aca="false">IF(Data!F194="","",Data!F194)</f>
        <v>247</v>
      </c>
      <c r="G194" s="28" t="str">
        <f aca="false">IF(Data!G194="","",IFERROR(VLOOKUP(Data!G194,Codes!$A$18:$B$19,2,FALSE()),"Invalid ("&amp;Data!G194&amp;")"))</f>
        <v>Yes</v>
      </c>
      <c r="H194" s="28" t="str">
        <f aca="false">IF(Data!H194="","",IFERROR(VLOOKUP(Data!H194,Codes!$A$23:$B$25,2,FALSE()),"Invalid ("&amp;Data!H194&amp;")"))</f>
        <v>Left ventricular hypertrophy</v>
      </c>
      <c r="I194" s="20" t="n">
        <f aca="false">IF(Data!I194="","",Data!I194)</f>
        <v>143</v>
      </c>
      <c r="J194" s="28" t="str">
        <f aca="false">IF(Data!J194="","",IFERROR(VLOOKUP(Data!J194,Codes!$A$29:$B$30,2,FALSE()),"Invalid ("&amp;Data!J194&amp;")"))</f>
        <v>Yes</v>
      </c>
      <c r="K194" s="21" t="n">
        <f aca="false">IF(Data!K194="","",Data!K194)</f>
        <v>0.1</v>
      </c>
      <c r="L194" s="28" t="str">
        <f aca="false">IF(Data!L194="","",IFERROR(VLOOKUP(Data!L194,Codes!$A$34:$B$36,2,FALSE()),"Invalid ("&amp;Data!L194&amp;")"))</f>
        <v>Flat</v>
      </c>
      <c r="M194" s="20" t="str">
        <f aca="false">IF(Data!M194="","",Data!M194)</f>
        <v/>
      </c>
      <c r="N194" s="28" t="str">
        <f aca="false">IF(Data!N194="","",IFERROR(VLOOKUP(Data!N194,Codes!$A$47:$B$49,2,FALSE()),"Invalid ("&amp;Data!N194&amp;")"))</f>
        <v>Reversible defect</v>
      </c>
      <c r="O194" s="28" t="str">
        <f aca="false">IF(Data!O194="","",IFERROR(VLOOKUP(Data!O194,Codes!$A$53:$B$57,2,FALSE()),"Invalid ("&amp;Data!O194&amp;")"))</f>
        <v>Disease (1)</v>
      </c>
      <c r="P194" s="22" t="str">
        <f aca="false">IF(Data!P194="","",IFERROR(VLOOKUP(Data!P194,Codes!$A$61:$B$64,2,FALSE()),"Invalid ("&amp;Data!P194&amp;")"))</f>
        <v>Cleveland Clinic</v>
      </c>
    </row>
    <row r="195" customFormat="false" ht="15" hidden="false" customHeight="false" outlineLevel="0" collapsed="false">
      <c r="A195" s="19" t="n">
        <f aca="false">Data!A195</f>
        <v>194</v>
      </c>
      <c r="B195" s="20" t="n">
        <f aca="false">IF(Data!B195="","",Data!B195)</f>
        <v>62</v>
      </c>
      <c r="C195" s="28" t="str">
        <f aca="false">IF(Data!C195="","",IFERROR(VLOOKUP(Data!C195,Codes!$A$6:$B$7,2,FALSE()),"Invalid ("&amp;Data!C195&amp;")"))</f>
        <v>Female</v>
      </c>
      <c r="D195" s="28" t="str">
        <f aca="false">IF(Data!D195="","",IFERROR(VLOOKUP(Data!D195,Codes!$A$11:$B$14,2,FALSE()),"Invalid ("&amp;Data!D195&amp;")"))</f>
        <v>Asymptomatic</v>
      </c>
      <c r="E195" s="20" t="n">
        <f aca="false">IF(Data!E195="","",Data!E195)</f>
        <v>138</v>
      </c>
      <c r="F195" s="20" t="n">
        <f aca="false">IF(Data!F195="","",Data!F195)</f>
        <v>294</v>
      </c>
      <c r="G195" s="28" t="str">
        <f aca="false">IF(Data!G195="","",IFERROR(VLOOKUP(Data!G195,Codes!$A$18:$B$19,2,FALSE()),"Invalid ("&amp;Data!G195&amp;")"))</f>
        <v>Yes</v>
      </c>
      <c r="H195" s="28" t="str">
        <f aca="false">IF(Data!H195="","",IFERROR(VLOOKUP(Data!H195,Codes!$A$23:$B$25,2,FALSE()),"Invalid ("&amp;Data!H195&amp;")"))</f>
        <v>Normal</v>
      </c>
      <c r="I195" s="20" t="n">
        <f aca="false">IF(Data!I195="","",Data!I195)</f>
        <v>106</v>
      </c>
      <c r="J195" s="28" t="str">
        <f aca="false">IF(Data!J195="","",IFERROR(VLOOKUP(Data!J195,Codes!$A$29:$B$30,2,FALSE()),"Invalid ("&amp;Data!J195&amp;")"))</f>
        <v>No</v>
      </c>
      <c r="K195" s="21" t="n">
        <f aca="false">IF(Data!K195="","",Data!K195)</f>
        <v>1.9</v>
      </c>
      <c r="L195" s="28" t="str">
        <f aca="false">IF(Data!L195="","",IFERROR(VLOOKUP(Data!L195,Codes!$A$34:$B$36,2,FALSE()),"Invalid ("&amp;Data!L195&amp;")"))</f>
        <v>Flat</v>
      </c>
      <c r="M195" s="20" t="n">
        <f aca="false">IF(Data!M195="","",Data!M195)</f>
        <v>3</v>
      </c>
      <c r="N195" s="28" t="str">
        <f aca="false">IF(Data!N195="","",IFERROR(VLOOKUP(Data!N195,Codes!$A$47:$B$49,2,FALSE()),"Invalid ("&amp;Data!N195&amp;")"))</f>
        <v>Normal</v>
      </c>
      <c r="O195" s="28" t="str">
        <f aca="false">IF(Data!O195="","",IFERROR(VLOOKUP(Data!O195,Codes!$A$53:$B$57,2,FALSE()),"Invalid ("&amp;Data!O195&amp;")"))</f>
        <v>Disease (2)</v>
      </c>
      <c r="P195" s="22" t="str">
        <f aca="false">IF(Data!P195="","",IFERROR(VLOOKUP(Data!P195,Codes!$A$61:$B$64,2,FALSE()),"Invalid ("&amp;Data!P195&amp;")"))</f>
        <v>Cleveland Clinic</v>
      </c>
    </row>
    <row r="196" customFormat="false" ht="15" hidden="false" customHeight="false" outlineLevel="0" collapsed="false">
      <c r="A196" s="19" t="n">
        <f aca="false">Data!A196</f>
        <v>195</v>
      </c>
      <c r="B196" s="20" t="n">
        <f aca="false">IF(Data!B196="","",Data!B196)</f>
        <v>68</v>
      </c>
      <c r="C196" s="28" t="str">
        <f aca="false">IF(Data!C196="","",IFERROR(VLOOKUP(Data!C196,Codes!$A$6:$B$7,2,FALSE()),"Invalid ("&amp;Data!C196&amp;")"))</f>
        <v>Female</v>
      </c>
      <c r="D196" s="28" t="str">
        <f aca="false">IF(Data!D196="","",IFERROR(VLOOKUP(Data!D196,Codes!$A$11:$B$14,2,FALSE()),"Invalid ("&amp;Data!D196&amp;")"))</f>
        <v>Non-anginal pain</v>
      </c>
      <c r="E196" s="20" t="n">
        <f aca="false">IF(Data!E196="","",Data!E196)</f>
        <v>120</v>
      </c>
      <c r="F196" s="20" t="n">
        <f aca="false">IF(Data!F196="","",Data!F196)</f>
        <v>211</v>
      </c>
      <c r="G196" s="28" t="str">
        <f aca="false">IF(Data!G196="","",IFERROR(VLOOKUP(Data!G196,Codes!$A$18:$B$19,2,FALSE()),"Invalid ("&amp;Data!G196&amp;")"))</f>
        <v>No</v>
      </c>
      <c r="H196" s="28" t="str">
        <f aca="false">IF(Data!H196="","",IFERROR(VLOOKUP(Data!H196,Codes!$A$23:$B$25,2,FALSE()),"Invalid ("&amp;Data!H196&amp;")"))</f>
        <v>Left ventricular hypertrophy</v>
      </c>
      <c r="I196" s="20" t="n">
        <f aca="false">IF(Data!I196="","",Data!I196)</f>
        <v>115</v>
      </c>
      <c r="J196" s="28" t="str">
        <f aca="false">IF(Data!J196="","",IFERROR(VLOOKUP(Data!J196,Codes!$A$29:$B$30,2,FALSE()),"Invalid ("&amp;Data!J196&amp;")"))</f>
        <v>No</v>
      </c>
      <c r="K196" s="21" t="n">
        <f aca="false">IF(Data!K196="","",Data!K196)</f>
        <v>1.5</v>
      </c>
      <c r="L196" s="28" t="str">
        <f aca="false">IF(Data!L196="","",IFERROR(VLOOKUP(Data!L196,Codes!$A$34:$B$36,2,FALSE()),"Invalid ("&amp;Data!L196&amp;")"))</f>
        <v>Flat</v>
      </c>
      <c r="M196" s="20" t="n">
        <f aca="false">IF(Data!M196="","",Data!M196)</f>
        <v>0</v>
      </c>
      <c r="N196" s="28" t="str">
        <f aca="false">IF(Data!N196="","",IFERROR(VLOOKUP(Data!N196,Codes!$A$47:$B$49,2,FALSE()),"Invalid ("&amp;Data!N196&amp;")"))</f>
        <v>Normal</v>
      </c>
      <c r="O196" s="28" t="str">
        <f aca="false">IF(Data!O196="","",IFERROR(VLOOKUP(Data!O196,Codes!$A$53:$B$57,2,FALSE()),"Invalid ("&amp;Data!O196&amp;")"))</f>
        <v>No disease</v>
      </c>
      <c r="P196" s="22" t="str">
        <f aca="false">IF(Data!P196="","",IFERROR(VLOOKUP(Data!P196,Codes!$A$61:$B$64,2,FALSE()),"Invalid ("&amp;Data!P196&amp;")"))</f>
        <v>Cleveland Clinic</v>
      </c>
    </row>
    <row r="197" customFormat="false" ht="15" hidden="false" customHeight="false" outlineLevel="0" collapsed="false">
      <c r="A197" s="19" t="n">
        <f aca="false">Data!A197</f>
        <v>196</v>
      </c>
      <c r="B197" s="20" t="n">
        <f aca="false">IF(Data!B197="","",Data!B197)</f>
        <v>67</v>
      </c>
      <c r="C197" s="28" t="str">
        <f aca="false">IF(Data!C197="","",IFERROR(VLOOKUP(Data!C197,Codes!$A$6:$B$7,2,FALSE()),"Invalid ("&amp;Data!C197&amp;")"))</f>
        <v>Male</v>
      </c>
      <c r="D197" s="28" t="str">
        <f aca="false">IF(Data!D197="","",IFERROR(VLOOKUP(Data!D197,Codes!$A$11:$B$14,2,FALSE()),"Invalid ("&amp;Data!D197&amp;")"))</f>
        <v>Asymptomatic</v>
      </c>
      <c r="E197" s="20" t="n">
        <f aca="false">IF(Data!E197="","",Data!E197)</f>
        <v>100</v>
      </c>
      <c r="F197" s="20" t="n">
        <f aca="false">IF(Data!F197="","",Data!F197)</f>
        <v>299</v>
      </c>
      <c r="G197" s="28" t="str">
        <f aca="false">IF(Data!G197="","",IFERROR(VLOOKUP(Data!G197,Codes!$A$18:$B$19,2,FALSE()),"Invalid ("&amp;Data!G197&amp;")"))</f>
        <v>No</v>
      </c>
      <c r="H197" s="28" t="str">
        <f aca="false">IF(Data!H197="","",IFERROR(VLOOKUP(Data!H197,Codes!$A$23:$B$25,2,FALSE()),"Invalid ("&amp;Data!H197&amp;")"))</f>
        <v>Left ventricular hypertrophy</v>
      </c>
      <c r="I197" s="20" t="n">
        <f aca="false">IF(Data!I197="","",Data!I197)</f>
        <v>125</v>
      </c>
      <c r="J197" s="28" t="str">
        <f aca="false">IF(Data!J197="","",IFERROR(VLOOKUP(Data!J197,Codes!$A$29:$B$30,2,FALSE()),"Invalid ("&amp;Data!J197&amp;")"))</f>
        <v>Yes</v>
      </c>
      <c r="K197" s="21" t="n">
        <f aca="false">IF(Data!K197="","",Data!K197)</f>
        <v>0.9</v>
      </c>
      <c r="L197" s="28" t="str">
        <f aca="false">IF(Data!L197="","",IFERROR(VLOOKUP(Data!L197,Codes!$A$34:$B$36,2,FALSE()),"Invalid ("&amp;Data!L197&amp;")"))</f>
        <v>Flat</v>
      </c>
      <c r="M197" s="20" t="n">
        <f aca="false">IF(Data!M197="","",Data!M197)</f>
        <v>2</v>
      </c>
      <c r="N197" s="28" t="str">
        <f aca="false">IF(Data!N197="","",IFERROR(VLOOKUP(Data!N197,Codes!$A$47:$B$49,2,FALSE()),"Invalid ("&amp;Data!N197&amp;")"))</f>
        <v>Normal</v>
      </c>
      <c r="O197" s="28" t="str">
        <f aca="false">IF(Data!O197="","",IFERROR(VLOOKUP(Data!O197,Codes!$A$53:$B$57,2,FALSE()),"Invalid ("&amp;Data!O197&amp;")"))</f>
        <v>Disease (3)</v>
      </c>
      <c r="P197" s="22" t="str">
        <f aca="false">IF(Data!P197="","",IFERROR(VLOOKUP(Data!P197,Codes!$A$61:$B$64,2,FALSE()),"Invalid ("&amp;Data!P197&amp;")"))</f>
        <v>Cleveland Clinic</v>
      </c>
    </row>
    <row r="198" customFormat="false" ht="15" hidden="false" customHeight="false" outlineLevel="0" collapsed="false">
      <c r="A198" s="19" t="n">
        <f aca="false">Data!A198</f>
        <v>197</v>
      </c>
      <c r="B198" s="20" t="n">
        <f aca="false">IF(Data!B198="","",Data!B198)</f>
        <v>69</v>
      </c>
      <c r="C198" s="28" t="str">
        <f aca="false">IF(Data!C198="","",IFERROR(VLOOKUP(Data!C198,Codes!$A$6:$B$7,2,FALSE()),"Invalid ("&amp;Data!C198&amp;")"))</f>
        <v>Male</v>
      </c>
      <c r="D198" s="28" t="str">
        <f aca="false">IF(Data!D198="","",IFERROR(VLOOKUP(Data!D198,Codes!$A$11:$B$14,2,FALSE()),"Invalid ("&amp;Data!D198&amp;")"))</f>
        <v>Typical angina</v>
      </c>
      <c r="E198" s="20" t="n">
        <f aca="false">IF(Data!E198="","",Data!E198)</f>
        <v>160</v>
      </c>
      <c r="F198" s="20" t="n">
        <f aca="false">IF(Data!F198="","",Data!F198)</f>
        <v>234</v>
      </c>
      <c r="G198" s="28" t="str">
        <f aca="false">IF(Data!G198="","",IFERROR(VLOOKUP(Data!G198,Codes!$A$18:$B$19,2,FALSE()),"Invalid ("&amp;Data!G198&amp;")"))</f>
        <v>Yes</v>
      </c>
      <c r="H198" s="28" t="str">
        <f aca="false">IF(Data!H198="","",IFERROR(VLOOKUP(Data!H198,Codes!$A$23:$B$25,2,FALSE()),"Invalid ("&amp;Data!H198&amp;")"))</f>
        <v>Left ventricular hypertrophy</v>
      </c>
      <c r="I198" s="20" t="n">
        <f aca="false">IF(Data!I198="","",Data!I198)</f>
        <v>131</v>
      </c>
      <c r="J198" s="28" t="str">
        <f aca="false">IF(Data!J198="","",IFERROR(VLOOKUP(Data!J198,Codes!$A$29:$B$30,2,FALSE()),"Invalid ("&amp;Data!J198&amp;")"))</f>
        <v>No</v>
      </c>
      <c r="K198" s="21" t="n">
        <f aca="false">IF(Data!K198="","",Data!K198)</f>
        <v>0.1</v>
      </c>
      <c r="L198" s="28" t="str">
        <f aca="false">IF(Data!L198="","",IFERROR(VLOOKUP(Data!L198,Codes!$A$34:$B$36,2,FALSE()),"Invalid ("&amp;Data!L198&amp;")"))</f>
        <v>Flat</v>
      </c>
      <c r="M198" s="20" t="n">
        <f aca="false">IF(Data!M198="","",Data!M198)</f>
        <v>1</v>
      </c>
      <c r="N198" s="28" t="str">
        <f aca="false">IF(Data!N198="","",IFERROR(VLOOKUP(Data!N198,Codes!$A$47:$B$49,2,FALSE()),"Invalid ("&amp;Data!N198&amp;")"))</f>
        <v>Normal</v>
      </c>
      <c r="O198" s="28" t="str">
        <f aca="false">IF(Data!O198="","",IFERROR(VLOOKUP(Data!O198,Codes!$A$53:$B$57,2,FALSE()),"Invalid ("&amp;Data!O198&amp;")"))</f>
        <v>No disease</v>
      </c>
      <c r="P198" s="22" t="str">
        <f aca="false">IF(Data!P198="","",IFERROR(VLOOKUP(Data!P198,Codes!$A$61:$B$64,2,FALSE()),"Invalid ("&amp;Data!P198&amp;")"))</f>
        <v>Cleveland Clinic</v>
      </c>
    </row>
    <row r="199" customFormat="false" ht="15" hidden="false" customHeight="false" outlineLevel="0" collapsed="false">
      <c r="A199" s="19" t="n">
        <f aca="false">Data!A199</f>
        <v>198</v>
      </c>
      <c r="B199" s="20" t="n">
        <f aca="false">IF(Data!B199="","",Data!B199)</f>
        <v>45</v>
      </c>
      <c r="C199" s="28" t="str">
        <f aca="false">IF(Data!C199="","",IFERROR(VLOOKUP(Data!C199,Codes!$A$6:$B$7,2,FALSE()),"Invalid ("&amp;Data!C199&amp;")"))</f>
        <v>Female</v>
      </c>
      <c r="D199" s="28" t="str">
        <f aca="false">IF(Data!D199="","",IFERROR(VLOOKUP(Data!D199,Codes!$A$11:$B$14,2,FALSE()),"Invalid ("&amp;Data!D199&amp;")"))</f>
        <v>Asymptomatic</v>
      </c>
      <c r="E199" s="20" t="n">
        <f aca="false">IF(Data!E199="","",Data!E199)</f>
        <v>138</v>
      </c>
      <c r="F199" s="20" t="n">
        <f aca="false">IF(Data!F199="","",Data!F199)</f>
        <v>236</v>
      </c>
      <c r="G199" s="28" t="str">
        <f aca="false">IF(Data!G199="","",IFERROR(VLOOKUP(Data!G199,Codes!$A$18:$B$19,2,FALSE()),"Invalid ("&amp;Data!G199&amp;")"))</f>
        <v>No</v>
      </c>
      <c r="H199" s="28" t="str">
        <f aca="false">IF(Data!H199="","",IFERROR(VLOOKUP(Data!H199,Codes!$A$23:$B$25,2,FALSE()),"Invalid ("&amp;Data!H199&amp;")"))</f>
        <v>Left ventricular hypertrophy</v>
      </c>
      <c r="I199" s="20" t="n">
        <f aca="false">IF(Data!I199="","",Data!I199)</f>
        <v>152</v>
      </c>
      <c r="J199" s="28" t="str">
        <f aca="false">IF(Data!J199="","",IFERROR(VLOOKUP(Data!J199,Codes!$A$29:$B$30,2,FALSE()),"Invalid ("&amp;Data!J199&amp;")"))</f>
        <v>Yes</v>
      </c>
      <c r="K199" s="21" t="n">
        <f aca="false">IF(Data!K199="","",Data!K199)</f>
        <v>0.2</v>
      </c>
      <c r="L199" s="28" t="str">
        <f aca="false">IF(Data!L199="","",IFERROR(VLOOKUP(Data!L199,Codes!$A$34:$B$36,2,FALSE()),"Invalid ("&amp;Data!L199&amp;")"))</f>
        <v>Flat</v>
      </c>
      <c r="M199" s="20" t="n">
        <f aca="false">IF(Data!M199="","",Data!M199)</f>
        <v>0</v>
      </c>
      <c r="N199" s="28" t="str">
        <f aca="false">IF(Data!N199="","",IFERROR(VLOOKUP(Data!N199,Codes!$A$47:$B$49,2,FALSE()),"Invalid ("&amp;Data!N199&amp;")"))</f>
        <v>Normal</v>
      </c>
      <c r="O199" s="28" t="str">
        <f aca="false">IF(Data!O199="","",IFERROR(VLOOKUP(Data!O199,Codes!$A$53:$B$57,2,FALSE()),"Invalid ("&amp;Data!O199&amp;")"))</f>
        <v>No disease</v>
      </c>
      <c r="P199" s="22" t="str">
        <f aca="false">IF(Data!P199="","",IFERROR(VLOOKUP(Data!P199,Codes!$A$61:$B$64,2,FALSE()),"Invalid ("&amp;Data!P199&amp;")"))</f>
        <v>Cleveland Clinic</v>
      </c>
    </row>
    <row r="200" customFormat="false" ht="15" hidden="false" customHeight="false" outlineLevel="0" collapsed="false">
      <c r="A200" s="19" t="n">
        <f aca="false">Data!A200</f>
        <v>199</v>
      </c>
      <c r="B200" s="20" t="n">
        <f aca="false">IF(Data!B200="","",Data!B200)</f>
        <v>50</v>
      </c>
      <c r="C200" s="28" t="str">
        <f aca="false">IF(Data!C200="","",IFERROR(VLOOKUP(Data!C200,Codes!$A$6:$B$7,2,FALSE()),"Invalid ("&amp;Data!C200&amp;")"))</f>
        <v>Female</v>
      </c>
      <c r="D200" s="28" t="str">
        <f aca="false">IF(Data!D200="","",IFERROR(VLOOKUP(Data!D200,Codes!$A$11:$B$14,2,FALSE()),"Invalid ("&amp;Data!D200&amp;")"))</f>
        <v>Atypical angina</v>
      </c>
      <c r="E200" s="20" t="n">
        <f aca="false">IF(Data!E200="","",Data!E200)</f>
        <v>120</v>
      </c>
      <c r="F200" s="20" t="n">
        <f aca="false">IF(Data!F200="","",Data!F200)</f>
        <v>244</v>
      </c>
      <c r="G200" s="28" t="str">
        <f aca="false">IF(Data!G200="","",IFERROR(VLOOKUP(Data!G200,Codes!$A$18:$B$19,2,FALSE()),"Invalid ("&amp;Data!G200&amp;")"))</f>
        <v>No</v>
      </c>
      <c r="H200" s="28" t="str">
        <f aca="false">IF(Data!H200="","",IFERROR(VLOOKUP(Data!H200,Codes!$A$23:$B$25,2,FALSE()),"Invalid ("&amp;Data!H200&amp;")"))</f>
        <v>Normal</v>
      </c>
      <c r="I200" s="20" t="n">
        <f aca="false">IF(Data!I200="","",Data!I200)</f>
        <v>162</v>
      </c>
      <c r="J200" s="28" t="str">
        <f aca="false">IF(Data!J200="","",IFERROR(VLOOKUP(Data!J200,Codes!$A$29:$B$30,2,FALSE()),"Invalid ("&amp;Data!J200&amp;")"))</f>
        <v>No</v>
      </c>
      <c r="K200" s="21" t="n">
        <f aca="false">IF(Data!K200="","",Data!K200)</f>
        <v>1.1</v>
      </c>
      <c r="L200" s="28" t="str">
        <f aca="false">IF(Data!L200="","",IFERROR(VLOOKUP(Data!L200,Codes!$A$34:$B$36,2,FALSE()),"Invalid ("&amp;Data!L200&amp;")"))</f>
        <v>Upsloping</v>
      </c>
      <c r="M200" s="20" t="n">
        <f aca="false">IF(Data!M200="","",Data!M200)</f>
        <v>0</v>
      </c>
      <c r="N200" s="28" t="str">
        <f aca="false">IF(Data!N200="","",IFERROR(VLOOKUP(Data!N200,Codes!$A$47:$B$49,2,FALSE()),"Invalid ("&amp;Data!N200&amp;")"))</f>
        <v>Normal</v>
      </c>
      <c r="O200" s="28" t="str">
        <f aca="false">IF(Data!O200="","",IFERROR(VLOOKUP(Data!O200,Codes!$A$53:$B$57,2,FALSE()),"Invalid ("&amp;Data!O200&amp;")"))</f>
        <v>No disease</v>
      </c>
      <c r="P200" s="22" t="str">
        <f aca="false">IF(Data!P200="","",IFERROR(VLOOKUP(Data!P200,Codes!$A$61:$B$64,2,FALSE()),"Invalid ("&amp;Data!P200&amp;")"))</f>
        <v>Cleveland Clinic</v>
      </c>
    </row>
    <row r="201" customFormat="false" ht="15" hidden="false" customHeight="false" outlineLevel="0" collapsed="false">
      <c r="A201" s="19" t="n">
        <f aca="false">Data!A201</f>
        <v>200</v>
      </c>
      <c r="B201" s="20" t="n">
        <f aca="false">IF(Data!B201="","",Data!B201)</f>
        <v>59</v>
      </c>
      <c r="C201" s="28" t="str">
        <f aca="false">IF(Data!C201="","",IFERROR(VLOOKUP(Data!C201,Codes!$A$6:$B$7,2,FALSE()),"Invalid ("&amp;Data!C201&amp;")"))</f>
        <v>Male</v>
      </c>
      <c r="D201" s="28" t="str">
        <f aca="false">IF(Data!D201="","",IFERROR(VLOOKUP(Data!D201,Codes!$A$11:$B$14,2,FALSE()),"Invalid ("&amp;Data!D201&amp;")"))</f>
        <v>Typical angina</v>
      </c>
      <c r="E201" s="20" t="n">
        <f aca="false">IF(Data!E201="","",Data!E201)</f>
        <v>160</v>
      </c>
      <c r="F201" s="20" t="n">
        <f aca="false">IF(Data!F201="","",Data!F201)</f>
        <v>273</v>
      </c>
      <c r="G201" s="28" t="str">
        <f aca="false">IF(Data!G201="","",IFERROR(VLOOKUP(Data!G201,Codes!$A$18:$B$19,2,FALSE()),"Invalid ("&amp;Data!G201&amp;")"))</f>
        <v>No</v>
      </c>
      <c r="H201" s="28" t="str">
        <f aca="false">IF(Data!H201="","",IFERROR(VLOOKUP(Data!H201,Codes!$A$23:$B$25,2,FALSE()),"Invalid ("&amp;Data!H201&amp;")"))</f>
        <v>Left ventricular hypertrophy</v>
      </c>
      <c r="I201" s="20" t="n">
        <f aca="false">IF(Data!I201="","",Data!I201)</f>
        <v>125</v>
      </c>
      <c r="J201" s="28" t="str">
        <f aca="false">IF(Data!J201="","",IFERROR(VLOOKUP(Data!J201,Codes!$A$29:$B$30,2,FALSE()),"Invalid ("&amp;Data!J201&amp;")"))</f>
        <v>No</v>
      </c>
      <c r="K201" s="21" t="n">
        <f aca="false">IF(Data!K201="","",Data!K201)</f>
        <v>0</v>
      </c>
      <c r="L201" s="28" t="str">
        <f aca="false">IF(Data!L201="","",IFERROR(VLOOKUP(Data!L201,Codes!$A$34:$B$36,2,FALSE()),"Invalid ("&amp;Data!L201&amp;")"))</f>
        <v>Upsloping</v>
      </c>
      <c r="M201" s="20" t="n">
        <f aca="false">IF(Data!M201="","",Data!M201)</f>
        <v>0</v>
      </c>
      <c r="N201" s="28" t="str">
        <f aca="false">IF(Data!N201="","",IFERROR(VLOOKUP(Data!N201,Codes!$A$47:$B$49,2,FALSE()),"Invalid ("&amp;Data!N201&amp;")"))</f>
        <v>Normal</v>
      </c>
      <c r="O201" s="28" t="str">
        <f aca="false">IF(Data!O201="","",IFERROR(VLOOKUP(Data!O201,Codes!$A$53:$B$57,2,FALSE()),"Invalid ("&amp;Data!O201&amp;")"))</f>
        <v>Disease (1)</v>
      </c>
      <c r="P201" s="22" t="str">
        <f aca="false">IF(Data!P201="","",IFERROR(VLOOKUP(Data!P201,Codes!$A$61:$B$64,2,FALSE()),"Invalid ("&amp;Data!P201&amp;")"))</f>
        <v>Cleveland Clinic</v>
      </c>
    </row>
    <row r="202" customFormat="false" ht="15" hidden="false" customHeight="false" outlineLevel="0" collapsed="false">
      <c r="A202" s="19" t="n">
        <f aca="false">Data!A202</f>
        <v>201</v>
      </c>
      <c r="B202" s="20" t="n">
        <f aca="false">IF(Data!B202="","",Data!B202)</f>
        <v>50</v>
      </c>
      <c r="C202" s="28" t="str">
        <f aca="false">IF(Data!C202="","",IFERROR(VLOOKUP(Data!C202,Codes!$A$6:$B$7,2,FALSE()),"Invalid ("&amp;Data!C202&amp;")"))</f>
        <v>Female</v>
      </c>
      <c r="D202" s="28" t="str">
        <f aca="false">IF(Data!D202="","",IFERROR(VLOOKUP(Data!D202,Codes!$A$11:$B$14,2,FALSE()),"Invalid ("&amp;Data!D202&amp;")"))</f>
        <v>Asymptomatic</v>
      </c>
      <c r="E202" s="20" t="n">
        <f aca="false">IF(Data!E202="","",Data!E202)</f>
        <v>110</v>
      </c>
      <c r="F202" s="20" t="n">
        <f aca="false">IF(Data!F202="","",Data!F202)</f>
        <v>254</v>
      </c>
      <c r="G202" s="28" t="str">
        <f aca="false">IF(Data!G202="","",IFERROR(VLOOKUP(Data!G202,Codes!$A$18:$B$19,2,FALSE()),"Invalid ("&amp;Data!G202&amp;")"))</f>
        <v>No</v>
      </c>
      <c r="H202" s="28" t="str">
        <f aca="false">IF(Data!H202="","",IFERROR(VLOOKUP(Data!H202,Codes!$A$23:$B$25,2,FALSE()),"Invalid ("&amp;Data!H202&amp;")"))</f>
        <v>Left ventricular hypertrophy</v>
      </c>
      <c r="I202" s="20" t="n">
        <f aca="false">IF(Data!I202="","",Data!I202)</f>
        <v>159</v>
      </c>
      <c r="J202" s="28" t="str">
        <f aca="false">IF(Data!J202="","",IFERROR(VLOOKUP(Data!J202,Codes!$A$29:$B$30,2,FALSE()),"Invalid ("&amp;Data!J202&amp;")"))</f>
        <v>No</v>
      </c>
      <c r="K202" s="21" t="n">
        <f aca="false">IF(Data!K202="","",Data!K202)</f>
        <v>0</v>
      </c>
      <c r="L202" s="28" t="str">
        <f aca="false">IF(Data!L202="","",IFERROR(VLOOKUP(Data!L202,Codes!$A$34:$B$36,2,FALSE()),"Invalid ("&amp;Data!L202&amp;")"))</f>
        <v>Upsloping</v>
      </c>
      <c r="M202" s="20" t="n">
        <f aca="false">IF(Data!M202="","",Data!M202)</f>
        <v>0</v>
      </c>
      <c r="N202" s="28" t="str">
        <f aca="false">IF(Data!N202="","",IFERROR(VLOOKUP(Data!N202,Codes!$A$47:$B$49,2,FALSE()),"Invalid ("&amp;Data!N202&amp;")"))</f>
        <v>Normal</v>
      </c>
      <c r="O202" s="28" t="str">
        <f aca="false">IF(Data!O202="","",IFERROR(VLOOKUP(Data!O202,Codes!$A$53:$B$57,2,FALSE()),"Invalid ("&amp;Data!O202&amp;")"))</f>
        <v>No disease</v>
      </c>
      <c r="P202" s="22" t="str">
        <f aca="false">IF(Data!P202="","",IFERROR(VLOOKUP(Data!P202,Codes!$A$61:$B$64,2,FALSE()),"Invalid ("&amp;Data!P202&amp;")"))</f>
        <v>Cleveland Clinic</v>
      </c>
    </row>
    <row r="203" customFormat="false" ht="15" hidden="false" customHeight="false" outlineLevel="0" collapsed="false">
      <c r="A203" s="19" t="n">
        <f aca="false">Data!A203</f>
        <v>202</v>
      </c>
      <c r="B203" s="20" t="n">
        <f aca="false">IF(Data!B203="","",Data!B203)</f>
        <v>64</v>
      </c>
      <c r="C203" s="28" t="str">
        <f aca="false">IF(Data!C203="","",IFERROR(VLOOKUP(Data!C203,Codes!$A$6:$B$7,2,FALSE()),"Invalid ("&amp;Data!C203&amp;")"))</f>
        <v>Female</v>
      </c>
      <c r="D203" s="28" t="str">
        <f aca="false">IF(Data!D203="","",IFERROR(VLOOKUP(Data!D203,Codes!$A$11:$B$14,2,FALSE()),"Invalid ("&amp;Data!D203&amp;")"))</f>
        <v>Asymptomatic</v>
      </c>
      <c r="E203" s="20" t="n">
        <f aca="false">IF(Data!E203="","",Data!E203)</f>
        <v>180</v>
      </c>
      <c r="F203" s="20" t="n">
        <f aca="false">IF(Data!F203="","",Data!F203)</f>
        <v>325</v>
      </c>
      <c r="G203" s="28" t="str">
        <f aca="false">IF(Data!G203="","",IFERROR(VLOOKUP(Data!G203,Codes!$A$18:$B$19,2,FALSE()),"Invalid ("&amp;Data!G203&amp;")"))</f>
        <v>No</v>
      </c>
      <c r="H203" s="28" t="str">
        <f aca="false">IF(Data!H203="","",IFERROR(VLOOKUP(Data!H203,Codes!$A$23:$B$25,2,FALSE()),"Invalid ("&amp;Data!H203&amp;")"))</f>
        <v>Normal</v>
      </c>
      <c r="I203" s="20" t="n">
        <f aca="false">IF(Data!I203="","",Data!I203)</f>
        <v>154</v>
      </c>
      <c r="J203" s="28" t="str">
        <f aca="false">IF(Data!J203="","",IFERROR(VLOOKUP(Data!J203,Codes!$A$29:$B$30,2,FALSE()),"Invalid ("&amp;Data!J203&amp;")"))</f>
        <v>Yes</v>
      </c>
      <c r="K203" s="21" t="n">
        <f aca="false">IF(Data!K203="","",Data!K203)</f>
        <v>0</v>
      </c>
      <c r="L203" s="28" t="str">
        <f aca="false">IF(Data!L203="","",IFERROR(VLOOKUP(Data!L203,Codes!$A$34:$B$36,2,FALSE()),"Invalid ("&amp;Data!L203&amp;")"))</f>
        <v>Upsloping</v>
      </c>
      <c r="M203" s="20" t="n">
        <f aca="false">IF(Data!M203="","",Data!M203)</f>
        <v>0</v>
      </c>
      <c r="N203" s="28" t="str">
        <f aca="false">IF(Data!N203="","",IFERROR(VLOOKUP(Data!N203,Codes!$A$47:$B$49,2,FALSE()),"Invalid ("&amp;Data!N203&amp;")"))</f>
        <v>Normal</v>
      </c>
      <c r="O203" s="28" t="str">
        <f aca="false">IF(Data!O203="","",IFERROR(VLOOKUP(Data!O203,Codes!$A$53:$B$57,2,FALSE()),"Invalid ("&amp;Data!O203&amp;")"))</f>
        <v>No disease</v>
      </c>
      <c r="P203" s="22" t="str">
        <f aca="false">IF(Data!P203="","",IFERROR(VLOOKUP(Data!P203,Codes!$A$61:$B$64,2,FALSE()),"Invalid ("&amp;Data!P203&amp;")"))</f>
        <v>Cleveland Clinic</v>
      </c>
    </row>
    <row r="204" customFormat="false" ht="15" hidden="false" customHeight="false" outlineLevel="0" collapsed="false">
      <c r="A204" s="19" t="n">
        <f aca="false">Data!A204</f>
        <v>203</v>
      </c>
      <c r="B204" s="20" t="n">
        <f aca="false">IF(Data!B204="","",Data!B204)</f>
        <v>57</v>
      </c>
      <c r="C204" s="28" t="str">
        <f aca="false">IF(Data!C204="","",IFERROR(VLOOKUP(Data!C204,Codes!$A$6:$B$7,2,FALSE()),"Invalid ("&amp;Data!C204&amp;")"))</f>
        <v>Male</v>
      </c>
      <c r="D204" s="28" t="str">
        <f aca="false">IF(Data!D204="","",IFERROR(VLOOKUP(Data!D204,Codes!$A$11:$B$14,2,FALSE()),"Invalid ("&amp;Data!D204&amp;")"))</f>
        <v>Non-anginal pain</v>
      </c>
      <c r="E204" s="20" t="n">
        <f aca="false">IF(Data!E204="","",Data!E204)</f>
        <v>150</v>
      </c>
      <c r="F204" s="20" t="n">
        <f aca="false">IF(Data!F204="","",Data!F204)</f>
        <v>126</v>
      </c>
      <c r="G204" s="28" t="str">
        <f aca="false">IF(Data!G204="","",IFERROR(VLOOKUP(Data!G204,Codes!$A$18:$B$19,2,FALSE()),"Invalid ("&amp;Data!G204&amp;")"))</f>
        <v>Yes</v>
      </c>
      <c r="H204" s="28" t="str">
        <f aca="false">IF(Data!H204="","",IFERROR(VLOOKUP(Data!H204,Codes!$A$23:$B$25,2,FALSE()),"Invalid ("&amp;Data!H204&amp;")"))</f>
        <v>Normal</v>
      </c>
      <c r="I204" s="20" t="n">
        <f aca="false">IF(Data!I204="","",Data!I204)</f>
        <v>173</v>
      </c>
      <c r="J204" s="28" t="str">
        <f aca="false">IF(Data!J204="","",IFERROR(VLOOKUP(Data!J204,Codes!$A$29:$B$30,2,FALSE()),"Invalid ("&amp;Data!J204&amp;")"))</f>
        <v>No</v>
      </c>
      <c r="K204" s="21" t="n">
        <f aca="false">IF(Data!K204="","",Data!K204)</f>
        <v>0.2</v>
      </c>
      <c r="L204" s="28" t="str">
        <f aca="false">IF(Data!L204="","",IFERROR(VLOOKUP(Data!L204,Codes!$A$34:$B$36,2,FALSE()),"Invalid ("&amp;Data!L204&amp;")"))</f>
        <v>Upsloping</v>
      </c>
      <c r="M204" s="20" t="n">
        <f aca="false">IF(Data!M204="","",Data!M204)</f>
        <v>1</v>
      </c>
      <c r="N204" s="28" t="str">
        <f aca="false">IF(Data!N204="","",IFERROR(VLOOKUP(Data!N204,Codes!$A$47:$B$49,2,FALSE()),"Invalid ("&amp;Data!N204&amp;")"))</f>
        <v>Reversible defect</v>
      </c>
      <c r="O204" s="28" t="str">
        <f aca="false">IF(Data!O204="","",IFERROR(VLOOKUP(Data!O204,Codes!$A$53:$B$57,2,FALSE()),"Invalid ("&amp;Data!O204&amp;")"))</f>
        <v>No disease</v>
      </c>
      <c r="P204" s="22" t="str">
        <f aca="false">IF(Data!P204="","",IFERROR(VLOOKUP(Data!P204,Codes!$A$61:$B$64,2,FALSE()),"Invalid ("&amp;Data!P204&amp;")"))</f>
        <v>Cleveland Clinic</v>
      </c>
    </row>
    <row r="205" customFormat="false" ht="15" hidden="false" customHeight="false" outlineLevel="0" collapsed="false">
      <c r="A205" s="19" t="n">
        <f aca="false">Data!A205</f>
        <v>204</v>
      </c>
      <c r="B205" s="20" t="n">
        <f aca="false">IF(Data!B205="","",Data!B205)</f>
        <v>64</v>
      </c>
      <c r="C205" s="28" t="str">
        <f aca="false">IF(Data!C205="","",IFERROR(VLOOKUP(Data!C205,Codes!$A$6:$B$7,2,FALSE()),"Invalid ("&amp;Data!C205&amp;")"))</f>
        <v>Female</v>
      </c>
      <c r="D205" s="28" t="str">
        <f aca="false">IF(Data!D205="","",IFERROR(VLOOKUP(Data!D205,Codes!$A$11:$B$14,2,FALSE()),"Invalid ("&amp;Data!D205&amp;")"))</f>
        <v>Non-anginal pain</v>
      </c>
      <c r="E205" s="20" t="n">
        <f aca="false">IF(Data!E205="","",Data!E205)</f>
        <v>140</v>
      </c>
      <c r="F205" s="20" t="n">
        <f aca="false">IF(Data!F205="","",Data!F205)</f>
        <v>313</v>
      </c>
      <c r="G205" s="28" t="str">
        <f aca="false">IF(Data!G205="","",IFERROR(VLOOKUP(Data!G205,Codes!$A$18:$B$19,2,FALSE()),"Invalid ("&amp;Data!G205&amp;")"))</f>
        <v>No</v>
      </c>
      <c r="H205" s="28" t="str">
        <f aca="false">IF(Data!H205="","",IFERROR(VLOOKUP(Data!H205,Codes!$A$23:$B$25,2,FALSE()),"Invalid ("&amp;Data!H205&amp;")"))</f>
        <v>Normal</v>
      </c>
      <c r="I205" s="20" t="n">
        <f aca="false">IF(Data!I205="","",Data!I205)</f>
        <v>133</v>
      </c>
      <c r="J205" s="28" t="str">
        <f aca="false">IF(Data!J205="","",IFERROR(VLOOKUP(Data!J205,Codes!$A$29:$B$30,2,FALSE()),"Invalid ("&amp;Data!J205&amp;")"))</f>
        <v>No</v>
      </c>
      <c r="K205" s="21" t="n">
        <f aca="false">IF(Data!K205="","",Data!K205)</f>
        <v>0.2</v>
      </c>
      <c r="L205" s="28" t="str">
        <f aca="false">IF(Data!L205="","",IFERROR(VLOOKUP(Data!L205,Codes!$A$34:$B$36,2,FALSE()),"Invalid ("&amp;Data!L205&amp;")"))</f>
        <v>Upsloping</v>
      </c>
      <c r="M205" s="20" t="n">
        <f aca="false">IF(Data!M205="","",Data!M205)</f>
        <v>0</v>
      </c>
      <c r="N205" s="28" t="str">
        <f aca="false">IF(Data!N205="","",IFERROR(VLOOKUP(Data!N205,Codes!$A$47:$B$49,2,FALSE()),"Invalid ("&amp;Data!N205&amp;")"))</f>
        <v>Reversible defect</v>
      </c>
      <c r="O205" s="28" t="str">
        <f aca="false">IF(Data!O205="","",IFERROR(VLOOKUP(Data!O205,Codes!$A$53:$B$57,2,FALSE()),"Invalid ("&amp;Data!O205&amp;")"))</f>
        <v>No disease</v>
      </c>
      <c r="P205" s="22" t="str">
        <f aca="false">IF(Data!P205="","",IFERROR(VLOOKUP(Data!P205,Codes!$A$61:$B$64,2,FALSE()),"Invalid ("&amp;Data!P205&amp;")"))</f>
        <v>Cleveland Clinic</v>
      </c>
    </row>
    <row r="206" customFormat="false" ht="15" hidden="false" customHeight="false" outlineLevel="0" collapsed="false">
      <c r="A206" s="19" t="n">
        <f aca="false">Data!A206</f>
        <v>205</v>
      </c>
      <c r="B206" s="20" t="n">
        <f aca="false">IF(Data!B206="","",Data!B206)</f>
        <v>43</v>
      </c>
      <c r="C206" s="28" t="str">
        <f aca="false">IF(Data!C206="","",IFERROR(VLOOKUP(Data!C206,Codes!$A$6:$B$7,2,FALSE()),"Invalid ("&amp;Data!C206&amp;")"))</f>
        <v>Male</v>
      </c>
      <c r="D206" s="28" t="str">
        <f aca="false">IF(Data!D206="","",IFERROR(VLOOKUP(Data!D206,Codes!$A$11:$B$14,2,FALSE()),"Invalid ("&amp;Data!D206&amp;")"))</f>
        <v>Asymptomatic</v>
      </c>
      <c r="E206" s="20" t="n">
        <f aca="false">IF(Data!E206="","",Data!E206)</f>
        <v>110</v>
      </c>
      <c r="F206" s="20" t="n">
        <f aca="false">IF(Data!F206="","",Data!F206)</f>
        <v>211</v>
      </c>
      <c r="G206" s="28" t="str">
        <f aca="false">IF(Data!G206="","",IFERROR(VLOOKUP(Data!G206,Codes!$A$18:$B$19,2,FALSE()),"Invalid ("&amp;Data!G206&amp;")"))</f>
        <v>No</v>
      </c>
      <c r="H206" s="28" t="str">
        <f aca="false">IF(Data!H206="","",IFERROR(VLOOKUP(Data!H206,Codes!$A$23:$B$25,2,FALSE()),"Invalid ("&amp;Data!H206&amp;")"))</f>
        <v>Normal</v>
      </c>
      <c r="I206" s="20" t="n">
        <f aca="false">IF(Data!I206="","",Data!I206)</f>
        <v>161</v>
      </c>
      <c r="J206" s="28" t="str">
        <f aca="false">IF(Data!J206="","",IFERROR(VLOOKUP(Data!J206,Codes!$A$29:$B$30,2,FALSE()),"Invalid ("&amp;Data!J206&amp;")"))</f>
        <v>No</v>
      </c>
      <c r="K206" s="21" t="n">
        <f aca="false">IF(Data!K206="","",Data!K206)</f>
        <v>0</v>
      </c>
      <c r="L206" s="28" t="str">
        <f aca="false">IF(Data!L206="","",IFERROR(VLOOKUP(Data!L206,Codes!$A$34:$B$36,2,FALSE()),"Invalid ("&amp;Data!L206&amp;")"))</f>
        <v>Upsloping</v>
      </c>
      <c r="M206" s="20" t="n">
        <f aca="false">IF(Data!M206="","",Data!M206)</f>
        <v>0</v>
      </c>
      <c r="N206" s="28" t="str">
        <f aca="false">IF(Data!N206="","",IFERROR(VLOOKUP(Data!N206,Codes!$A$47:$B$49,2,FALSE()),"Invalid ("&amp;Data!N206&amp;")"))</f>
        <v>Reversible defect</v>
      </c>
      <c r="O206" s="28" t="str">
        <f aca="false">IF(Data!O206="","",IFERROR(VLOOKUP(Data!O206,Codes!$A$53:$B$57,2,FALSE()),"Invalid ("&amp;Data!O206&amp;")"))</f>
        <v>No disease</v>
      </c>
      <c r="P206" s="22" t="str">
        <f aca="false">IF(Data!P206="","",IFERROR(VLOOKUP(Data!P206,Codes!$A$61:$B$64,2,FALSE()),"Invalid ("&amp;Data!P206&amp;")"))</f>
        <v>Cleveland Clinic</v>
      </c>
    </row>
    <row r="207" customFormat="false" ht="15" hidden="false" customHeight="false" outlineLevel="0" collapsed="false">
      <c r="A207" s="19" t="n">
        <f aca="false">Data!A207</f>
        <v>206</v>
      </c>
      <c r="B207" s="20" t="n">
        <f aca="false">IF(Data!B207="","",Data!B207)</f>
        <v>45</v>
      </c>
      <c r="C207" s="28" t="str">
        <f aca="false">IF(Data!C207="","",IFERROR(VLOOKUP(Data!C207,Codes!$A$6:$B$7,2,FALSE()),"Invalid ("&amp;Data!C207&amp;")"))</f>
        <v>Male</v>
      </c>
      <c r="D207" s="28" t="str">
        <f aca="false">IF(Data!D207="","",IFERROR(VLOOKUP(Data!D207,Codes!$A$11:$B$14,2,FALSE()),"Invalid ("&amp;Data!D207&amp;")"))</f>
        <v>Asymptomatic</v>
      </c>
      <c r="E207" s="20" t="n">
        <f aca="false">IF(Data!E207="","",Data!E207)</f>
        <v>142</v>
      </c>
      <c r="F207" s="20" t="n">
        <f aca="false">IF(Data!F207="","",Data!F207)</f>
        <v>309</v>
      </c>
      <c r="G207" s="28" t="str">
        <f aca="false">IF(Data!G207="","",IFERROR(VLOOKUP(Data!G207,Codes!$A$18:$B$19,2,FALSE()),"Invalid ("&amp;Data!G207&amp;")"))</f>
        <v>No</v>
      </c>
      <c r="H207" s="28" t="str">
        <f aca="false">IF(Data!H207="","",IFERROR(VLOOKUP(Data!H207,Codes!$A$23:$B$25,2,FALSE()),"Invalid ("&amp;Data!H207&amp;")"))</f>
        <v>Left ventricular hypertrophy</v>
      </c>
      <c r="I207" s="20" t="n">
        <f aca="false">IF(Data!I207="","",Data!I207)</f>
        <v>147</v>
      </c>
      <c r="J207" s="28" t="str">
        <f aca="false">IF(Data!J207="","",IFERROR(VLOOKUP(Data!J207,Codes!$A$29:$B$30,2,FALSE()),"Invalid ("&amp;Data!J207&amp;")"))</f>
        <v>Yes</v>
      </c>
      <c r="K207" s="21" t="n">
        <f aca="false">IF(Data!K207="","",Data!K207)</f>
        <v>0</v>
      </c>
      <c r="L207" s="28" t="str">
        <f aca="false">IF(Data!L207="","",IFERROR(VLOOKUP(Data!L207,Codes!$A$34:$B$36,2,FALSE()),"Invalid ("&amp;Data!L207&amp;")"))</f>
        <v>Flat</v>
      </c>
      <c r="M207" s="20" t="n">
        <f aca="false">IF(Data!M207="","",Data!M207)</f>
        <v>3</v>
      </c>
      <c r="N207" s="28" t="str">
        <f aca="false">IF(Data!N207="","",IFERROR(VLOOKUP(Data!N207,Codes!$A$47:$B$49,2,FALSE()),"Invalid ("&amp;Data!N207&amp;")"))</f>
        <v>Reversible defect</v>
      </c>
      <c r="O207" s="28" t="str">
        <f aca="false">IF(Data!O207="","",IFERROR(VLOOKUP(Data!O207,Codes!$A$53:$B$57,2,FALSE()),"Invalid ("&amp;Data!O207&amp;")"))</f>
        <v>Disease (3)</v>
      </c>
      <c r="P207" s="22" t="str">
        <f aca="false">IF(Data!P207="","",IFERROR(VLOOKUP(Data!P207,Codes!$A$61:$B$64,2,FALSE()),"Invalid ("&amp;Data!P207&amp;")"))</f>
        <v>Cleveland Clinic</v>
      </c>
    </row>
    <row r="208" customFormat="false" ht="15" hidden="false" customHeight="false" outlineLevel="0" collapsed="false">
      <c r="A208" s="19" t="n">
        <f aca="false">Data!A208</f>
        <v>207</v>
      </c>
      <c r="B208" s="20" t="n">
        <f aca="false">IF(Data!B208="","",Data!B208)</f>
        <v>58</v>
      </c>
      <c r="C208" s="28" t="str">
        <f aca="false">IF(Data!C208="","",IFERROR(VLOOKUP(Data!C208,Codes!$A$6:$B$7,2,FALSE()),"Invalid ("&amp;Data!C208&amp;")"))</f>
        <v>Male</v>
      </c>
      <c r="D208" s="28" t="str">
        <f aca="false">IF(Data!D208="","",IFERROR(VLOOKUP(Data!D208,Codes!$A$11:$B$14,2,FALSE()),"Invalid ("&amp;Data!D208&amp;")"))</f>
        <v>Asymptomatic</v>
      </c>
      <c r="E208" s="20" t="n">
        <f aca="false">IF(Data!E208="","",Data!E208)</f>
        <v>128</v>
      </c>
      <c r="F208" s="20" t="n">
        <f aca="false">IF(Data!F208="","",Data!F208)</f>
        <v>259</v>
      </c>
      <c r="G208" s="28" t="str">
        <f aca="false">IF(Data!G208="","",IFERROR(VLOOKUP(Data!G208,Codes!$A$18:$B$19,2,FALSE()),"Invalid ("&amp;Data!G208&amp;")"))</f>
        <v>No</v>
      </c>
      <c r="H208" s="28" t="str">
        <f aca="false">IF(Data!H208="","",IFERROR(VLOOKUP(Data!H208,Codes!$A$23:$B$25,2,FALSE()),"Invalid ("&amp;Data!H208&amp;")"))</f>
        <v>Left ventricular hypertrophy</v>
      </c>
      <c r="I208" s="20" t="n">
        <f aca="false">IF(Data!I208="","",Data!I208)</f>
        <v>130</v>
      </c>
      <c r="J208" s="28" t="str">
        <f aca="false">IF(Data!J208="","",IFERROR(VLOOKUP(Data!J208,Codes!$A$29:$B$30,2,FALSE()),"Invalid ("&amp;Data!J208&amp;")"))</f>
        <v>Yes</v>
      </c>
      <c r="K208" s="21" t="n">
        <f aca="false">IF(Data!K208="","",Data!K208)</f>
        <v>3</v>
      </c>
      <c r="L208" s="28" t="str">
        <f aca="false">IF(Data!L208="","",IFERROR(VLOOKUP(Data!L208,Codes!$A$34:$B$36,2,FALSE()),"Invalid ("&amp;Data!L208&amp;")"))</f>
        <v>Flat</v>
      </c>
      <c r="M208" s="20" t="n">
        <f aca="false">IF(Data!M208="","",Data!M208)</f>
        <v>2</v>
      </c>
      <c r="N208" s="28" t="str">
        <f aca="false">IF(Data!N208="","",IFERROR(VLOOKUP(Data!N208,Codes!$A$47:$B$49,2,FALSE()),"Invalid ("&amp;Data!N208&amp;")"))</f>
        <v>Reversible defect</v>
      </c>
      <c r="O208" s="28" t="str">
        <f aca="false">IF(Data!O208="","",IFERROR(VLOOKUP(Data!O208,Codes!$A$53:$B$57,2,FALSE()),"Invalid ("&amp;Data!O208&amp;")"))</f>
        <v>Disease (3)</v>
      </c>
      <c r="P208" s="22" t="str">
        <f aca="false">IF(Data!P208="","",IFERROR(VLOOKUP(Data!P208,Codes!$A$61:$B$64,2,FALSE()),"Invalid ("&amp;Data!P208&amp;")"))</f>
        <v>Cleveland Clinic</v>
      </c>
    </row>
    <row r="209" customFormat="false" ht="15" hidden="false" customHeight="false" outlineLevel="0" collapsed="false">
      <c r="A209" s="19" t="n">
        <f aca="false">Data!A209</f>
        <v>208</v>
      </c>
      <c r="B209" s="20" t="n">
        <f aca="false">IF(Data!B209="","",Data!B209)</f>
        <v>50</v>
      </c>
      <c r="C209" s="28" t="str">
        <f aca="false">IF(Data!C209="","",IFERROR(VLOOKUP(Data!C209,Codes!$A$6:$B$7,2,FALSE()),"Invalid ("&amp;Data!C209&amp;")"))</f>
        <v>Male</v>
      </c>
      <c r="D209" s="28" t="str">
        <f aca="false">IF(Data!D209="","",IFERROR(VLOOKUP(Data!D209,Codes!$A$11:$B$14,2,FALSE()),"Invalid ("&amp;Data!D209&amp;")"))</f>
        <v>Asymptomatic</v>
      </c>
      <c r="E209" s="20" t="n">
        <f aca="false">IF(Data!E209="","",Data!E209)</f>
        <v>144</v>
      </c>
      <c r="F209" s="20" t="n">
        <f aca="false">IF(Data!F209="","",Data!F209)</f>
        <v>200</v>
      </c>
      <c r="G209" s="28" t="str">
        <f aca="false">IF(Data!G209="","",IFERROR(VLOOKUP(Data!G209,Codes!$A$18:$B$19,2,FALSE()),"Invalid ("&amp;Data!G209&amp;")"))</f>
        <v>No</v>
      </c>
      <c r="H209" s="28" t="str">
        <f aca="false">IF(Data!H209="","",IFERROR(VLOOKUP(Data!H209,Codes!$A$23:$B$25,2,FALSE()),"Invalid ("&amp;Data!H209&amp;")"))</f>
        <v>Left ventricular hypertrophy</v>
      </c>
      <c r="I209" s="20" t="n">
        <f aca="false">IF(Data!I209="","",Data!I209)</f>
        <v>126</v>
      </c>
      <c r="J209" s="28" t="str">
        <f aca="false">IF(Data!J209="","",IFERROR(VLOOKUP(Data!J209,Codes!$A$29:$B$30,2,FALSE()),"Invalid ("&amp;Data!J209&amp;")"))</f>
        <v>Yes</v>
      </c>
      <c r="K209" s="21" t="n">
        <f aca="false">IF(Data!K209="","",Data!K209)</f>
        <v>0.9</v>
      </c>
      <c r="L209" s="28" t="str">
        <f aca="false">IF(Data!L209="","",IFERROR(VLOOKUP(Data!L209,Codes!$A$34:$B$36,2,FALSE()),"Invalid ("&amp;Data!L209&amp;")"))</f>
        <v>Flat</v>
      </c>
      <c r="M209" s="20" t="n">
        <f aca="false">IF(Data!M209="","",Data!M209)</f>
        <v>0</v>
      </c>
      <c r="N209" s="28" t="str">
        <f aca="false">IF(Data!N209="","",IFERROR(VLOOKUP(Data!N209,Codes!$A$47:$B$49,2,FALSE()),"Invalid ("&amp;Data!N209&amp;")"))</f>
        <v>Reversible defect</v>
      </c>
      <c r="O209" s="28" t="str">
        <f aca="false">IF(Data!O209="","",IFERROR(VLOOKUP(Data!O209,Codes!$A$53:$B$57,2,FALSE()),"Invalid ("&amp;Data!O209&amp;")"))</f>
        <v>Disease (3)</v>
      </c>
      <c r="P209" s="22" t="str">
        <f aca="false">IF(Data!P209="","",IFERROR(VLOOKUP(Data!P209,Codes!$A$61:$B$64,2,FALSE()),"Invalid ("&amp;Data!P209&amp;")"))</f>
        <v>Cleveland Clinic</v>
      </c>
    </row>
    <row r="210" customFormat="false" ht="15" hidden="false" customHeight="false" outlineLevel="0" collapsed="false">
      <c r="A210" s="19" t="n">
        <f aca="false">Data!A210</f>
        <v>209</v>
      </c>
      <c r="B210" s="20" t="n">
        <f aca="false">IF(Data!B210="","",Data!B210)</f>
        <v>55</v>
      </c>
      <c r="C210" s="28" t="str">
        <f aca="false">IF(Data!C210="","",IFERROR(VLOOKUP(Data!C210,Codes!$A$6:$B$7,2,FALSE()),"Invalid ("&amp;Data!C210&amp;")"))</f>
        <v>Male</v>
      </c>
      <c r="D210" s="28" t="str">
        <f aca="false">IF(Data!D210="","",IFERROR(VLOOKUP(Data!D210,Codes!$A$11:$B$14,2,FALSE()),"Invalid ("&amp;Data!D210&amp;")"))</f>
        <v>Atypical angina</v>
      </c>
      <c r="E210" s="20" t="n">
        <f aca="false">IF(Data!E210="","",Data!E210)</f>
        <v>130</v>
      </c>
      <c r="F210" s="20" t="n">
        <f aca="false">IF(Data!F210="","",Data!F210)</f>
        <v>262</v>
      </c>
      <c r="G210" s="28" t="str">
        <f aca="false">IF(Data!G210="","",IFERROR(VLOOKUP(Data!G210,Codes!$A$18:$B$19,2,FALSE()),"Invalid ("&amp;Data!G210&amp;")"))</f>
        <v>No</v>
      </c>
      <c r="H210" s="28" t="str">
        <f aca="false">IF(Data!H210="","",IFERROR(VLOOKUP(Data!H210,Codes!$A$23:$B$25,2,FALSE()),"Invalid ("&amp;Data!H210&amp;")"))</f>
        <v>Normal</v>
      </c>
      <c r="I210" s="20" t="n">
        <f aca="false">IF(Data!I210="","",Data!I210)</f>
        <v>155</v>
      </c>
      <c r="J210" s="28" t="str">
        <f aca="false">IF(Data!J210="","",IFERROR(VLOOKUP(Data!J210,Codes!$A$29:$B$30,2,FALSE()),"Invalid ("&amp;Data!J210&amp;")"))</f>
        <v>No</v>
      </c>
      <c r="K210" s="21" t="n">
        <f aca="false">IF(Data!K210="","",Data!K210)</f>
        <v>0</v>
      </c>
      <c r="L210" s="28" t="str">
        <f aca="false">IF(Data!L210="","",IFERROR(VLOOKUP(Data!L210,Codes!$A$34:$B$36,2,FALSE()),"Invalid ("&amp;Data!L210&amp;")"))</f>
        <v>Upsloping</v>
      </c>
      <c r="M210" s="20" t="n">
        <f aca="false">IF(Data!M210="","",Data!M210)</f>
        <v>0</v>
      </c>
      <c r="N210" s="28" t="str">
        <f aca="false">IF(Data!N210="","",IFERROR(VLOOKUP(Data!N210,Codes!$A$47:$B$49,2,FALSE()),"Invalid ("&amp;Data!N210&amp;")"))</f>
        <v>Normal</v>
      </c>
      <c r="O210" s="28" t="str">
        <f aca="false">IF(Data!O210="","",IFERROR(VLOOKUP(Data!O210,Codes!$A$53:$B$57,2,FALSE()),"Invalid ("&amp;Data!O210&amp;")"))</f>
        <v>No disease</v>
      </c>
      <c r="P210" s="22" t="str">
        <f aca="false">IF(Data!P210="","",IFERROR(VLOOKUP(Data!P210,Codes!$A$61:$B$64,2,FALSE()),"Invalid ("&amp;Data!P210&amp;")"))</f>
        <v>Cleveland Clinic</v>
      </c>
    </row>
    <row r="211" customFormat="false" ht="15" hidden="false" customHeight="false" outlineLevel="0" collapsed="false">
      <c r="A211" s="19" t="n">
        <f aca="false">Data!A211</f>
        <v>210</v>
      </c>
      <c r="B211" s="20" t="n">
        <f aca="false">IF(Data!B211="","",Data!B211)</f>
        <v>62</v>
      </c>
      <c r="C211" s="28" t="str">
        <f aca="false">IF(Data!C211="","",IFERROR(VLOOKUP(Data!C211,Codes!$A$6:$B$7,2,FALSE()),"Invalid ("&amp;Data!C211&amp;")"))</f>
        <v>Female</v>
      </c>
      <c r="D211" s="28" t="str">
        <f aca="false">IF(Data!D211="","",IFERROR(VLOOKUP(Data!D211,Codes!$A$11:$B$14,2,FALSE()),"Invalid ("&amp;Data!D211&amp;")"))</f>
        <v>Asymptomatic</v>
      </c>
      <c r="E211" s="20" t="n">
        <f aca="false">IF(Data!E211="","",Data!E211)</f>
        <v>150</v>
      </c>
      <c r="F211" s="20" t="n">
        <f aca="false">IF(Data!F211="","",Data!F211)</f>
        <v>244</v>
      </c>
      <c r="G211" s="28" t="str">
        <f aca="false">IF(Data!G211="","",IFERROR(VLOOKUP(Data!G211,Codes!$A$18:$B$19,2,FALSE()),"Invalid ("&amp;Data!G211&amp;")"))</f>
        <v>No</v>
      </c>
      <c r="H211" s="28" t="str">
        <f aca="false">IF(Data!H211="","",IFERROR(VLOOKUP(Data!H211,Codes!$A$23:$B$25,2,FALSE()),"Invalid ("&amp;Data!H211&amp;")"))</f>
        <v>Normal</v>
      </c>
      <c r="I211" s="20" t="n">
        <f aca="false">IF(Data!I211="","",Data!I211)</f>
        <v>154</v>
      </c>
      <c r="J211" s="28" t="str">
        <f aca="false">IF(Data!J211="","",IFERROR(VLOOKUP(Data!J211,Codes!$A$29:$B$30,2,FALSE()),"Invalid ("&amp;Data!J211&amp;")"))</f>
        <v>Yes</v>
      </c>
      <c r="K211" s="21" t="n">
        <f aca="false">IF(Data!K211="","",Data!K211)</f>
        <v>1.4</v>
      </c>
      <c r="L211" s="28" t="str">
        <f aca="false">IF(Data!L211="","",IFERROR(VLOOKUP(Data!L211,Codes!$A$34:$B$36,2,FALSE()),"Invalid ("&amp;Data!L211&amp;")"))</f>
        <v>Flat</v>
      </c>
      <c r="M211" s="20" t="n">
        <f aca="false">IF(Data!M211="","",Data!M211)</f>
        <v>0</v>
      </c>
      <c r="N211" s="28" t="str">
        <f aca="false">IF(Data!N211="","",IFERROR(VLOOKUP(Data!N211,Codes!$A$47:$B$49,2,FALSE()),"Invalid ("&amp;Data!N211&amp;")"))</f>
        <v>Normal</v>
      </c>
      <c r="O211" s="28" t="str">
        <f aca="false">IF(Data!O211="","",IFERROR(VLOOKUP(Data!O211,Codes!$A$53:$B$57,2,FALSE()),"Invalid ("&amp;Data!O211&amp;")"))</f>
        <v>Disease (1)</v>
      </c>
      <c r="P211" s="22" t="str">
        <f aca="false">IF(Data!P211="","",IFERROR(VLOOKUP(Data!P211,Codes!$A$61:$B$64,2,FALSE()),"Invalid ("&amp;Data!P211&amp;")"))</f>
        <v>Cleveland Clinic</v>
      </c>
    </row>
    <row r="212" customFormat="false" ht="15" hidden="false" customHeight="false" outlineLevel="0" collapsed="false">
      <c r="A212" s="19" t="n">
        <f aca="false">Data!A212</f>
        <v>211</v>
      </c>
      <c r="B212" s="20" t="n">
        <f aca="false">IF(Data!B212="","",Data!B212)</f>
        <v>37</v>
      </c>
      <c r="C212" s="28" t="str">
        <f aca="false">IF(Data!C212="","",IFERROR(VLOOKUP(Data!C212,Codes!$A$6:$B$7,2,FALSE()),"Invalid ("&amp;Data!C212&amp;")"))</f>
        <v>Female</v>
      </c>
      <c r="D212" s="28" t="str">
        <f aca="false">IF(Data!D212="","",IFERROR(VLOOKUP(Data!D212,Codes!$A$11:$B$14,2,FALSE()),"Invalid ("&amp;Data!D212&amp;")"))</f>
        <v>Non-anginal pain</v>
      </c>
      <c r="E212" s="20" t="n">
        <f aca="false">IF(Data!E212="","",Data!E212)</f>
        <v>120</v>
      </c>
      <c r="F212" s="20" t="n">
        <f aca="false">IF(Data!F212="","",Data!F212)</f>
        <v>215</v>
      </c>
      <c r="G212" s="28" t="str">
        <f aca="false">IF(Data!G212="","",IFERROR(VLOOKUP(Data!G212,Codes!$A$18:$B$19,2,FALSE()),"Invalid ("&amp;Data!G212&amp;")"))</f>
        <v>No</v>
      </c>
      <c r="H212" s="28" t="str">
        <f aca="false">IF(Data!H212="","",IFERROR(VLOOKUP(Data!H212,Codes!$A$23:$B$25,2,FALSE()),"Invalid ("&amp;Data!H212&amp;")"))</f>
        <v>Normal</v>
      </c>
      <c r="I212" s="20" t="n">
        <f aca="false">IF(Data!I212="","",Data!I212)</f>
        <v>170</v>
      </c>
      <c r="J212" s="28" t="str">
        <f aca="false">IF(Data!J212="","",IFERROR(VLOOKUP(Data!J212,Codes!$A$29:$B$30,2,FALSE()),"Invalid ("&amp;Data!J212&amp;")"))</f>
        <v>No</v>
      </c>
      <c r="K212" s="21" t="n">
        <f aca="false">IF(Data!K212="","",Data!K212)</f>
        <v>0</v>
      </c>
      <c r="L212" s="28" t="str">
        <f aca="false">IF(Data!L212="","",IFERROR(VLOOKUP(Data!L212,Codes!$A$34:$B$36,2,FALSE()),"Invalid ("&amp;Data!L212&amp;")"))</f>
        <v>Upsloping</v>
      </c>
      <c r="M212" s="20" t="n">
        <f aca="false">IF(Data!M212="","",Data!M212)</f>
        <v>0</v>
      </c>
      <c r="N212" s="28" t="str">
        <f aca="false">IF(Data!N212="","",IFERROR(VLOOKUP(Data!N212,Codes!$A$47:$B$49,2,FALSE()),"Invalid ("&amp;Data!N212&amp;")"))</f>
        <v>Normal</v>
      </c>
      <c r="O212" s="28" t="str">
        <f aca="false">IF(Data!O212="","",IFERROR(VLOOKUP(Data!O212,Codes!$A$53:$B$57,2,FALSE()),"Invalid ("&amp;Data!O212&amp;")"))</f>
        <v>No disease</v>
      </c>
      <c r="P212" s="22" t="str">
        <f aca="false">IF(Data!P212="","",IFERROR(VLOOKUP(Data!P212,Codes!$A$61:$B$64,2,FALSE()),"Invalid ("&amp;Data!P212&amp;")"))</f>
        <v>Cleveland Clinic</v>
      </c>
    </row>
    <row r="213" customFormat="false" ht="15" hidden="false" customHeight="false" outlineLevel="0" collapsed="false">
      <c r="A213" s="19" t="n">
        <f aca="false">Data!A213</f>
        <v>212</v>
      </c>
      <c r="B213" s="20" t="n">
        <f aca="false">IF(Data!B213="","",Data!B213)</f>
        <v>38</v>
      </c>
      <c r="C213" s="28" t="str">
        <f aca="false">IF(Data!C213="","",IFERROR(VLOOKUP(Data!C213,Codes!$A$6:$B$7,2,FALSE()),"Invalid ("&amp;Data!C213&amp;")"))</f>
        <v>Male</v>
      </c>
      <c r="D213" s="28" t="str">
        <f aca="false">IF(Data!D213="","",IFERROR(VLOOKUP(Data!D213,Codes!$A$11:$B$14,2,FALSE()),"Invalid ("&amp;Data!D213&amp;")"))</f>
        <v>Typical angina</v>
      </c>
      <c r="E213" s="20" t="n">
        <f aca="false">IF(Data!E213="","",Data!E213)</f>
        <v>120</v>
      </c>
      <c r="F213" s="20" t="n">
        <f aca="false">IF(Data!F213="","",Data!F213)</f>
        <v>231</v>
      </c>
      <c r="G213" s="28" t="str">
        <f aca="false">IF(Data!G213="","",IFERROR(VLOOKUP(Data!G213,Codes!$A$18:$B$19,2,FALSE()),"Invalid ("&amp;Data!G213&amp;")"))</f>
        <v>No</v>
      </c>
      <c r="H213" s="28" t="str">
        <f aca="false">IF(Data!H213="","",IFERROR(VLOOKUP(Data!H213,Codes!$A$23:$B$25,2,FALSE()),"Invalid ("&amp;Data!H213&amp;")"))</f>
        <v>Normal</v>
      </c>
      <c r="I213" s="20" t="n">
        <f aca="false">IF(Data!I213="","",Data!I213)</f>
        <v>182</v>
      </c>
      <c r="J213" s="28" t="str">
        <f aca="false">IF(Data!J213="","",IFERROR(VLOOKUP(Data!J213,Codes!$A$29:$B$30,2,FALSE()),"Invalid ("&amp;Data!J213&amp;")"))</f>
        <v>Yes</v>
      </c>
      <c r="K213" s="21" t="n">
        <f aca="false">IF(Data!K213="","",Data!K213)</f>
        <v>3.8</v>
      </c>
      <c r="L213" s="28" t="str">
        <f aca="false">IF(Data!L213="","",IFERROR(VLOOKUP(Data!L213,Codes!$A$34:$B$36,2,FALSE()),"Invalid ("&amp;Data!L213&amp;")"))</f>
        <v>Flat</v>
      </c>
      <c r="M213" s="20" t="n">
        <f aca="false">IF(Data!M213="","",Data!M213)</f>
        <v>0</v>
      </c>
      <c r="N213" s="28" t="str">
        <f aca="false">IF(Data!N213="","",IFERROR(VLOOKUP(Data!N213,Codes!$A$47:$B$49,2,FALSE()),"Invalid ("&amp;Data!N213&amp;")"))</f>
        <v>Reversible defect</v>
      </c>
      <c r="O213" s="28" t="str">
        <f aca="false">IF(Data!O213="","",IFERROR(VLOOKUP(Data!O213,Codes!$A$53:$B$57,2,FALSE()),"Invalid ("&amp;Data!O213&amp;")"))</f>
        <v>Disease (4)</v>
      </c>
      <c r="P213" s="22" t="str">
        <f aca="false">IF(Data!P213="","",IFERROR(VLOOKUP(Data!P213,Codes!$A$61:$B$64,2,FALSE()),"Invalid ("&amp;Data!P213&amp;")"))</f>
        <v>Cleveland Clinic</v>
      </c>
    </row>
    <row r="214" customFormat="false" ht="15" hidden="false" customHeight="false" outlineLevel="0" collapsed="false">
      <c r="A214" s="19" t="n">
        <f aca="false">Data!A214</f>
        <v>213</v>
      </c>
      <c r="B214" s="20" t="n">
        <f aca="false">IF(Data!B214="","",Data!B214)</f>
        <v>41</v>
      </c>
      <c r="C214" s="28" t="str">
        <f aca="false">IF(Data!C214="","",IFERROR(VLOOKUP(Data!C214,Codes!$A$6:$B$7,2,FALSE()),"Invalid ("&amp;Data!C214&amp;")"))</f>
        <v>Male</v>
      </c>
      <c r="D214" s="28" t="str">
        <f aca="false">IF(Data!D214="","",IFERROR(VLOOKUP(Data!D214,Codes!$A$11:$B$14,2,FALSE()),"Invalid ("&amp;Data!D214&amp;")"))</f>
        <v>Non-anginal pain</v>
      </c>
      <c r="E214" s="20" t="n">
        <f aca="false">IF(Data!E214="","",Data!E214)</f>
        <v>130</v>
      </c>
      <c r="F214" s="20" t="n">
        <f aca="false">IF(Data!F214="","",Data!F214)</f>
        <v>214</v>
      </c>
      <c r="G214" s="28" t="str">
        <f aca="false">IF(Data!G214="","",IFERROR(VLOOKUP(Data!G214,Codes!$A$18:$B$19,2,FALSE()),"Invalid ("&amp;Data!G214&amp;")"))</f>
        <v>No</v>
      </c>
      <c r="H214" s="28" t="str">
        <f aca="false">IF(Data!H214="","",IFERROR(VLOOKUP(Data!H214,Codes!$A$23:$B$25,2,FALSE()),"Invalid ("&amp;Data!H214&amp;")"))</f>
        <v>Left ventricular hypertrophy</v>
      </c>
      <c r="I214" s="20" t="n">
        <f aca="false">IF(Data!I214="","",Data!I214)</f>
        <v>168</v>
      </c>
      <c r="J214" s="28" t="str">
        <f aca="false">IF(Data!J214="","",IFERROR(VLOOKUP(Data!J214,Codes!$A$29:$B$30,2,FALSE()),"Invalid ("&amp;Data!J214&amp;")"))</f>
        <v>No</v>
      </c>
      <c r="K214" s="21" t="n">
        <f aca="false">IF(Data!K214="","",Data!K214)</f>
        <v>2</v>
      </c>
      <c r="L214" s="28" t="str">
        <f aca="false">IF(Data!L214="","",IFERROR(VLOOKUP(Data!L214,Codes!$A$34:$B$36,2,FALSE()),"Invalid ("&amp;Data!L214&amp;")"))</f>
        <v>Flat</v>
      </c>
      <c r="M214" s="20" t="n">
        <f aca="false">IF(Data!M214="","",Data!M214)</f>
        <v>0</v>
      </c>
      <c r="N214" s="28" t="str">
        <f aca="false">IF(Data!N214="","",IFERROR(VLOOKUP(Data!N214,Codes!$A$47:$B$49,2,FALSE()),"Invalid ("&amp;Data!N214&amp;")"))</f>
        <v>Normal</v>
      </c>
      <c r="O214" s="28" t="str">
        <f aca="false">IF(Data!O214="","",IFERROR(VLOOKUP(Data!O214,Codes!$A$53:$B$57,2,FALSE()),"Invalid ("&amp;Data!O214&amp;")"))</f>
        <v>No disease</v>
      </c>
      <c r="P214" s="22" t="str">
        <f aca="false">IF(Data!P214="","",IFERROR(VLOOKUP(Data!P214,Codes!$A$61:$B$64,2,FALSE()),"Invalid ("&amp;Data!P214&amp;")"))</f>
        <v>Cleveland Clinic</v>
      </c>
    </row>
    <row r="215" customFormat="false" ht="15" hidden="false" customHeight="false" outlineLevel="0" collapsed="false">
      <c r="A215" s="19" t="n">
        <f aca="false">Data!A215</f>
        <v>214</v>
      </c>
      <c r="B215" s="20" t="n">
        <f aca="false">IF(Data!B215="","",Data!B215)</f>
        <v>66</v>
      </c>
      <c r="C215" s="28" t="str">
        <f aca="false">IF(Data!C215="","",IFERROR(VLOOKUP(Data!C215,Codes!$A$6:$B$7,2,FALSE()),"Invalid ("&amp;Data!C215&amp;")"))</f>
        <v>Female</v>
      </c>
      <c r="D215" s="28" t="str">
        <f aca="false">IF(Data!D215="","",IFERROR(VLOOKUP(Data!D215,Codes!$A$11:$B$14,2,FALSE()),"Invalid ("&amp;Data!D215&amp;")"))</f>
        <v>Asymptomatic</v>
      </c>
      <c r="E215" s="20" t="n">
        <f aca="false">IF(Data!E215="","",Data!E215)</f>
        <v>178</v>
      </c>
      <c r="F215" s="20" t="n">
        <f aca="false">IF(Data!F215="","",Data!F215)</f>
        <v>228</v>
      </c>
      <c r="G215" s="28" t="str">
        <f aca="false">IF(Data!G215="","",IFERROR(VLOOKUP(Data!G215,Codes!$A$18:$B$19,2,FALSE()),"Invalid ("&amp;Data!G215&amp;")"))</f>
        <v>Yes</v>
      </c>
      <c r="H215" s="28" t="str">
        <f aca="false">IF(Data!H215="","",IFERROR(VLOOKUP(Data!H215,Codes!$A$23:$B$25,2,FALSE()),"Invalid ("&amp;Data!H215&amp;")"))</f>
        <v>Normal</v>
      </c>
      <c r="I215" s="20" t="n">
        <f aca="false">IF(Data!I215="","",Data!I215)</f>
        <v>165</v>
      </c>
      <c r="J215" s="28" t="str">
        <f aca="false">IF(Data!J215="","",IFERROR(VLOOKUP(Data!J215,Codes!$A$29:$B$30,2,FALSE()),"Invalid ("&amp;Data!J215&amp;")"))</f>
        <v>Yes</v>
      </c>
      <c r="K215" s="21" t="n">
        <f aca="false">IF(Data!K215="","",Data!K215)</f>
        <v>1</v>
      </c>
      <c r="L215" s="28" t="str">
        <f aca="false">IF(Data!L215="","",IFERROR(VLOOKUP(Data!L215,Codes!$A$34:$B$36,2,FALSE()),"Invalid ("&amp;Data!L215&amp;")"))</f>
        <v>Flat</v>
      </c>
      <c r="M215" s="20" t="n">
        <f aca="false">IF(Data!M215="","",Data!M215)</f>
        <v>2</v>
      </c>
      <c r="N215" s="28" t="str">
        <f aca="false">IF(Data!N215="","",IFERROR(VLOOKUP(Data!N215,Codes!$A$47:$B$49,2,FALSE()),"Invalid ("&amp;Data!N215&amp;")"))</f>
        <v>Reversible defect</v>
      </c>
      <c r="O215" s="28" t="str">
        <f aca="false">IF(Data!O215="","",IFERROR(VLOOKUP(Data!O215,Codes!$A$53:$B$57,2,FALSE()),"Invalid ("&amp;Data!O215&amp;")"))</f>
        <v>Disease (3)</v>
      </c>
      <c r="P215" s="22" t="str">
        <f aca="false">IF(Data!P215="","",IFERROR(VLOOKUP(Data!P215,Codes!$A$61:$B$64,2,FALSE()),"Invalid ("&amp;Data!P215&amp;")"))</f>
        <v>Cleveland Clinic</v>
      </c>
    </row>
    <row r="216" customFormat="false" ht="15" hidden="false" customHeight="false" outlineLevel="0" collapsed="false">
      <c r="A216" s="19" t="n">
        <f aca="false">Data!A216</f>
        <v>215</v>
      </c>
      <c r="B216" s="20" t="n">
        <f aca="false">IF(Data!B216="","",Data!B216)</f>
        <v>52</v>
      </c>
      <c r="C216" s="28" t="str">
        <f aca="false">IF(Data!C216="","",IFERROR(VLOOKUP(Data!C216,Codes!$A$6:$B$7,2,FALSE()),"Invalid ("&amp;Data!C216&amp;")"))</f>
        <v>Male</v>
      </c>
      <c r="D216" s="28" t="str">
        <f aca="false">IF(Data!D216="","",IFERROR(VLOOKUP(Data!D216,Codes!$A$11:$B$14,2,FALSE()),"Invalid ("&amp;Data!D216&amp;")"))</f>
        <v>Asymptomatic</v>
      </c>
      <c r="E216" s="20" t="n">
        <f aca="false">IF(Data!E216="","",Data!E216)</f>
        <v>112</v>
      </c>
      <c r="F216" s="20" t="n">
        <f aca="false">IF(Data!F216="","",Data!F216)</f>
        <v>230</v>
      </c>
      <c r="G216" s="28" t="str">
        <f aca="false">IF(Data!G216="","",IFERROR(VLOOKUP(Data!G216,Codes!$A$18:$B$19,2,FALSE()),"Invalid ("&amp;Data!G216&amp;")"))</f>
        <v>No</v>
      </c>
      <c r="H216" s="28" t="str">
        <f aca="false">IF(Data!H216="","",IFERROR(VLOOKUP(Data!H216,Codes!$A$23:$B$25,2,FALSE()),"Invalid ("&amp;Data!H216&amp;")"))</f>
        <v>Normal</v>
      </c>
      <c r="I216" s="20" t="n">
        <f aca="false">IF(Data!I216="","",Data!I216)</f>
        <v>160</v>
      </c>
      <c r="J216" s="28" t="str">
        <f aca="false">IF(Data!J216="","",IFERROR(VLOOKUP(Data!J216,Codes!$A$29:$B$30,2,FALSE()),"Invalid ("&amp;Data!J216&amp;")"))</f>
        <v>No</v>
      </c>
      <c r="K216" s="21" t="n">
        <f aca="false">IF(Data!K216="","",Data!K216)</f>
        <v>0</v>
      </c>
      <c r="L216" s="28" t="str">
        <f aca="false">IF(Data!L216="","",IFERROR(VLOOKUP(Data!L216,Codes!$A$34:$B$36,2,FALSE()),"Invalid ("&amp;Data!L216&amp;")"))</f>
        <v>Upsloping</v>
      </c>
      <c r="M216" s="20" t="n">
        <f aca="false">IF(Data!M216="","",Data!M216)</f>
        <v>1</v>
      </c>
      <c r="N216" s="28" t="str">
        <f aca="false">IF(Data!N216="","",IFERROR(VLOOKUP(Data!N216,Codes!$A$47:$B$49,2,FALSE()),"Invalid ("&amp;Data!N216&amp;")"))</f>
        <v>Normal</v>
      </c>
      <c r="O216" s="28" t="str">
        <f aca="false">IF(Data!O216="","",IFERROR(VLOOKUP(Data!O216,Codes!$A$53:$B$57,2,FALSE()),"Invalid ("&amp;Data!O216&amp;")"))</f>
        <v>Disease (1)</v>
      </c>
      <c r="P216" s="22" t="str">
        <f aca="false">IF(Data!P216="","",IFERROR(VLOOKUP(Data!P216,Codes!$A$61:$B$64,2,FALSE()),"Invalid ("&amp;Data!P216&amp;")"))</f>
        <v>Cleveland Clinic</v>
      </c>
    </row>
    <row r="217" customFormat="false" ht="15" hidden="false" customHeight="false" outlineLevel="0" collapsed="false">
      <c r="A217" s="19" t="n">
        <f aca="false">Data!A217</f>
        <v>216</v>
      </c>
      <c r="B217" s="20" t="n">
        <f aca="false">IF(Data!B217="","",Data!B217)</f>
        <v>56</v>
      </c>
      <c r="C217" s="28" t="str">
        <f aca="false">IF(Data!C217="","",IFERROR(VLOOKUP(Data!C217,Codes!$A$6:$B$7,2,FALSE()),"Invalid ("&amp;Data!C217&amp;")"))</f>
        <v>Male</v>
      </c>
      <c r="D217" s="28" t="str">
        <f aca="false">IF(Data!D217="","",IFERROR(VLOOKUP(Data!D217,Codes!$A$11:$B$14,2,FALSE()),"Invalid ("&amp;Data!D217&amp;")"))</f>
        <v>Typical angina</v>
      </c>
      <c r="E217" s="20" t="n">
        <f aca="false">IF(Data!E217="","",Data!E217)</f>
        <v>120</v>
      </c>
      <c r="F217" s="20" t="n">
        <f aca="false">IF(Data!F217="","",Data!F217)</f>
        <v>193</v>
      </c>
      <c r="G217" s="28" t="str">
        <f aca="false">IF(Data!G217="","",IFERROR(VLOOKUP(Data!G217,Codes!$A$18:$B$19,2,FALSE()),"Invalid ("&amp;Data!G217&amp;")"))</f>
        <v>No</v>
      </c>
      <c r="H217" s="28" t="str">
        <f aca="false">IF(Data!H217="","",IFERROR(VLOOKUP(Data!H217,Codes!$A$23:$B$25,2,FALSE()),"Invalid ("&amp;Data!H217&amp;")"))</f>
        <v>Left ventricular hypertrophy</v>
      </c>
      <c r="I217" s="20" t="n">
        <f aca="false">IF(Data!I217="","",Data!I217)</f>
        <v>162</v>
      </c>
      <c r="J217" s="28" t="str">
        <f aca="false">IF(Data!J217="","",IFERROR(VLOOKUP(Data!J217,Codes!$A$29:$B$30,2,FALSE()),"Invalid ("&amp;Data!J217&amp;")"))</f>
        <v>No</v>
      </c>
      <c r="K217" s="21" t="n">
        <f aca="false">IF(Data!K217="","",Data!K217)</f>
        <v>1.9</v>
      </c>
      <c r="L217" s="28" t="str">
        <f aca="false">IF(Data!L217="","",IFERROR(VLOOKUP(Data!L217,Codes!$A$34:$B$36,2,FALSE()),"Invalid ("&amp;Data!L217&amp;")"))</f>
        <v>Flat</v>
      </c>
      <c r="M217" s="20" t="n">
        <f aca="false">IF(Data!M217="","",Data!M217)</f>
        <v>0</v>
      </c>
      <c r="N217" s="28" t="str">
        <f aca="false">IF(Data!N217="","",IFERROR(VLOOKUP(Data!N217,Codes!$A$47:$B$49,2,FALSE()),"Invalid ("&amp;Data!N217&amp;")"))</f>
        <v>Reversible defect</v>
      </c>
      <c r="O217" s="28" t="str">
        <f aca="false">IF(Data!O217="","",IFERROR(VLOOKUP(Data!O217,Codes!$A$53:$B$57,2,FALSE()),"Invalid ("&amp;Data!O217&amp;")"))</f>
        <v>No disease</v>
      </c>
      <c r="P217" s="22" t="str">
        <f aca="false">IF(Data!P217="","",IFERROR(VLOOKUP(Data!P217,Codes!$A$61:$B$64,2,FALSE()),"Invalid ("&amp;Data!P217&amp;")"))</f>
        <v>Cleveland Clinic</v>
      </c>
    </row>
    <row r="218" customFormat="false" ht="15" hidden="false" customHeight="false" outlineLevel="0" collapsed="false">
      <c r="A218" s="19" t="n">
        <f aca="false">Data!A218</f>
        <v>217</v>
      </c>
      <c r="B218" s="20" t="n">
        <f aca="false">IF(Data!B218="","",Data!B218)</f>
        <v>46</v>
      </c>
      <c r="C218" s="28" t="str">
        <f aca="false">IF(Data!C218="","",IFERROR(VLOOKUP(Data!C218,Codes!$A$6:$B$7,2,FALSE()),"Invalid ("&amp;Data!C218&amp;")"))</f>
        <v>Female</v>
      </c>
      <c r="D218" s="28" t="str">
        <f aca="false">IF(Data!D218="","",IFERROR(VLOOKUP(Data!D218,Codes!$A$11:$B$14,2,FALSE()),"Invalid ("&amp;Data!D218&amp;")"))</f>
        <v>Atypical angina</v>
      </c>
      <c r="E218" s="20" t="n">
        <f aca="false">IF(Data!E218="","",Data!E218)</f>
        <v>105</v>
      </c>
      <c r="F218" s="20" t="n">
        <f aca="false">IF(Data!F218="","",Data!F218)</f>
        <v>204</v>
      </c>
      <c r="G218" s="28" t="str">
        <f aca="false">IF(Data!G218="","",IFERROR(VLOOKUP(Data!G218,Codes!$A$18:$B$19,2,FALSE()),"Invalid ("&amp;Data!G218&amp;")"))</f>
        <v>No</v>
      </c>
      <c r="H218" s="28" t="str">
        <f aca="false">IF(Data!H218="","",IFERROR(VLOOKUP(Data!H218,Codes!$A$23:$B$25,2,FALSE()),"Invalid ("&amp;Data!H218&amp;")"))</f>
        <v>Normal</v>
      </c>
      <c r="I218" s="20" t="n">
        <f aca="false">IF(Data!I218="","",Data!I218)</f>
        <v>172</v>
      </c>
      <c r="J218" s="28" t="str">
        <f aca="false">IF(Data!J218="","",IFERROR(VLOOKUP(Data!J218,Codes!$A$29:$B$30,2,FALSE()),"Invalid ("&amp;Data!J218&amp;")"))</f>
        <v>No</v>
      </c>
      <c r="K218" s="21" t="n">
        <f aca="false">IF(Data!K218="","",Data!K218)</f>
        <v>0</v>
      </c>
      <c r="L218" s="28" t="str">
        <f aca="false">IF(Data!L218="","",IFERROR(VLOOKUP(Data!L218,Codes!$A$34:$B$36,2,FALSE()),"Invalid ("&amp;Data!L218&amp;")"))</f>
        <v>Upsloping</v>
      </c>
      <c r="M218" s="20" t="n">
        <f aca="false">IF(Data!M218="","",Data!M218)</f>
        <v>0</v>
      </c>
      <c r="N218" s="28" t="str">
        <f aca="false">IF(Data!N218="","",IFERROR(VLOOKUP(Data!N218,Codes!$A$47:$B$49,2,FALSE()),"Invalid ("&amp;Data!N218&amp;")"))</f>
        <v>Normal</v>
      </c>
      <c r="O218" s="28" t="str">
        <f aca="false">IF(Data!O218="","",IFERROR(VLOOKUP(Data!O218,Codes!$A$53:$B$57,2,FALSE()),"Invalid ("&amp;Data!O218&amp;")"))</f>
        <v>No disease</v>
      </c>
      <c r="P218" s="22" t="str">
        <f aca="false">IF(Data!P218="","",IFERROR(VLOOKUP(Data!P218,Codes!$A$61:$B$64,2,FALSE()),"Invalid ("&amp;Data!P218&amp;")"))</f>
        <v>Cleveland Clinic</v>
      </c>
    </row>
    <row r="219" customFormat="false" ht="15" hidden="false" customHeight="false" outlineLevel="0" collapsed="false">
      <c r="A219" s="19" t="n">
        <f aca="false">Data!A219</f>
        <v>218</v>
      </c>
      <c r="B219" s="20" t="n">
        <f aca="false">IF(Data!B219="","",Data!B219)</f>
        <v>46</v>
      </c>
      <c r="C219" s="28" t="str">
        <f aca="false">IF(Data!C219="","",IFERROR(VLOOKUP(Data!C219,Codes!$A$6:$B$7,2,FALSE()),"Invalid ("&amp;Data!C219&amp;")"))</f>
        <v>Female</v>
      </c>
      <c r="D219" s="28" t="str">
        <f aca="false">IF(Data!D219="","",IFERROR(VLOOKUP(Data!D219,Codes!$A$11:$B$14,2,FALSE()),"Invalid ("&amp;Data!D219&amp;")"))</f>
        <v>Asymptomatic</v>
      </c>
      <c r="E219" s="20" t="n">
        <f aca="false">IF(Data!E219="","",Data!E219)</f>
        <v>138</v>
      </c>
      <c r="F219" s="20" t="n">
        <f aca="false">IF(Data!F219="","",Data!F219)</f>
        <v>243</v>
      </c>
      <c r="G219" s="28" t="str">
        <f aca="false">IF(Data!G219="","",IFERROR(VLOOKUP(Data!G219,Codes!$A$18:$B$19,2,FALSE()),"Invalid ("&amp;Data!G219&amp;")"))</f>
        <v>No</v>
      </c>
      <c r="H219" s="28" t="str">
        <f aca="false">IF(Data!H219="","",IFERROR(VLOOKUP(Data!H219,Codes!$A$23:$B$25,2,FALSE()),"Invalid ("&amp;Data!H219&amp;")"))</f>
        <v>Left ventricular hypertrophy</v>
      </c>
      <c r="I219" s="20" t="n">
        <f aca="false">IF(Data!I219="","",Data!I219)</f>
        <v>152</v>
      </c>
      <c r="J219" s="28" t="str">
        <f aca="false">IF(Data!J219="","",IFERROR(VLOOKUP(Data!J219,Codes!$A$29:$B$30,2,FALSE()),"Invalid ("&amp;Data!J219&amp;")"))</f>
        <v>Yes</v>
      </c>
      <c r="K219" s="21" t="n">
        <f aca="false">IF(Data!K219="","",Data!K219)</f>
        <v>0</v>
      </c>
      <c r="L219" s="28" t="str">
        <f aca="false">IF(Data!L219="","",IFERROR(VLOOKUP(Data!L219,Codes!$A$34:$B$36,2,FALSE()),"Invalid ("&amp;Data!L219&amp;")"))</f>
        <v>Flat</v>
      </c>
      <c r="M219" s="20" t="n">
        <f aca="false">IF(Data!M219="","",Data!M219)</f>
        <v>0</v>
      </c>
      <c r="N219" s="28" t="str">
        <f aca="false">IF(Data!N219="","",IFERROR(VLOOKUP(Data!N219,Codes!$A$47:$B$49,2,FALSE()),"Invalid ("&amp;Data!N219&amp;")"))</f>
        <v>Normal</v>
      </c>
      <c r="O219" s="28" t="str">
        <f aca="false">IF(Data!O219="","",IFERROR(VLOOKUP(Data!O219,Codes!$A$53:$B$57,2,FALSE()),"Invalid ("&amp;Data!O219&amp;")"))</f>
        <v>No disease</v>
      </c>
      <c r="P219" s="22" t="str">
        <f aca="false">IF(Data!P219="","",IFERROR(VLOOKUP(Data!P219,Codes!$A$61:$B$64,2,FALSE()),"Invalid ("&amp;Data!P219&amp;")"))</f>
        <v>Cleveland Clinic</v>
      </c>
    </row>
    <row r="220" customFormat="false" ht="15" hidden="false" customHeight="false" outlineLevel="0" collapsed="false">
      <c r="A220" s="19" t="n">
        <f aca="false">Data!A220</f>
        <v>219</v>
      </c>
      <c r="B220" s="20" t="n">
        <f aca="false">IF(Data!B220="","",Data!B220)</f>
        <v>64</v>
      </c>
      <c r="C220" s="28" t="str">
        <f aca="false">IF(Data!C220="","",IFERROR(VLOOKUP(Data!C220,Codes!$A$6:$B$7,2,FALSE()),"Invalid ("&amp;Data!C220&amp;")"))</f>
        <v>Female</v>
      </c>
      <c r="D220" s="28" t="str">
        <f aca="false">IF(Data!D220="","",IFERROR(VLOOKUP(Data!D220,Codes!$A$11:$B$14,2,FALSE()),"Invalid ("&amp;Data!D220&amp;")"))</f>
        <v>Asymptomatic</v>
      </c>
      <c r="E220" s="20" t="n">
        <f aca="false">IF(Data!E220="","",Data!E220)</f>
        <v>130</v>
      </c>
      <c r="F220" s="20" t="n">
        <f aca="false">IF(Data!F220="","",Data!F220)</f>
        <v>303</v>
      </c>
      <c r="G220" s="28" t="str">
        <f aca="false">IF(Data!G220="","",IFERROR(VLOOKUP(Data!G220,Codes!$A$18:$B$19,2,FALSE()),"Invalid ("&amp;Data!G220&amp;")"))</f>
        <v>No</v>
      </c>
      <c r="H220" s="28" t="str">
        <f aca="false">IF(Data!H220="","",IFERROR(VLOOKUP(Data!H220,Codes!$A$23:$B$25,2,FALSE()),"Invalid ("&amp;Data!H220&amp;")"))</f>
        <v>Normal</v>
      </c>
      <c r="I220" s="20" t="n">
        <f aca="false">IF(Data!I220="","",Data!I220)</f>
        <v>122</v>
      </c>
      <c r="J220" s="28" t="str">
        <f aca="false">IF(Data!J220="","",IFERROR(VLOOKUP(Data!J220,Codes!$A$29:$B$30,2,FALSE()),"Invalid ("&amp;Data!J220&amp;")"))</f>
        <v>No</v>
      </c>
      <c r="K220" s="21" t="n">
        <f aca="false">IF(Data!K220="","",Data!K220)</f>
        <v>2</v>
      </c>
      <c r="L220" s="28" t="str">
        <f aca="false">IF(Data!L220="","",IFERROR(VLOOKUP(Data!L220,Codes!$A$34:$B$36,2,FALSE()),"Invalid ("&amp;Data!L220&amp;")"))</f>
        <v>Flat</v>
      </c>
      <c r="M220" s="20" t="n">
        <f aca="false">IF(Data!M220="","",Data!M220)</f>
        <v>2</v>
      </c>
      <c r="N220" s="28" t="str">
        <f aca="false">IF(Data!N220="","",IFERROR(VLOOKUP(Data!N220,Codes!$A$47:$B$49,2,FALSE()),"Invalid ("&amp;Data!N220&amp;")"))</f>
        <v>Normal</v>
      </c>
      <c r="O220" s="28" t="str">
        <f aca="false">IF(Data!O220="","",IFERROR(VLOOKUP(Data!O220,Codes!$A$53:$B$57,2,FALSE()),"Invalid ("&amp;Data!O220&amp;")"))</f>
        <v>No disease</v>
      </c>
      <c r="P220" s="22" t="str">
        <f aca="false">IF(Data!P220="","",IFERROR(VLOOKUP(Data!P220,Codes!$A$61:$B$64,2,FALSE()),"Invalid ("&amp;Data!P220&amp;")"))</f>
        <v>Cleveland Clinic</v>
      </c>
    </row>
    <row r="221" customFormat="false" ht="15" hidden="false" customHeight="false" outlineLevel="0" collapsed="false">
      <c r="A221" s="19" t="n">
        <f aca="false">Data!A221</f>
        <v>220</v>
      </c>
      <c r="B221" s="20" t="n">
        <f aca="false">IF(Data!B221="","",Data!B221)</f>
        <v>59</v>
      </c>
      <c r="C221" s="28" t="str">
        <f aca="false">IF(Data!C221="","",IFERROR(VLOOKUP(Data!C221,Codes!$A$6:$B$7,2,FALSE()),"Invalid ("&amp;Data!C221&amp;")"))</f>
        <v>Male</v>
      </c>
      <c r="D221" s="28" t="str">
        <f aca="false">IF(Data!D221="","",IFERROR(VLOOKUP(Data!D221,Codes!$A$11:$B$14,2,FALSE()),"Invalid ("&amp;Data!D221&amp;")"))</f>
        <v>Asymptomatic</v>
      </c>
      <c r="E221" s="20" t="n">
        <f aca="false">IF(Data!E221="","",Data!E221)</f>
        <v>138</v>
      </c>
      <c r="F221" s="20" t="n">
        <f aca="false">IF(Data!F221="","",Data!F221)</f>
        <v>271</v>
      </c>
      <c r="G221" s="28" t="str">
        <f aca="false">IF(Data!G221="","",IFERROR(VLOOKUP(Data!G221,Codes!$A$18:$B$19,2,FALSE()),"Invalid ("&amp;Data!G221&amp;")"))</f>
        <v>No</v>
      </c>
      <c r="H221" s="28" t="str">
        <f aca="false">IF(Data!H221="","",IFERROR(VLOOKUP(Data!H221,Codes!$A$23:$B$25,2,FALSE()),"Invalid ("&amp;Data!H221&amp;")"))</f>
        <v>Left ventricular hypertrophy</v>
      </c>
      <c r="I221" s="20" t="n">
        <f aca="false">IF(Data!I221="","",Data!I221)</f>
        <v>182</v>
      </c>
      <c r="J221" s="28" t="str">
        <f aca="false">IF(Data!J221="","",IFERROR(VLOOKUP(Data!J221,Codes!$A$29:$B$30,2,FALSE()),"Invalid ("&amp;Data!J221&amp;")"))</f>
        <v>No</v>
      </c>
      <c r="K221" s="21" t="n">
        <f aca="false">IF(Data!K221="","",Data!K221)</f>
        <v>0</v>
      </c>
      <c r="L221" s="28" t="str">
        <f aca="false">IF(Data!L221="","",IFERROR(VLOOKUP(Data!L221,Codes!$A$34:$B$36,2,FALSE()),"Invalid ("&amp;Data!L221&amp;")"))</f>
        <v>Upsloping</v>
      </c>
      <c r="M221" s="20" t="n">
        <f aca="false">IF(Data!M221="","",Data!M221)</f>
        <v>0</v>
      </c>
      <c r="N221" s="28" t="str">
        <f aca="false">IF(Data!N221="","",IFERROR(VLOOKUP(Data!N221,Codes!$A$47:$B$49,2,FALSE()),"Invalid ("&amp;Data!N221&amp;")"))</f>
        <v>Normal</v>
      </c>
      <c r="O221" s="28" t="str">
        <f aca="false">IF(Data!O221="","",IFERROR(VLOOKUP(Data!O221,Codes!$A$53:$B$57,2,FALSE()),"Invalid ("&amp;Data!O221&amp;")"))</f>
        <v>No disease</v>
      </c>
      <c r="P221" s="22" t="str">
        <f aca="false">IF(Data!P221="","",IFERROR(VLOOKUP(Data!P221,Codes!$A$61:$B$64,2,FALSE()),"Invalid ("&amp;Data!P221&amp;")"))</f>
        <v>Cleveland Clinic</v>
      </c>
    </row>
    <row r="222" customFormat="false" ht="15" hidden="false" customHeight="false" outlineLevel="0" collapsed="false">
      <c r="A222" s="19" t="n">
        <f aca="false">Data!A222</f>
        <v>221</v>
      </c>
      <c r="B222" s="20" t="n">
        <f aca="false">IF(Data!B222="","",Data!B222)</f>
        <v>41</v>
      </c>
      <c r="C222" s="28" t="str">
        <f aca="false">IF(Data!C222="","",IFERROR(VLOOKUP(Data!C222,Codes!$A$6:$B$7,2,FALSE()),"Invalid ("&amp;Data!C222&amp;")"))</f>
        <v>Female</v>
      </c>
      <c r="D222" s="28" t="str">
        <f aca="false">IF(Data!D222="","",IFERROR(VLOOKUP(Data!D222,Codes!$A$11:$B$14,2,FALSE()),"Invalid ("&amp;Data!D222&amp;")"))</f>
        <v>Non-anginal pain</v>
      </c>
      <c r="E222" s="20" t="n">
        <f aca="false">IF(Data!E222="","",Data!E222)</f>
        <v>112</v>
      </c>
      <c r="F222" s="20" t="n">
        <f aca="false">IF(Data!F222="","",Data!F222)</f>
        <v>268</v>
      </c>
      <c r="G222" s="28" t="str">
        <f aca="false">IF(Data!G222="","",IFERROR(VLOOKUP(Data!G222,Codes!$A$18:$B$19,2,FALSE()),"Invalid ("&amp;Data!G222&amp;")"))</f>
        <v>No</v>
      </c>
      <c r="H222" s="28" t="str">
        <f aca="false">IF(Data!H222="","",IFERROR(VLOOKUP(Data!H222,Codes!$A$23:$B$25,2,FALSE()),"Invalid ("&amp;Data!H222&amp;")"))</f>
        <v>Left ventricular hypertrophy</v>
      </c>
      <c r="I222" s="20" t="n">
        <f aca="false">IF(Data!I222="","",Data!I222)</f>
        <v>172</v>
      </c>
      <c r="J222" s="28" t="str">
        <f aca="false">IF(Data!J222="","",IFERROR(VLOOKUP(Data!J222,Codes!$A$29:$B$30,2,FALSE()),"Invalid ("&amp;Data!J222&amp;")"))</f>
        <v>Yes</v>
      </c>
      <c r="K222" s="21" t="n">
        <f aca="false">IF(Data!K222="","",Data!K222)</f>
        <v>0</v>
      </c>
      <c r="L222" s="28" t="str">
        <f aca="false">IF(Data!L222="","",IFERROR(VLOOKUP(Data!L222,Codes!$A$34:$B$36,2,FALSE()),"Invalid ("&amp;Data!L222&amp;")"))</f>
        <v>Upsloping</v>
      </c>
      <c r="M222" s="20" t="n">
        <f aca="false">IF(Data!M222="","",Data!M222)</f>
        <v>0</v>
      </c>
      <c r="N222" s="28" t="str">
        <f aca="false">IF(Data!N222="","",IFERROR(VLOOKUP(Data!N222,Codes!$A$47:$B$49,2,FALSE()),"Invalid ("&amp;Data!N222&amp;")"))</f>
        <v>Normal</v>
      </c>
      <c r="O222" s="28" t="str">
        <f aca="false">IF(Data!O222="","",IFERROR(VLOOKUP(Data!O222,Codes!$A$53:$B$57,2,FALSE()),"Invalid ("&amp;Data!O222&amp;")"))</f>
        <v>No disease</v>
      </c>
      <c r="P222" s="22" t="str">
        <f aca="false">IF(Data!P222="","",IFERROR(VLOOKUP(Data!P222,Codes!$A$61:$B$64,2,FALSE()),"Invalid ("&amp;Data!P222&amp;")"))</f>
        <v>Cleveland Clinic</v>
      </c>
    </row>
    <row r="223" customFormat="false" ht="15" hidden="false" customHeight="false" outlineLevel="0" collapsed="false">
      <c r="A223" s="19" t="n">
        <f aca="false">Data!A223</f>
        <v>222</v>
      </c>
      <c r="B223" s="20" t="n">
        <f aca="false">IF(Data!B223="","",Data!B223)</f>
        <v>54</v>
      </c>
      <c r="C223" s="28" t="str">
        <f aca="false">IF(Data!C223="","",IFERROR(VLOOKUP(Data!C223,Codes!$A$6:$B$7,2,FALSE()),"Invalid ("&amp;Data!C223&amp;")"))</f>
        <v>Female</v>
      </c>
      <c r="D223" s="28" t="str">
        <f aca="false">IF(Data!D223="","",IFERROR(VLOOKUP(Data!D223,Codes!$A$11:$B$14,2,FALSE()),"Invalid ("&amp;Data!D223&amp;")"))</f>
        <v>Non-anginal pain</v>
      </c>
      <c r="E223" s="20" t="n">
        <f aca="false">IF(Data!E223="","",Data!E223)</f>
        <v>108</v>
      </c>
      <c r="F223" s="20" t="n">
        <f aca="false">IF(Data!F223="","",Data!F223)</f>
        <v>267</v>
      </c>
      <c r="G223" s="28" t="str">
        <f aca="false">IF(Data!G223="","",IFERROR(VLOOKUP(Data!G223,Codes!$A$18:$B$19,2,FALSE()),"Invalid ("&amp;Data!G223&amp;")"))</f>
        <v>No</v>
      </c>
      <c r="H223" s="28" t="str">
        <f aca="false">IF(Data!H223="","",IFERROR(VLOOKUP(Data!H223,Codes!$A$23:$B$25,2,FALSE()),"Invalid ("&amp;Data!H223&amp;")"))</f>
        <v>Left ventricular hypertrophy</v>
      </c>
      <c r="I223" s="20" t="n">
        <f aca="false">IF(Data!I223="","",Data!I223)</f>
        <v>167</v>
      </c>
      <c r="J223" s="28" t="str">
        <f aca="false">IF(Data!J223="","",IFERROR(VLOOKUP(Data!J223,Codes!$A$29:$B$30,2,FALSE()),"Invalid ("&amp;Data!J223&amp;")"))</f>
        <v>No</v>
      </c>
      <c r="K223" s="21" t="n">
        <f aca="false">IF(Data!K223="","",Data!K223)</f>
        <v>0</v>
      </c>
      <c r="L223" s="28" t="str">
        <f aca="false">IF(Data!L223="","",IFERROR(VLOOKUP(Data!L223,Codes!$A$34:$B$36,2,FALSE()),"Invalid ("&amp;Data!L223&amp;")"))</f>
        <v>Upsloping</v>
      </c>
      <c r="M223" s="20" t="n">
        <f aca="false">IF(Data!M223="","",Data!M223)</f>
        <v>0</v>
      </c>
      <c r="N223" s="28" t="str">
        <f aca="false">IF(Data!N223="","",IFERROR(VLOOKUP(Data!N223,Codes!$A$47:$B$49,2,FALSE()),"Invalid ("&amp;Data!N223&amp;")"))</f>
        <v>Normal</v>
      </c>
      <c r="O223" s="28" t="str">
        <f aca="false">IF(Data!O223="","",IFERROR(VLOOKUP(Data!O223,Codes!$A$53:$B$57,2,FALSE()),"Invalid ("&amp;Data!O223&amp;")"))</f>
        <v>No disease</v>
      </c>
      <c r="P223" s="22" t="str">
        <f aca="false">IF(Data!P223="","",IFERROR(VLOOKUP(Data!P223,Codes!$A$61:$B$64,2,FALSE()),"Invalid ("&amp;Data!P223&amp;")"))</f>
        <v>Cleveland Clinic</v>
      </c>
    </row>
    <row r="224" customFormat="false" ht="15" hidden="false" customHeight="false" outlineLevel="0" collapsed="false">
      <c r="A224" s="19" t="n">
        <f aca="false">Data!A224</f>
        <v>223</v>
      </c>
      <c r="B224" s="20" t="n">
        <f aca="false">IF(Data!B224="","",Data!B224)</f>
        <v>39</v>
      </c>
      <c r="C224" s="28" t="str">
        <f aca="false">IF(Data!C224="","",IFERROR(VLOOKUP(Data!C224,Codes!$A$6:$B$7,2,FALSE()),"Invalid ("&amp;Data!C224&amp;")"))</f>
        <v>Female</v>
      </c>
      <c r="D224" s="28" t="str">
        <f aca="false">IF(Data!D224="","",IFERROR(VLOOKUP(Data!D224,Codes!$A$11:$B$14,2,FALSE()),"Invalid ("&amp;Data!D224&amp;")"))</f>
        <v>Non-anginal pain</v>
      </c>
      <c r="E224" s="20" t="n">
        <f aca="false">IF(Data!E224="","",Data!E224)</f>
        <v>94</v>
      </c>
      <c r="F224" s="20" t="n">
        <f aca="false">IF(Data!F224="","",Data!F224)</f>
        <v>199</v>
      </c>
      <c r="G224" s="28" t="str">
        <f aca="false">IF(Data!G224="","",IFERROR(VLOOKUP(Data!G224,Codes!$A$18:$B$19,2,FALSE()),"Invalid ("&amp;Data!G224&amp;")"))</f>
        <v>No</v>
      </c>
      <c r="H224" s="28" t="str">
        <f aca="false">IF(Data!H224="","",IFERROR(VLOOKUP(Data!H224,Codes!$A$23:$B$25,2,FALSE()),"Invalid ("&amp;Data!H224&amp;")"))</f>
        <v>Normal</v>
      </c>
      <c r="I224" s="20" t="n">
        <f aca="false">IF(Data!I224="","",Data!I224)</f>
        <v>179</v>
      </c>
      <c r="J224" s="28" t="str">
        <f aca="false">IF(Data!J224="","",IFERROR(VLOOKUP(Data!J224,Codes!$A$29:$B$30,2,FALSE()),"Invalid ("&amp;Data!J224&amp;")"))</f>
        <v>No</v>
      </c>
      <c r="K224" s="21" t="n">
        <f aca="false">IF(Data!K224="","",Data!K224)</f>
        <v>0</v>
      </c>
      <c r="L224" s="28" t="str">
        <f aca="false">IF(Data!L224="","",IFERROR(VLOOKUP(Data!L224,Codes!$A$34:$B$36,2,FALSE()),"Invalid ("&amp;Data!L224&amp;")"))</f>
        <v>Upsloping</v>
      </c>
      <c r="M224" s="20" t="n">
        <f aca="false">IF(Data!M224="","",Data!M224)</f>
        <v>0</v>
      </c>
      <c r="N224" s="28" t="str">
        <f aca="false">IF(Data!N224="","",IFERROR(VLOOKUP(Data!N224,Codes!$A$47:$B$49,2,FALSE()),"Invalid ("&amp;Data!N224&amp;")"))</f>
        <v>Normal</v>
      </c>
      <c r="O224" s="28" t="str">
        <f aca="false">IF(Data!O224="","",IFERROR(VLOOKUP(Data!O224,Codes!$A$53:$B$57,2,FALSE()),"Invalid ("&amp;Data!O224&amp;")"))</f>
        <v>No disease</v>
      </c>
      <c r="P224" s="22" t="str">
        <f aca="false">IF(Data!P224="","",IFERROR(VLOOKUP(Data!P224,Codes!$A$61:$B$64,2,FALSE()),"Invalid ("&amp;Data!P224&amp;")"))</f>
        <v>Cleveland Clinic</v>
      </c>
    </row>
    <row r="225" customFormat="false" ht="15" hidden="false" customHeight="false" outlineLevel="0" collapsed="false">
      <c r="A225" s="19" t="n">
        <f aca="false">Data!A225</f>
        <v>224</v>
      </c>
      <c r="B225" s="20" t="n">
        <f aca="false">IF(Data!B225="","",Data!B225)</f>
        <v>53</v>
      </c>
      <c r="C225" s="28" t="str">
        <f aca="false">IF(Data!C225="","",IFERROR(VLOOKUP(Data!C225,Codes!$A$6:$B$7,2,FALSE()),"Invalid ("&amp;Data!C225&amp;")"))</f>
        <v>Male</v>
      </c>
      <c r="D225" s="28" t="str">
        <f aca="false">IF(Data!D225="","",IFERROR(VLOOKUP(Data!D225,Codes!$A$11:$B$14,2,FALSE()),"Invalid ("&amp;Data!D225&amp;")"))</f>
        <v>Asymptomatic</v>
      </c>
      <c r="E225" s="20" t="n">
        <f aca="false">IF(Data!E225="","",Data!E225)</f>
        <v>123</v>
      </c>
      <c r="F225" s="20" t="n">
        <f aca="false">IF(Data!F225="","",Data!F225)</f>
        <v>282</v>
      </c>
      <c r="G225" s="28" t="str">
        <f aca="false">IF(Data!G225="","",IFERROR(VLOOKUP(Data!G225,Codes!$A$18:$B$19,2,FALSE()),"Invalid ("&amp;Data!G225&amp;")"))</f>
        <v>No</v>
      </c>
      <c r="H225" s="28" t="str">
        <f aca="false">IF(Data!H225="","",IFERROR(VLOOKUP(Data!H225,Codes!$A$23:$B$25,2,FALSE()),"Invalid ("&amp;Data!H225&amp;")"))</f>
        <v>Normal</v>
      </c>
      <c r="I225" s="20" t="n">
        <f aca="false">IF(Data!I225="","",Data!I225)</f>
        <v>95</v>
      </c>
      <c r="J225" s="28" t="str">
        <f aca="false">IF(Data!J225="","",IFERROR(VLOOKUP(Data!J225,Codes!$A$29:$B$30,2,FALSE()),"Invalid ("&amp;Data!J225&amp;")"))</f>
        <v>Yes</v>
      </c>
      <c r="K225" s="21" t="n">
        <f aca="false">IF(Data!K225="","",Data!K225)</f>
        <v>2</v>
      </c>
      <c r="L225" s="28" t="str">
        <f aca="false">IF(Data!L225="","",IFERROR(VLOOKUP(Data!L225,Codes!$A$34:$B$36,2,FALSE()),"Invalid ("&amp;Data!L225&amp;")"))</f>
        <v>Flat</v>
      </c>
      <c r="M225" s="20" t="n">
        <f aca="false">IF(Data!M225="","",Data!M225)</f>
        <v>2</v>
      </c>
      <c r="N225" s="28" t="str">
        <f aca="false">IF(Data!N225="","",IFERROR(VLOOKUP(Data!N225,Codes!$A$47:$B$49,2,FALSE()),"Invalid ("&amp;Data!N225&amp;")"))</f>
        <v>Reversible defect</v>
      </c>
      <c r="O225" s="28" t="str">
        <f aca="false">IF(Data!O225="","",IFERROR(VLOOKUP(Data!O225,Codes!$A$53:$B$57,2,FALSE()),"Invalid ("&amp;Data!O225&amp;")"))</f>
        <v>Disease (3)</v>
      </c>
      <c r="P225" s="22" t="str">
        <f aca="false">IF(Data!P225="","",IFERROR(VLOOKUP(Data!P225,Codes!$A$61:$B$64,2,FALSE()),"Invalid ("&amp;Data!P225&amp;")"))</f>
        <v>Cleveland Clinic</v>
      </c>
    </row>
    <row r="226" customFormat="false" ht="15" hidden="false" customHeight="false" outlineLevel="0" collapsed="false">
      <c r="A226" s="19" t="n">
        <f aca="false">Data!A226</f>
        <v>225</v>
      </c>
      <c r="B226" s="20" t="n">
        <f aca="false">IF(Data!B226="","",Data!B226)</f>
        <v>63</v>
      </c>
      <c r="C226" s="28" t="str">
        <f aca="false">IF(Data!C226="","",IFERROR(VLOOKUP(Data!C226,Codes!$A$6:$B$7,2,FALSE()),"Invalid ("&amp;Data!C226&amp;")"))</f>
        <v>Female</v>
      </c>
      <c r="D226" s="28" t="str">
        <f aca="false">IF(Data!D226="","",IFERROR(VLOOKUP(Data!D226,Codes!$A$11:$B$14,2,FALSE()),"Invalid ("&amp;Data!D226&amp;")"))</f>
        <v>Asymptomatic</v>
      </c>
      <c r="E226" s="20" t="n">
        <f aca="false">IF(Data!E226="","",Data!E226)</f>
        <v>108</v>
      </c>
      <c r="F226" s="20" t="n">
        <f aca="false">IF(Data!F226="","",Data!F226)</f>
        <v>269</v>
      </c>
      <c r="G226" s="28" t="str">
        <f aca="false">IF(Data!G226="","",IFERROR(VLOOKUP(Data!G226,Codes!$A$18:$B$19,2,FALSE()),"Invalid ("&amp;Data!G226&amp;")"))</f>
        <v>No</v>
      </c>
      <c r="H226" s="28" t="str">
        <f aca="false">IF(Data!H226="","",IFERROR(VLOOKUP(Data!H226,Codes!$A$23:$B$25,2,FALSE()),"Invalid ("&amp;Data!H226&amp;")"))</f>
        <v>Normal</v>
      </c>
      <c r="I226" s="20" t="n">
        <f aca="false">IF(Data!I226="","",Data!I226)</f>
        <v>169</v>
      </c>
      <c r="J226" s="28" t="str">
        <f aca="false">IF(Data!J226="","",IFERROR(VLOOKUP(Data!J226,Codes!$A$29:$B$30,2,FALSE()),"Invalid ("&amp;Data!J226&amp;")"))</f>
        <v>Yes</v>
      </c>
      <c r="K226" s="21" t="n">
        <f aca="false">IF(Data!K226="","",Data!K226)</f>
        <v>1.8</v>
      </c>
      <c r="L226" s="28" t="str">
        <f aca="false">IF(Data!L226="","",IFERROR(VLOOKUP(Data!L226,Codes!$A$34:$B$36,2,FALSE()),"Invalid ("&amp;Data!L226&amp;")"))</f>
        <v>Flat</v>
      </c>
      <c r="M226" s="20" t="n">
        <f aca="false">IF(Data!M226="","",Data!M226)</f>
        <v>2</v>
      </c>
      <c r="N226" s="28" t="str">
        <f aca="false">IF(Data!N226="","",IFERROR(VLOOKUP(Data!N226,Codes!$A$47:$B$49,2,FALSE()),"Invalid ("&amp;Data!N226&amp;")"))</f>
        <v>Normal</v>
      </c>
      <c r="O226" s="28" t="str">
        <f aca="false">IF(Data!O226="","",IFERROR(VLOOKUP(Data!O226,Codes!$A$53:$B$57,2,FALSE()),"Invalid ("&amp;Data!O226&amp;")"))</f>
        <v>Disease (1)</v>
      </c>
      <c r="P226" s="22" t="str">
        <f aca="false">IF(Data!P226="","",IFERROR(VLOOKUP(Data!P226,Codes!$A$61:$B$64,2,FALSE()),"Invalid ("&amp;Data!P226&amp;")"))</f>
        <v>Cleveland Clinic</v>
      </c>
    </row>
    <row r="227" customFormat="false" ht="15" hidden="false" customHeight="false" outlineLevel="0" collapsed="false">
      <c r="A227" s="19" t="n">
        <f aca="false">Data!A227</f>
        <v>226</v>
      </c>
      <c r="B227" s="20" t="n">
        <f aca="false">IF(Data!B227="","",Data!B227)</f>
        <v>34</v>
      </c>
      <c r="C227" s="28" t="str">
        <f aca="false">IF(Data!C227="","",IFERROR(VLOOKUP(Data!C227,Codes!$A$6:$B$7,2,FALSE()),"Invalid ("&amp;Data!C227&amp;")"))</f>
        <v>Female</v>
      </c>
      <c r="D227" s="28" t="str">
        <f aca="false">IF(Data!D227="","",IFERROR(VLOOKUP(Data!D227,Codes!$A$11:$B$14,2,FALSE()),"Invalid ("&amp;Data!D227&amp;")"))</f>
        <v>Atypical angina</v>
      </c>
      <c r="E227" s="20" t="n">
        <f aca="false">IF(Data!E227="","",Data!E227)</f>
        <v>118</v>
      </c>
      <c r="F227" s="20" t="n">
        <f aca="false">IF(Data!F227="","",Data!F227)</f>
        <v>210</v>
      </c>
      <c r="G227" s="28" t="str">
        <f aca="false">IF(Data!G227="","",IFERROR(VLOOKUP(Data!G227,Codes!$A$18:$B$19,2,FALSE()),"Invalid ("&amp;Data!G227&amp;")"))</f>
        <v>No</v>
      </c>
      <c r="H227" s="28" t="str">
        <f aca="false">IF(Data!H227="","",IFERROR(VLOOKUP(Data!H227,Codes!$A$23:$B$25,2,FALSE()),"Invalid ("&amp;Data!H227&amp;")"))</f>
        <v>Normal</v>
      </c>
      <c r="I227" s="20" t="n">
        <f aca="false">IF(Data!I227="","",Data!I227)</f>
        <v>192</v>
      </c>
      <c r="J227" s="28" t="str">
        <f aca="false">IF(Data!J227="","",IFERROR(VLOOKUP(Data!J227,Codes!$A$29:$B$30,2,FALSE()),"Invalid ("&amp;Data!J227&amp;")"))</f>
        <v>No</v>
      </c>
      <c r="K227" s="21" t="n">
        <f aca="false">IF(Data!K227="","",Data!K227)</f>
        <v>0.7</v>
      </c>
      <c r="L227" s="28" t="str">
        <f aca="false">IF(Data!L227="","",IFERROR(VLOOKUP(Data!L227,Codes!$A$34:$B$36,2,FALSE()),"Invalid ("&amp;Data!L227&amp;")"))</f>
        <v>Upsloping</v>
      </c>
      <c r="M227" s="20" t="n">
        <f aca="false">IF(Data!M227="","",Data!M227)</f>
        <v>0</v>
      </c>
      <c r="N227" s="28" t="str">
        <f aca="false">IF(Data!N227="","",IFERROR(VLOOKUP(Data!N227,Codes!$A$47:$B$49,2,FALSE()),"Invalid ("&amp;Data!N227&amp;")"))</f>
        <v>Normal</v>
      </c>
      <c r="O227" s="28" t="str">
        <f aca="false">IF(Data!O227="","",IFERROR(VLOOKUP(Data!O227,Codes!$A$53:$B$57,2,FALSE()),"Invalid ("&amp;Data!O227&amp;")"))</f>
        <v>No disease</v>
      </c>
      <c r="P227" s="22" t="str">
        <f aca="false">IF(Data!P227="","",IFERROR(VLOOKUP(Data!P227,Codes!$A$61:$B$64,2,FALSE()),"Invalid ("&amp;Data!P227&amp;")"))</f>
        <v>Cleveland Clinic</v>
      </c>
    </row>
    <row r="228" customFormat="false" ht="15" hidden="false" customHeight="false" outlineLevel="0" collapsed="false">
      <c r="A228" s="19" t="n">
        <f aca="false">Data!A228</f>
        <v>227</v>
      </c>
      <c r="B228" s="20" t="n">
        <f aca="false">IF(Data!B228="","",Data!B228)</f>
        <v>47</v>
      </c>
      <c r="C228" s="28" t="str">
        <f aca="false">IF(Data!C228="","",IFERROR(VLOOKUP(Data!C228,Codes!$A$6:$B$7,2,FALSE()),"Invalid ("&amp;Data!C228&amp;")"))</f>
        <v>Male</v>
      </c>
      <c r="D228" s="28" t="str">
        <f aca="false">IF(Data!D228="","",IFERROR(VLOOKUP(Data!D228,Codes!$A$11:$B$14,2,FALSE()),"Invalid ("&amp;Data!D228&amp;")"))</f>
        <v>Asymptomatic</v>
      </c>
      <c r="E228" s="20" t="n">
        <f aca="false">IF(Data!E228="","",Data!E228)</f>
        <v>112</v>
      </c>
      <c r="F228" s="20" t="n">
        <f aca="false">IF(Data!F228="","",Data!F228)</f>
        <v>204</v>
      </c>
      <c r="G228" s="28" t="str">
        <f aca="false">IF(Data!G228="","",IFERROR(VLOOKUP(Data!G228,Codes!$A$18:$B$19,2,FALSE()),"Invalid ("&amp;Data!G228&amp;")"))</f>
        <v>No</v>
      </c>
      <c r="H228" s="28" t="str">
        <f aca="false">IF(Data!H228="","",IFERROR(VLOOKUP(Data!H228,Codes!$A$23:$B$25,2,FALSE()),"Invalid ("&amp;Data!H228&amp;")"))</f>
        <v>Normal</v>
      </c>
      <c r="I228" s="20" t="n">
        <f aca="false">IF(Data!I228="","",Data!I228)</f>
        <v>143</v>
      </c>
      <c r="J228" s="28" t="str">
        <f aca="false">IF(Data!J228="","",IFERROR(VLOOKUP(Data!J228,Codes!$A$29:$B$30,2,FALSE()),"Invalid ("&amp;Data!J228&amp;")"))</f>
        <v>No</v>
      </c>
      <c r="K228" s="21" t="n">
        <f aca="false">IF(Data!K228="","",Data!K228)</f>
        <v>0.1</v>
      </c>
      <c r="L228" s="28" t="str">
        <f aca="false">IF(Data!L228="","",IFERROR(VLOOKUP(Data!L228,Codes!$A$34:$B$36,2,FALSE()),"Invalid ("&amp;Data!L228&amp;")"))</f>
        <v>Upsloping</v>
      </c>
      <c r="M228" s="20" t="n">
        <f aca="false">IF(Data!M228="","",Data!M228)</f>
        <v>0</v>
      </c>
      <c r="N228" s="28" t="str">
        <f aca="false">IF(Data!N228="","",IFERROR(VLOOKUP(Data!N228,Codes!$A$47:$B$49,2,FALSE()),"Invalid ("&amp;Data!N228&amp;")"))</f>
        <v>Normal</v>
      </c>
      <c r="O228" s="28" t="str">
        <f aca="false">IF(Data!O228="","",IFERROR(VLOOKUP(Data!O228,Codes!$A$53:$B$57,2,FALSE()),"Invalid ("&amp;Data!O228&amp;")"))</f>
        <v>No disease</v>
      </c>
      <c r="P228" s="22" t="str">
        <f aca="false">IF(Data!P228="","",IFERROR(VLOOKUP(Data!P228,Codes!$A$61:$B$64,2,FALSE()),"Invalid ("&amp;Data!P228&amp;")"))</f>
        <v>Cleveland Clinic</v>
      </c>
    </row>
    <row r="229" customFormat="false" ht="15" hidden="false" customHeight="false" outlineLevel="0" collapsed="false">
      <c r="A229" s="19" t="n">
        <f aca="false">Data!A229</f>
        <v>228</v>
      </c>
      <c r="B229" s="20" t="n">
        <f aca="false">IF(Data!B229="","",Data!B229)</f>
        <v>67</v>
      </c>
      <c r="C229" s="28" t="str">
        <f aca="false">IF(Data!C229="","",IFERROR(VLOOKUP(Data!C229,Codes!$A$6:$B$7,2,FALSE()),"Invalid ("&amp;Data!C229&amp;")"))</f>
        <v>Female</v>
      </c>
      <c r="D229" s="28" t="str">
        <f aca="false">IF(Data!D229="","",IFERROR(VLOOKUP(Data!D229,Codes!$A$11:$B$14,2,FALSE()),"Invalid ("&amp;Data!D229&amp;")"))</f>
        <v>Non-anginal pain</v>
      </c>
      <c r="E229" s="20" t="n">
        <f aca="false">IF(Data!E229="","",Data!E229)</f>
        <v>152</v>
      </c>
      <c r="F229" s="20" t="n">
        <f aca="false">IF(Data!F229="","",Data!F229)</f>
        <v>277</v>
      </c>
      <c r="G229" s="28" t="str">
        <f aca="false">IF(Data!G229="","",IFERROR(VLOOKUP(Data!G229,Codes!$A$18:$B$19,2,FALSE()),"Invalid ("&amp;Data!G229&amp;")"))</f>
        <v>No</v>
      </c>
      <c r="H229" s="28" t="str">
        <f aca="false">IF(Data!H229="","",IFERROR(VLOOKUP(Data!H229,Codes!$A$23:$B$25,2,FALSE()),"Invalid ("&amp;Data!H229&amp;")"))</f>
        <v>Normal</v>
      </c>
      <c r="I229" s="20" t="n">
        <f aca="false">IF(Data!I229="","",Data!I229)</f>
        <v>172</v>
      </c>
      <c r="J229" s="28" t="str">
        <f aca="false">IF(Data!J229="","",IFERROR(VLOOKUP(Data!J229,Codes!$A$29:$B$30,2,FALSE()),"Invalid ("&amp;Data!J229&amp;")"))</f>
        <v>No</v>
      </c>
      <c r="K229" s="21" t="n">
        <f aca="false">IF(Data!K229="","",Data!K229)</f>
        <v>0</v>
      </c>
      <c r="L229" s="28" t="str">
        <f aca="false">IF(Data!L229="","",IFERROR(VLOOKUP(Data!L229,Codes!$A$34:$B$36,2,FALSE()),"Invalid ("&amp;Data!L229&amp;")"))</f>
        <v>Upsloping</v>
      </c>
      <c r="M229" s="20" t="n">
        <f aca="false">IF(Data!M229="","",Data!M229)</f>
        <v>1</v>
      </c>
      <c r="N229" s="28" t="str">
        <f aca="false">IF(Data!N229="","",IFERROR(VLOOKUP(Data!N229,Codes!$A$47:$B$49,2,FALSE()),"Invalid ("&amp;Data!N229&amp;")"))</f>
        <v>Normal</v>
      </c>
      <c r="O229" s="28" t="str">
        <f aca="false">IF(Data!O229="","",IFERROR(VLOOKUP(Data!O229,Codes!$A$53:$B$57,2,FALSE()),"Invalid ("&amp;Data!O229&amp;")"))</f>
        <v>No disease</v>
      </c>
      <c r="P229" s="22" t="str">
        <f aca="false">IF(Data!P229="","",IFERROR(VLOOKUP(Data!P229,Codes!$A$61:$B$64,2,FALSE()),"Invalid ("&amp;Data!P229&amp;")"))</f>
        <v>Cleveland Clinic</v>
      </c>
    </row>
    <row r="230" customFormat="false" ht="15" hidden="false" customHeight="false" outlineLevel="0" collapsed="false">
      <c r="A230" s="19" t="n">
        <f aca="false">Data!A230</f>
        <v>229</v>
      </c>
      <c r="B230" s="20" t="n">
        <f aca="false">IF(Data!B230="","",Data!B230)</f>
        <v>54</v>
      </c>
      <c r="C230" s="28" t="str">
        <f aca="false">IF(Data!C230="","",IFERROR(VLOOKUP(Data!C230,Codes!$A$6:$B$7,2,FALSE()),"Invalid ("&amp;Data!C230&amp;")"))</f>
        <v>Male</v>
      </c>
      <c r="D230" s="28" t="str">
        <f aca="false">IF(Data!D230="","",IFERROR(VLOOKUP(Data!D230,Codes!$A$11:$B$14,2,FALSE()),"Invalid ("&amp;Data!D230&amp;")"))</f>
        <v>Asymptomatic</v>
      </c>
      <c r="E230" s="20" t="n">
        <f aca="false">IF(Data!E230="","",Data!E230)</f>
        <v>110</v>
      </c>
      <c r="F230" s="20" t="n">
        <f aca="false">IF(Data!F230="","",Data!F230)</f>
        <v>206</v>
      </c>
      <c r="G230" s="28" t="str">
        <f aca="false">IF(Data!G230="","",IFERROR(VLOOKUP(Data!G230,Codes!$A$18:$B$19,2,FALSE()),"Invalid ("&amp;Data!G230&amp;")"))</f>
        <v>No</v>
      </c>
      <c r="H230" s="28" t="str">
        <f aca="false">IF(Data!H230="","",IFERROR(VLOOKUP(Data!H230,Codes!$A$23:$B$25,2,FALSE()),"Invalid ("&amp;Data!H230&amp;")"))</f>
        <v>Left ventricular hypertrophy</v>
      </c>
      <c r="I230" s="20" t="n">
        <f aca="false">IF(Data!I230="","",Data!I230)</f>
        <v>108</v>
      </c>
      <c r="J230" s="28" t="str">
        <f aca="false">IF(Data!J230="","",IFERROR(VLOOKUP(Data!J230,Codes!$A$29:$B$30,2,FALSE()),"Invalid ("&amp;Data!J230&amp;")"))</f>
        <v>Yes</v>
      </c>
      <c r="K230" s="21" t="n">
        <f aca="false">IF(Data!K230="","",Data!K230)</f>
        <v>0</v>
      </c>
      <c r="L230" s="28" t="str">
        <f aca="false">IF(Data!L230="","",IFERROR(VLOOKUP(Data!L230,Codes!$A$34:$B$36,2,FALSE()),"Invalid ("&amp;Data!L230&amp;")"))</f>
        <v>Flat</v>
      </c>
      <c r="M230" s="20" t="n">
        <f aca="false">IF(Data!M230="","",Data!M230)</f>
        <v>1</v>
      </c>
      <c r="N230" s="28" t="str">
        <f aca="false">IF(Data!N230="","",IFERROR(VLOOKUP(Data!N230,Codes!$A$47:$B$49,2,FALSE()),"Invalid ("&amp;Data!N230&amp;")"))</f>
        <v>Normal</v>
      </c>
      <c r="O230" s="28" t="str">
        <f aca="false">IF(Data!O230="","",IFERROR(VLOOKUP(Data!O230,Codes!$A$53:$B$57,2,FALSE()),"Invalid ("&amp;Data!O230&amp;")"))</f>
        <v>Disease (3)</v>
      </c>
      <c r="P230" s="22" t="str">
        <f aca="false">IF(Data!P230="","",IFERROR(VLOOKUP(Data!P230,Codes!$A$61:$B$64,2,FALSE()),"Invalid ("&amp;Data!P230&amp;")"))</f>
        <v>Cleveland Clinic</v>
      </c>
    </row>
    <row r="231" customFormat="false" ht="15" hidden="false" customHeight="false" outlineLevel="0" collapsed="false">
      <c r="A231" s="19" t="n">
        <f aca="false">Data!A231</f>
        <v>230</v>
      </c>
      <c r="B231" s="20" t="n">
        <f aca="false">IF(Data!B231="","",Data!B231)</f>
        <v>66</v>
      </c>
      <c r="C231" s="28" t="str">
        <f aca="false">IF(Data!C231="","",IFERROR(VLOOKUP(Data!C231,Codes!$A$6:$B$7,2,FALSE()),"Invalid ("&amp;Data!C231&amp;")"))</f>
        <v>Male</v>
      </c>
      <c r="D231" s="28" t="str">
        <f aca="false">IF(Data!D231="","",IFERROR(VLOOKUP(Data!D231,Codes!$A$11:$B$14,2,FALSE()),"Invalid ("&amp;Data!D231&amp;")"))</f>
        <v>Asymptomatic</v>
      </c>
      <c r="E231" s="20" t="n">
        <f aca="false">IF(Data!E231="","",Data!E231)</f>
        <v>112</v>
      </c>
      <c r="F231" s="20" t="n">
        <f aca="false">IF(Data!F231="","",Data!F231)</f>
        <v>212</v>
      </c>
      <c r="G231" s="28" t="str">
        <f aca="false">IF(Data!G231="","",IFERROR(VLOOKUP(Data!G231,Codes!$A$18:$B$19,2,FALSE()),"Invalid ("&amp;Data!G231&amp;")"))</f>
        <v>No</v>
      </c>
      <c r="H231" s="28" t="str">
        <f aca="false">IF(Data!H231="","",IFERROR(VLOOKUP(Data!H231,Codes!$A$23:$B$25,2,FALSE()),"Invalid ("&amp;Data!H231&amp;")"))</f>
        <v>Left ventricular hypertrophy</v>
      </c>
      <c r="I231" s="20" t="n">
        <f aca="false">IF(Data!I231="","",Data!I231)</f>
        <v>132</v>
      </c>
      <c r="J231" s="28" t="str">
        <f aca="false">IF(Data!J231="","",IFERROR(VLOOKUP(Data!J231,Codes!$A$29:$B$30,2,FALSE()),"Invalid ("&amp;Data!J231&amp;")"))</f>
        <v>Yes</v>
      </c>
      <c r="K231" s="21" t="n">
        <f aca="false">IF(Data!K231="","",Data!K231)</f>
        <v>0.1</v>
      </c>
      <c r="L231" s="28" t="str">
        <f aca="false">IF(Data!L231="","",IFERROR(VLOOKUP(Data!L231,Codes!$A$34:$B$36,2,FALSE()),"Invalid ("&amp;Data!L231&amp;")"))</f>
        <v>Upsloping</v>
      </c>
      <c r="M231" s="20" t="n">
        <f aca="false">IF(Data!M231="","",Data!M231)</f>
        <v>1</v>
      </c>
      <c r="N231" s="28" t="str">
        <f aca="false">IF(Data!N231="","",IFERROR(VLOOKUP(Data!N231,Codes!$A$47:$B$49,2,FALSE()),"Invalid ("&amp;Data!N231&amp;")"))</f>
        <v>Normal</v>
      </c>
      <c r="O231" s="28" t="str">
        <f aca="false">IF(Data!O231="","",IFERROR(VLOOKUP(Data!O231,Codes!$A$53:$B$57,2,FALSE()),"Invalid ("&amp;Data!O231&amp;")"))</f>
        <v>Disease (2)</v>
      </c>
      <c r="P231" s="22" t="str">
        <f aca="false">IF(Data!P231="","",IFERROR(VLOOKUP(Data!P231,Codes!$A$61:$B$64,2,FALSE()),"Invalid ("&amp;Data!P231&amp;")"))</f>
        <v>Cleveland Clinic</v>
      </c>
    </row>
    <row r="232" customFormat="false" ht="15" hidden="false" customHeight="false" outlineLevel="0" collapsed="false">
      <c r="A232" s="19" t="n">
        <f aca="false">Data!A232</f>
        <v>231</v>
      </c>
      <c r="B232" s="20" t="n">
        <f aca="false">IF(Data!B232="","",Data!B232)</f>
        <v>52</v>
      </c>
      <c r="C232" s="28" t="str">
        <f aca="false">IF(Data!C232="","",IFERROR(VLOOKUP(Data!C232,Codes!$A$6:$B$7,2,FALSE()),"Invalid ("&amp;Data!C232&amp;")"))</f>
        <v>Female</v>
      </c>
      <c r="D232" s="28" t="str">
        <f aca="false">IF(Data!D232="","",IFERROR(VLOOKUP(Data!D232,Codes!$A$11:$B$14,2,FALSE()),"Invalid ("&amp;Data!D232&amp;")"))</f>
        <v>Non-anginal pain</v>
      </c>
      <c r="E232" s="20" t="n">
        <f aca="false">IF(Data!E232="","",Data!E232)</f>
        <v>136</v>
      </c>
      <c r="F232" s="20" t="n">
        <f aca="false">IF(Data!F232="","",Data!F232)</f>
        <v>196</v>
      </c>
      <c r="G232" s="28" t="str">
        <f aca="false">IF(Data!G232="","",IFERROR(VLOOKUP(Data!G232,Codes!$A$18:$B$19,2,FALSE()),"Invalid ("&amp;Data!G232&amp;")"))</f>
        <v>No</v>
      </c>
      <c r="H232" s="28" t="str">
        <f aca="false">IF(Data!H232="","",IFERROR(VLOOKUP(Data!H232,Codes!$A$23:$B$25,2,FALSE()),"Invalid ("&amp;Data!H232&amp;")"))</f>
        <v>Left ventricular hypertrophy</v>
      </c>
      <c r="I232" s="20" t="n">
        <f aca="false">IF(Data!I232="","",Data!I232)</f>
        <v>169</v>
      </c>
      <c r="J232" s="28" t="str">
        <f aca="false">IF(Data!J232="","",IFERROR(VLOOKUP(Data!J232,Codes!$A$29:$B$30,2,FALSE()),"Invalid ("&amp;Data!J232&amp;")"))</f>
        <v>No</v>
      </c>
      <c r="K232" s="21" t="n">
        <f aca="false">IF(Data!K232="","",Data!K232)</f>
        <v>0.1</v>
      </c>
      <c r="L232" s="28" t="str">
        <f aca="false">IF(Data!L232="","",IFERROR(VLOOKUP(Data!L232,Codes!$A$34:$B$36,2,FALSE()),"Invalid ("&amp;Data!L232&amp;")"))</f>
        <v>Flat</v>
      </c>
      <c r="M232" s="20" t="n">
        <f aca="false">IF(Data!M232="","",Data!M232)</f>
        <v>0</v>
      </c>
      <c r="N232" s="28" t="str">
        <f aca="false">IF(Data!N232="","",IFERROR(VLOOKUP(Data!N232,Codes!$A$47:$B$49,2,FALSE()),"Invalid ("&amp;Data!N232&amp;")"))</f>
        <v>Normal</v>
      </c>
      <c r="O232" s="28" t="str">
        <f aca="false">IF(Data!O232="","",IFERROR(VLOOKUP(Data!O232,Codes!$A$53:$B$57,2,FALSE()),"Invalid ("&amp;Data!O232&amp;")"))</f>
        <v>No disease</v>
      </c>
      <c r="P232" s="22" t="str">
        <f aca="false">IF(Data!P232="","",IFERROR(VLOOKUP(Data!P232,Codes!$A$61:$B$64,2,FALSE()),"Invalid ("&amp;Data!P232&amp;")"))</f>
        <v>Cleveland Clinic</v>
      </c>
    </row>
    <row r="233" customFormat="false" ht="15" hidden="false" customHeight="false" outlineLevel="0" collapsed="false">
      <c r="A233" s="19" t="n">
        <f aca="false">Data!A233</f>
        <v>232</v>
      </c>
      <c r="B233" s="20" t="n">
        <f aca="false">IF(Data!B233="","",Data!B233)</f>
        <v>55</v>
      </c>
      <c r="C233" s="28" t="str">
        <f aca="false">IF(Data!C233="","",IFERROR(VLOOKUP(Data!C233,Codes!$A$6:$B$7,2,FALSE()),"Invalid ("&amp;Data!C233&amp;")"))</f>
        <v>Female</v>
      </c>
      <c r="D233" s="28" t="str">
        <f aca="false">IF(Data!D233="","",IFERROR(VLOOKUP(Data!D233,Codes!$A$11:$B$14,2,FALSE()),"Invalid ("&amp;Data!D233&amp;")"))</f>
        <v>Asymptomatic</v>
      </c>
      <c r="E233" s="20" t="n">
        <f aca="false">IF(Data!E233="","",Data!E233)</f>
        <v>180</v>
      </c>
      <c r="F233" s="20" t="n">
        <f aca="false">IF(Data!F233="","",Data!F233)</f>
        <v>327</v>
      </c>
      <c r="G233" s="28" t="str">
        <f aca="false">IF(Data!G233="","",IFERROR(VLOOKUP(Data!G233,Codes!$A$18:$B$19,2,FALSE()),"Invalid ("&amp;Data!G233&amp;")"))</f>
        <v>No</v>
      </c>
      <c r="H233" s="28" t="str">
        <f aca="false">IF(Data!H233="","",IFERROR(VLOOKUP(Data!H233,Codes!$A$23:$B$25,2,FALSE()),"Invalid ("&amp;Data!H233&amp;")"))</f>
        <v>ST-T wave abnormality</v>
      </c>
      <c r="I233" s="20" t="n">
        <f aca="false">IF(Data!I233="","",Data!I233)</f>
        <v>117</v>
      </c>
      <c r="J233" s="28" t="str">
        <f aca="false">IF(Data!J233="","",IFERROR(VLOOKUP(Data!J233,Codes!$A$29:$B$30,2,FALSE()),"Invalid ("&amp;Data!J233&amp;")"))</f>
        <v>Yes</v>
      </c>
      <c r="K233" s="21" t="n">
        <f aca="false">IF(Data!K233="","",Data!K233)</f>
        <v>3.4</v>
      </c>
      <c r="L233" s="28" t="str">
        <f aca="false">IF(Data!L233="","",IFERROR(VLOOKUP(Data!L233,Codes!$A$34:$B$36,2,FALSE()),"Invalid ("&amp;Data!L233&amp;")"))</f>
        <v>Flat</v>
      </c>
      <c r="M233" s="20" t="n">
        <f aca="false">IF(Data!M233="","",Data!M233)</f>
        <v>0</v>
      </c>
      <c r="N233" s="28" t="str">
        <f aca="false">IF(Data!N233="","",IFERROR(VLOOKUP(Data!N233,Codes!$A$47:$B$49,2,FALSE()),"Invalid ("&amp;Data!N233&amp;")"))</f>
        <v>Normal</v>
      </c>
      <c r="O233" s="28" t="str">
        <f aca="false">IF(Data!O233="","",IFERROR(VLOOKUP(Data!O233,Codes!$A$53:$B$57,2,FALSE()),"Invalid ("&amp;Data!O233&amp;")"))</f>
        <v>Disease (2)</v>
      </c>
      <c r="P233" s="22" t="str">
        <f aca="false">IF(Data!P233="","",IFERROR(VLOOKUP(Data!P233,Codes!$A$61:$B$64,2,FALSE()),"Invalid ("&amp;Data!P233&amp;")"))</f>
        <v>Cleveland Clinic</v>
      </c>
    </row>
    <row r="234" customFormat="false" ht="15" hidden="false" customHeight="false" outlineLevel="0" collapsed="false">
      <c r="A234" s="19" t="n">
        <f aca="false">Data!A234</f>
        <v>233</v>
      </c>
      <c r="B234" s="20" t="n">
        <f aca="false">IF(Data!B234="","",Data!B234)</f>
        <v>49</v>
      </c>
      <c r="C234" s="28" t="str">
        <f aca="false">IF(Data!C234="","",IFERROR(VLOOKUP(Data!C234,Codes!$A$6:$B$7,2,FALSE()),"Invalid ("&amp;Data!C234&amp;")"))</f>
        <v>Male</v>
      </c>
      <c r="D234" s="28" t="str">
        <f aca="false">IF(Data!D234="","",IFERROR(VLOOKUP(Data!D234,Codes!$A$11:$B$14,2,FALSE()),"Invalid ("&amp;Data!D234&amp;")"))</f>
        <v>Non-anginal pain</v>
      </c>
      <c r="E234" s="20" t="n">
        <f aca="false">IF(Data!E234="","",Data!E234)</f>
        <v>118</v>
      </c>
      <c r="F234" s="20" t="n">
        <f aca="false">IF(Data!F234="","",Data!F234)</f>
        <v>149</v>
      </c>
      <c r="G234" s="28" t="str">
        <f aca="false">IF(Data!G234="","",IFERROR(VLOOKUP(Data!G234,Codes!$A$18:$B$19,2,FALSE()),"Invalid ("&amp;Data!G234&amp;")"))</f>
        <v>No</v>
      </c>
      <c r="H234" s="28" t="str">
        <f aca="false">IF(Data!H234="","",IFERROR(VLOOKUP(Data!H234,Codes!$A$23:$B$25,2,FALSE()),"Invalid ("&amp;Data!H234&amp;")"))</f>
        <v>Left ventricular hypertrophy</v>
      </c>
      <c r="I234" s="20" t="n">
        <f aca="false">IF(Data!I234="","",Data!I234)</f>
        <v>126</v>
      </c>
      <c r="J234" s="28" t="str">
        <f aca="false">IF(Data!J234="","",IFERROR(VLOOKUP(Data!J234,Codes!$A$29:$B$30,2,FALSE()),"Invalid ("&amp;Data!J234&amp;")"))</f>
        <v>No</v>
      </c>
      <c r="K234" s="21" t="n">
        <f aca="false">IF(Data!K234="","",Data!K234)</f>
        <v>0.8</v>
      </c>
      <c r="L234" s="28" t="str">
        <f aca="false">IF(Data!L234="","",IFERROR(VLOOKUP(Data!L234,Codes!$A$34:$B$36,2,FALSE()),"Invalid ("&amp;Data!L234&amp;")"))</f>
        <v>Upsloping</v>
      </c>
      <c r="M234" s="20" t="n">
        <f aca="false">IF(Data!M234="","",Data!M234)</f>
        <v>3</v>
      </c>
      <c r="N234" s="28" t="str">
        <f aca="false">IF(Data!N234="","",IFERROR(VLOOKUP(Data!N234,Codes!$A$47:$B$49,2,FALSE()),"Invalid ("&amp;Data!N234&amp;")"))</f>
        <v>Normal</v>
      </c>
      <c r="O234" s="28" t="str">
        <f aca="false">IF(Data!O234="","",IFERROR(VLOOKUP(Data!O234,Codes!$A$53:$B$57,2,FALSE()),"Invalid ("&amp;Data!O234&amp;")"))</f>
        <v>Disease (1)</v>
      </c>
      <c r="P234" s="22" t="str">
        <f aca="false">IF(Data!P234="","",IFERROR(VLOOKUP(Data!P234,Codes!$A$61:$B$64,2,FALSE()),"Invalid ("&amp;Data!P234&amp;")"))</f>
        <v>Cleveland Clinic</v>
      </c>
    </row>
    <row r="235" customFormat="false" ht="15" hidden="false" customHeight="false" outlineLevel="0" collapsed="false">
      <c r="A235" s="19" t="n">
        <f aca="false">Data!A235</f>
        <v>234</v>
      </c>
      <c r="B235" s="20" t="n">
        <f aca="false">IF(Data!B235="","",Data!B235)</f>
        <v>74</v>
      </c>
      <c r="C235" s="28" t="str">
        <f aca="false">IF(Data!C235="","",IFERROR(VLOOKUP(Data!C235,Codes!$A$6:$B$7,2,FALSE()),"Invalid ("&amp;Data!C235&amp;")"))</f>
        <v>Female</v>
      </c>
      <c r="D235" s="28" t="str">
        <f aca="false">IF(Data!D235="","",IFERROR(VLOOKUP(Data!D235,Codes!$A$11:$B$14,2,FALSE()),"Invalid ("&amp;Data!D235&amp;")"))</f>
        <v>Atypical angina</v>
      </c>
      <c r="E235" s="20" t="n">
        <f aca="false">IF(Data!E235="","",Data!E235)</f>
        <v>120</v>
      </c>
      <c r="F235" s="20" t="n">
        <f aca="false">IF(Data!F235="","",Data!F235)</f>
        <v>269</v>
      </c>
      <c r="G235" s="28" t="str">
        <f aca="false">IF(Data!G235="","",IFERROR(VLOOKUP(Data!G235,Codes!$A$18:$B$19,2,FALSE()),"Invalid ("&amp;Data!G235&amp;")"))</f>
        <v>No</v>
      </c>
      <c r="H235" s="28" t="str">
        <f aca="false">IF(Data!H235="","",IFERROR(VLOOKUP(Data!H235,Codes!$A$23:$B$25,2,FALSE()),"Invalid ("&amp;Data!H235&amp;")"))</f>
        <v>Left ventricular hypertrophy</v>
      </c>
      <c r="I235" s="20" t="n">
        <f aca="false">IF(Data!I235="","",Data!I235)</f>
        <v>121</v>
      </c>
      <c r="J235" s="28" t="str">
        <f aca="false">IF(Data!J235="","",IFERROR(VLOOKUP(Data!J235,Codes!$A$29:$B$30,2,FALSE()),"Invalid ("&amp;Data!J235&amp;")"))</f>
        <v>Yes</v>
      </c>
      <c r="K235" s="21" t="n">
        <f aca="false">IF(Data!K235="","",Data!K235)</f>
        <v>0.2</v>
      </c>
      <c r="L235" s="28" t="str">
        <f aca="false">IF(Data!L235="","",IFERROR(VLOOKUP(Data!L235,Codes!$A$34:$B$36,2,FALSE()),"Invalid ("&amp;Data!L235&amp;")"))</f>
        <v>Upsloping</v>
      </c>
      <c r="M235" s="20" t="n">
        <f aca="false">IF(Data!M235="","",Data!M235)</f>
        <v>1</v>
      </c>
      <c r="N235" s="28" t="str">
        <f aca="false">IF(Data!N235="","",IFERROR(VLOOKUP(Data!N235,Codes!$A$47:$B$49,2,FALSE()),"Invalid ("&amp;Data!N235&amp;")"))</f>
        <v>Normal</v>
      </c>
      <c r="O235" s="28" t="str">
        <f aca="false">IF(Data!O235="","",IFERROR(VLOOKUP(Data!O235,Codes!$A$53:$B$57,2,FALSE()),"Invalid ("&amp;Data!O235&amp;")"))</f>
        <v>No disease</v>
      </c>
      <c r="P235" s="22" t="str">
        <f aca="false">IF(Data!P235="","",IFERROR(VLOOKUP(Data!P235,Codes!$A$61:$B$64,2,FALSE()),"Invalid ("&amp;Data!P235&amp;")"))</f>
        <v>Cleveland Clinic</v>
      </c>
    </row>
    <row r="236" customFormat="false" ht="15" hidden="false" customHeight="false" outlineLevel="0" collapsed="false">
      <c r="A236" s="19" t="n">
        <f aca="false">Data!A236</f>
        <v>235</v>
      </c>
      <c r="B236" s="20" t="n">
        <f aca="false">IF(Data!B236="","",Data!B236)</f>
        <v>54</v>
      </c>
      <c r="C236" s="28" t="str">
        <f aca="false">IF(Data!C236="","",IFERROR(VLOOKUP(Data!C236,Codes!$A$6:$B$7,2,FALSE()),"Invalid ("&amp;Data!C236&amp;")"))</f>
        <v>Female</v>
      </c>
      <c r="D236" s="28" t="str">
        <f aca="false">IF(Data!D236="","",IFERROR(VLOOKUP(Data!D236,Codes!$A$11:$B$14,2,FALSE()),"Invalid ("&amp;Data!D236&amp;")"))</f>
        <v>Non-anginal pain</v>
      </c>
      <c r="E236" s="20" t="n">
        <f aca="false">IF(Data!E236="","",Data!E236)</f>
        <v>160</v>
      </c>
      <c r="F236" s="20" t="n">
        <f aca="false">IF(Data!F236="","",Data!F236)</f>
        <v>201</v>
      </c>
      <c r="G236" s="28" t="str">
        <f aca="false">IF(Data!G236="","",IFERROR(VLOOKUP(Data!G236,Codes!$A$18:$B$19,2,FALSE()),"Invalid ("&amp;Data!G236&amp;")"))</f>
        <v>No</v>
      </c>
      <c r="H236" s="28" t="str">
        <f aca="false">IF(Data!H236="","",IFERROR(VLOOKUP(Data!H236,Codes!$A$23:$B$25,2,FALSE()),"Invalid ("&amp;Data!H236&amp;")"))</f>
        <v>Normal</v>
      </c>
      <c r="I236" s="20" t="n">
        <f aca="false">IF(Data!I236="","",Data!I236)</f>
        <v>163</v>
      </c>
      <c r="J236" s="28" t="str">
        <f aca="false">IF(Data!J236="","",IFERROR(VLOOKUP(Data!J236,Codes!$A$29:$B$30,2,FALSE()),"Invalid ("&amp;Data!J236&amp;")"))</f>
        <v>No</v>
      </c>
      <c r="K236" s="21" t="n">
        <f aca="false">IF(Data!K236="","",Data!K236)</f>
        <v>0</v>
      </c>
      <c r="L236" s="28" t="str">
        <f aca="false">IF(Data!L236="","",IFERROR(VLOOKUP(Data!L236,Codes!$A$34:$B$36,2,FALSE()),"Invalid ("&amp;Data!L236&amp;")"))</f>
        <v>Upsloping</v>
      </c>
      <c r="M236" s="20" t="n">
        <f aca="false">IF(Data!M236="","",Data!M236)</f>
        <v>1</v>
      </c>
      <c r="N236" s="28" t="str">
        <f aca="false">IF(Data!N236="","",IFERROR(VLOOKUP(Data!N236,Codes!$A$47:$B$49,2,FALSE()),"Invalid ("&amp;Data!N236&amp;")"))</f>
        <v>Normal</v>
      </c>
      <c r="O236" s="28" t="str">
        <f aca="false">IF(Data!O236="","",IFERROR(VLOOKUP(Data!O236,Codes!$A$53:$B$57,2,FALSE()),"Invalid ("&amp;Data!O236&amp;")"))</f>
        <v>No disease</v>
      </c>
      <c r="P236" s="22" t="str">
        <f aca="false">IF(Data!P236="","",IFERROR(VLOOKUP(Data!P236,Codes!$A$61:$B$64,2,FALSE()),"Invalid ("&amp;Data!P236&amp;")"))</f>
        <v>Cleveland Clinic</v>
      </c>
    </row>
    <row r="237" customFormat="false" ht="15" hidden="false" customHeight="false" outlineLevel="0" collapsed="false">
      <c r="A237" s="19" t="n">
        <f aca="false">Data!A237</f>
        <v>236</v>
      </c>
      <c r="B237" s="20" t="n">
        <f aca="false">IF(Data!B237="","",Data!B237)</f>
        <v>54</v>
      </c>
      <c r="C237" s="28" t="str">
        <f aca="false">IF(Data!C237="","",IFERROR(VLOOKUP(Data!C237,Codes!$A$6:$B$7,2,FALSE()),"Invalid ("&amp;Data!C237&amp;")"))</f>
        <v>Male</v>
      </c>
      <c r="D237" s="28" t="str">
        <f aca="false">IF(Data!D237="","",IFERROR(VLOOKUP(Data!D237,Codes!$A$11:$B$14,2,FALSE()),"Invalid ("&amp;Data!D237&amp;")"))</f>
        <v>Asymptomatic</v>
      </c>
      <c r="E237" s="20" t="n">
        <f aca="false">IF(Data!E237="","",Data!E237)</f>
        <v>122</v>
      </c>
      <c r="F237" s="20" t="n">
        <f aca="false">IF(Data!F237="","",Data!F237)</f>
        <v>286</v>
      </c>
      <c r="G237" s="28" t="str">
        <f aca="false">IF(Data!G237="","",IFERROR(VLOOKUP(Data!G237,Codes!$A$18:$B$19,2,FALSE()),"Invalid ("&amp;Data!G237&amp;")"))</f>
        <v>No</v>
      </c>
      <c r="H237" s="28" t="str">
        <f aca="false">IF(Data!H237="","",IFERROR(VLOOKUP(Data!H237,Codes!$A$23:$B$25,2,FALSE()),"Invalid ("&amp;Data!H237&amp;")"))</f>
        <v>Left ventricular hypertrophy</v>
      </c>
      <c r="I237" s="20" t="n">
        <f aca="false">IF(Data!I237="","",Data!I237)</f>
        <v>116</v>
      </c>
      <c r="J237" s="28" t="str">
        <f aca="false">IF(Data!J237="","",IFERROR(VLOOKUP(Data!J237,Codes!$A$29:$B$30,2,FALSE()),"Invalid ("&amp;Data!J237&amp;")"))</f>
        <v>Yes</v>
      </c>
      <c r="K237" s="21" t="n">
        <f aca="false">IF(Data!K237="","",Data!K237)</f>
        <v>3.2</v>
      </c>
      <c r="L237" s="28" t="str">
        <f aca="false">IF(Data!L237="","",IFERROR(VLOOKUP(Data!L237,Codes!$A$34:$B$36,2,FALSE()),"Invalid ("&amp;Data!L237&amp;")"))</f>
        <v>Flat</v>
      </c>
      <c r="M237" s="20" t="n">
        <f aca="false">IF(Data!M237="","",Data!M237)</f>
        <v>2</v>
      </c>
      <c r="N237" s="28" t="str">
        <f aca="false">IF(Data!N237="","",IFERROR(VLOOKUP(Data!N237,Codes!$A$47:$B$49,2,FALSE()),"Invalid ("&amp;Data!N237&amp;")"))</f>
        <v>Normal</v>
      </c>
      <c r="O237" s="28" t="str">
        <f aca="false">IF(Data!O237="","",IFERROR(VLOOKUP(Data!O237,Codes!$A$53:$B$57,2,FALSE()),"Invalid ("&amp;Data!O237&amp;")"))</f>
        <v>Disease (3)</v>
      </c>
      <c r="P237" s="22" t="str">
        <f aca="false">IF(Data!P237="","",IFERROR(VLOOKUP(Data!P237,Codes!$A$61:$B$64,2,FALSE()),"Invalid ("&amp;Data!P237&amp;")"))</f>
        <v>Cleveland Clinic</v>
      </c>
    </row>
    <row r="238" customFormat="false" ht="15" hidden="false" customHeight="false" outlineLevel="0" collapsed="false">
      <c r="A238" s="19" t="n">
        <f aca="false">Data!A238</f>
        <v>237</v>
      </c>
      <c r="B238" s="20" t="n">
        <f aca="false">IF(Data!B238="","",Data!B238)</f>
        <v>56</v>
      </c>
      <c r="C238" s="28" t="str">
        <f aca="false">IF(Data!C238="","",IFERROR(VLOOKUP(Data!C238,Codes!$A$6:$B$7,2,FALSE()),"Invalid ("&amp;Data!C238&amp;")"))</f>
        <v>Male</v>
      </c>
      <c r="D238" s="28" t="str">
        <f aca="false">IF(Data!D238="","",IFERROR(VLOOKUP(Data!D238,Codes!$A$11:$B$14,2,FALSE()),"Invalid ("&amp;Data!D238&amp;")"))</f>
        <v>Asymptomatic</v>
      </c>
      <c r="E238" s="20" t="n">
        <f aca="false">IF(Data!E238="","",Data!E238)</f>
        <v>130</v>
      </c>
      <c r="F238" s="20" t="n">
        <f aca="false">IF(Data!F238="","",Data!F238)</f>
        <v>283</v>
      </c>
      <c r="G238" s="28" t="str">
        <f aca="false">IF(Data!G238="","",IFERROR(VLOOKUP(Data!G238,Codes!$A$18:$B$19,2,FALSE()),"Invalid ("&amp;Data!G238&amp;")"))</f>
        <v>Yes</v>
      </c>
      <c r="H238" s="28" t="str">
        <f aca="false">IF(Data!H238="","",IFERROR(VLOOKUP(Data!H238,Codes!$A$23:$B$25,2,FALSE()),"Invalid ("&amp;Data!H238&amp;")"))</f>
        <v>Left ventricular hypertrophy</v>
      </c>
      <c r="I238" s="20" t="n">
        <f aca="false">IF(Data!I238="","",Data!I238)</f>
        <v>103</v>
      </c>
      <c r="J238" s="28" t="str">
        <f aca="false">IF(Data!J238="","",IFERROR(VLOOKUP(Data!J238,Codes!$A$29:$B$30,2,FALSE()),"Invalid ("&amp;Data!J238&amp;")"))</f>
        <v>Yes</v>
      </c>
      <c r="K238" s="21" t="n">
        <f aca="false">IF(Data!K238="","",Data!K238)</f>
        <v>1.6</v>
      </c>
      <c r="L238" s="28" t="str">
        <f aca="false">IF(Data!L238="","",IFERROR(VLOOKUP(Data!L238,Codes!$A$34:$B$36,2,FALSE()),"Invalid ("&amp;Data!L238&amp;")"))</f>
        <v>Downsloping</v>
      </c>
      <c r="M238" s="20" t="n">
        <f aca="false">IF(Data!M238="","",Data!M238)</f>
        <v>0</v>
      </c>
      <c r="N238" s="28" t="str">
        <f aca="false">IF(Data!N238="","",IFERROR(VLOOKUP(Data!N238,Codes!$A$47:$B$49,2,FALSE()),"Invalid ("&amp;Data!N238&amp;")"))</f>
        <v>Reversible defect</v>
      </c>
      <c r="O238" s="28" t="str">
        <f aca="false">IF(Data!O238="","",IFERROR(VLOOKUP(Data!O238,Codes!$A$53:$B$57,2,FALSE()),"Invalid ("&amp;Data!O238&amp;")"))</f>
        <v>Disease (2)</v>
      </c>
      <c r="P238" s="22" t="str">
        <f aca="false">IF(Data!P238="","",IFERROR(VLOOKUP(Data!P238,Codes!$A$61:$B$64,2,FALSE()),"Invalid ("&amp;Data!P238&amp;")"))</f>
        <v>Cleveland Clinic</v>
      </c>
    </row>
    <row r="239" customFormat="false" ht="15" hidden="false" customHeight="false" outlineLevel="0" collapsed="false">
      <c r="A239" s="19" t="n">
        <f aca="false">Data!A239</f>
        <v>238</v>
      </c>
      <c r="B239" s="20" t="n">
        <f aca="false">IF(Data!B239="","",Data!B239)</f>
        <v>46</v>
      </c>
      <c r="C239" s="28" t="str">
        <f aca="false">IF(Data!C239="","",IFERROR(VLOOKUP(Data!C239,Codes!$A$6:$B$7,2,FALSE()),"Invalid ("&amp;Data!C239&amp;")"))</f>
        <v>Male</v>
      </c>
      <c r="D239" s="28" t="str">
        <f aca="false">IF(Data!D239="","",IFERROR(VLOOKUP(Data!D239,Codes!$A$11:$B$14,2,FALSE()),"Invalid ("&amp;Data!D239&amp;")"))</f>
        <v>Asymptomatic</v>
      </c>
      <c r="E239" s="20" t="n">
        <f aca="false">IF(Data!E239="","",Data!E239)</f>
        <v>120</v>
      </c>
      <c r="F239" s="20" t="n">
        <f aca="false">IF(Data!F239="","",Data!F239)</f>
        <v>249</v>
      </c>
      <c r="G239" s="28" t="str">
        <f aca="false">IF(Data!G239="","",IFERROR(VLOOKUP(Data!G239,Codes!$A$18:$B$19,2,FALSE()),"Invalid ("&amp;Data!G239&amp;")"))</f>
        <v>No</v>
      </c>
      <c r="H239" s="28" t="str">
        <f aca="false">IF(Data!H239="","",IFERROR(VLOOKUP(Data!H239,Codes!$A$23:$B$25,2,FALSE()),"Invalid ("&amp;Data!H239&amp;")"))</f>
        <v>Left ventricular hypertrophy</v>
      </c>
      <c r="I239" s="20" t="n">
        <f aca="false">IF(Data!I239="","",Data!I239)</f>
        <v>144</v>
      </c>
      <c r="J239" s="28" t="str">
        <f aca="false">IF(Data!J239="","",IFERROR(VLOOKUP(Data!J239,Codes!$A$29:$B$30,2,FALSE()),"Invalid ("&amp;Data!J239&amp;")"))</f>
        <v>No</v>
      </c>
      <c r="K239" s="21" t="n">
        <f aca="false">IF(Data!K239="","",Data!K239)</f>
        <v>0.8</v>
      </c>
      <c r="L239" s="28" t="str">
        <f aca="false">IF(Data!L239="","",IFERROR(VLOOKUP(Data!L239,Codes!$A$34:$B$36,2,FALSE()),"Invalid ("&amp;Data!L239&amp;")"))</f>
        <v>Upsloping</v>
      </c>
      <c r="M239" s="20" t="n">
        <f aca="false">IF(Data!M239="","",Data!M239)</f>
        <v>0</v>
      </c>
      <c r="N239" s="28" t="str">
        <f aca="false">IF(Data!N239="","",IFERROR(VLOOKUP(Data!N239,Codes!$A$47:$B$49,2,FALSE()),"Invalid ("&amp;Data!N239&amp;")"))</f>
        <v>Reversible defect</v>
      </c>
      <c r="O239" s="28" t="str">
        <f aca="false">IF(Data!O239="","",IFERROR(VLOOKUP(Data!O239,Codes!$A$53:$B$57,2,FALSE()),"Invalid ("&amp;Data!O239&amp;")"))</f>
        <v>Disease (1)</v>
      </c>
      <c r="P239" s="22" t="str">
        <f aca="false">IF(Data!P239="","",IFERROR(VLOOKUP(Data!P239,Codes!$A$61:$B$64,2,FALSE()),"Invalid ("&amp;Data!P239&amp;")"))</f>
        <v>Cleveland Clinic</v>
      </c>
    </row>
    <row r="240" customFormat="false" ht="15" hidden="false" customHeight="false" outlineLevel="0" collapsed="false">
      <c r="A240" s="19" t="n">
        <f aca="false">Data!A240</f>
        <v>239</v>
      </c>
      <c r="B240" s="20" t="n">
        <f aca="false">IF(Data!B240="","",Data!B240)</f>
        <v>49</v>
      </c>
      <c r="C240" s="28" t="str">
        <f aca="false">IF(Data!C240="","",IFERROR(VLOOKUP(Data!C240,Codes!$A$6:$B$7,2,FALSE()),"Invalid ("&amp;Data!C240&amp;")"))</f>
        <v>Female</v>
      </c>
      <c r="D240" s="28" t="str">
        <f aca="false">IF(Data!D240="","",IFERROR(VLOOKUP(Data!D240,Codes!$A$11:$B$14,2,FALSE()),"Invalid ("&amp;Data!D240&amp;")"))</f>
        <v>Atypical angina</v>
      </c>
      <c r="E240" s="20" t="n">
        <f aca="false">IF(Data!E240="","",Data!E240)</f>
        <v>134</v>
      </c>
      <c r="F240" s="20" t="n">
        <f aca="false">IF(Data!F240="","",Data!F240)</f>
        <v>271</v>
      </c>
      <c r="G240" s="28" t="str">
        <f aca="false">IF(Data!G240="","",IFERROR(VLOOKUP(Data!G240,Codes!$A$18:$B$19,2,FALSE()),"Invalid ("&amp;Data!G240&amp;")"))</f>
        <v>No</v>
      </c>
      <c r="H240" s="28" t="str">
        <f aca="false">IF(Data!H240="","",IFERROR(VLOOKUP(Data!H240,Codes!$A$23:$B$25,2,FALSE()),"Invalid ("&amp;Data!H240&amp;")"))</f>
        <v>Normal</v>
      </c>
      <c r="I240" s="20" t="n">
        <f aca="false">IF(Data!I240="","",Data!I240)</f>
        <v>162</v>
      </c>
      <c r="J240" s="28" t="str">
        <f aca="false">IF(Data!J240="","",IFERROR(VLOOKUP(Data!J240,Codes!$A$29:$B$30,2,FALSE()),"Invalid ("&amp;Data!J240&amp;")"))</f>
        <v>No</v>
      </c>
      <c r="K240" s="21" t="n">
        <f aca="false">IF(Data!K240="","",Data!K240)</f>
        <v>0</v>
      </c>
      <c r="L240" s="28" t="str">
        <f aca="false">IF(Data!L240="","",IFERROR(VLOOKUP(Data!L240,Codes!$A$34:$B$36,2,FALSE()),"Invalid ("&amp;Data!L240&amp;")"))</f>
        <v>Flat</v>
      </c>
      <c r="M240" s="20" t="n">
        <f aca="false">IF(Data!M240="","",Data!M240)</f>
        <v>0</v>
      </c>
      <c r="N240" s="28" t="str">
        <f aca="false">IF(Data!N240="","",IFERROR(VLOOKUP(Data!N240,Codes!$A$47:$B$49,2,FALSE()),"Invalid ("&amp;Data!N240&amp;")"))</f>
        <v>Normal</v>
      </c>
      <c r="O240" s="28" t="str">
        <f aca="false">IF(Data!O240="","",IFERROR(VLOOKUP(Data!O240,Codes!$A$53:$B$57,2,FALSE()),"Invalid ("&amp;Data!O240&amp;")"))</f>
        <v>No disease</v>
      </c>
      <c r="P240" s="22" t="str">
        <f aca="false">IF(Data!P240="","",IFERROR(VLOOKUP(Data!P240,Codes!$A$61:$B$64,2,FALSE()),"Invalid ("&amp;Data!P240&amp;")"))</f>
        <v>Cleveland Clinic</v>
      </c>
    </row>
    <row r="241" customFormat="false" ht="15" hidden="false" customHeight="false" outlineLevel="0" collapsed="false">
      <c r="A241" s="19" t="n">
        <f aca="false">Data!A241</f>
        <v>240</v>
      </c>
      <c r="B241" s="20" t="n">
        <f aca="false">IF(Data!B241="","",Data!B241)</f>
        <v>42</v>
      </c>
      <c r="C241" s="28" t="str">
        <f aca="false">IF(Data!C241="","",IFERROR(VLOOKUP(Data!C241,Codes!$A$6:$B$7,2,FALSE()),"Invalid ("&amp;Data!C241&amp;")"))</f>
        <v>Male</v>
      </c>
      <c r="D241" s="28" t="str">
        <f aca="false">IF(Data!D241="","",IFERROR(VLOOKUP(Data!D241,Codes!$A$11:$B$14,2,FALSE()),"Invalid ("&amp;Data!D241&amp;")"))</f>
        <v>Atypical angina</v>
      </c>
      <c r="E241" s="20" t="n">
        <f aca="false">IF(Data!E241="","",Data!E241)</f>
        <v>120</v>
      </c>
      <c r="F241" s="20" t="n">
        <f aca="false">IF(Data!F241="","",Data!F241)</f>
        <v>295</v>
      </c>
      <c r="G241" s="28" t="str">
        <f aca="false">IF(Data!G241="","",IFERROR(VLOOKUP(Data!G241,Codes!$A$18:$B$19,2,FALSE()),"Invalid ("&amp;Data!G241&amp;")"))</f>
        <v>No</v>
      </c>
      <c r="H241" s="28" t="str">
        <f aca="false">IF(Data!H241="","",IFERROR(VLOOKUP(Data!H241,Codes!$A$23:$B$25,2,FALSE()),"Invalid ("&amp;Data!H241&amp;")"))</f>
        <v>Normal</v>
      </c>
      <c r="I241" s="20" t="n">
        <f aca="false">IF(Data!I241="","",Data!I241)</f>
        <v>162</v>
      </c>
      <c r="J241" s="28" t="str">
        <f aca="false">IF(Data!J241="","",IFERROR(VLOOKUP(Data!J241,Codes!$A$29:$B$30,2,FALSE()),"Invalid ("&amp;Data!J241&amp;")"))</f>
        <v>No</v>
      </c>
      <c r="K241" s="21" t="n">
        <f aca="false">IF(Data!K241="","",Data!K241)</f>
        <v>0</v>
      </c>
      <c r="L241" s="28" t="str">
        <f aca="false">IF(Data!L241="","",IFERROR(VLOOKUP(Data!L241,Codes!$A$34:$B$36,2,FALSE()),"Invalid ("&amp;Data!L241&amp;")"))</f>
        <v>Upsloping</v>
      </c>
      <c r="M241" s="20" t="n">
        <f aca="false">IF(Data!M241="","",Data!M241)</f>
        <v>0</v>
      </c>
      <c r="N241" s="28" t="str">
        <f aca="false">IF(Data!N241="","",IFERROR(VLOOKUP(Data!N241,Codes!$A$47:$B$49,2,FALSE()),"Invalid ("&amp;Data!N241&amp;")"))</f>
        <v>Normal</v>
      </c>
      <c r="O241" s="28" t="str">
        <f aca="false">IF(Data!O241="","",IFERROR(VLOOKUP(Data!O241,Codes!$A$53:$B$57,2,FALSE()),"Invalid ("&amp;Data!O241&amp;")"))</f>
        <v>No disease</v>
      </c>
      <c r="P241" s="22" t="str">
        <f aca="false">IF(Data!P241="","",IFERROR(VLOOKUP(Data!P241,Codes!$A$61:$B$64,2,FALSE()),"Invalid ("&amp;Data!P241&amp;")"))</f>
        <v>Cleveland Clinic</v>
      </c>
    </row>
    <row r="242" customFormat="false" ht="15" hidden="false" customHeight="false" outlineLevel="0" collapsed="false">
      <c r="A242" s="19" t="n">
        <f aca="false">Data!A242</f>
        <v>241</v>
      </c>
      <c r="B242" s="20" t="n">
        <f aca="false">IF(Data!B242="","",Data!B242)</f>
        <v>41</v>
      </c>
      <c r="C242" s="28" t="str">
        <f aca="false">IF(Data!C242="","",IFERROR(VLOOKUP(Data!C242,Codes!$A$6:$B$7,2,FALSE()),"Invalid ("&amp;Data!C242&amp;")"))</f>
        <v>Male</v>
      </c>
      <c r="D242" s="28" t="str">
        <f aca="false">IF(Data!D242="","",IFERROR(VLOOKUP(Data!D242,Codes!$A$11:$B$14,2,FALSE()),"Invalid ("&amp;Data!D242&amp;")"))</f>
        <v>Atypical angina</v>
      </c>
      <c r="E242" s="20" t="n">
        <f aca="false">IF(Data!E242="","",Data!E242)</f>
        <v>110</v>
      </c>
      <c r="F242" s="20" t="n">
        <f aca="false">IF(Data!F242="","",Data!F242)</f>
        <v>235</v>
      </c>
      <c r="G242" s="28" t="str">
        <f aca="false">IF(Data!G242="","",IFERROR(VLOOKUP(Data!G242,Codes!$A$18:$B$19,2,FALSE()),"Invalid ("&amp;Data!G242&amp;")"))</f>
        <v>No</v>
      </c>
      <c r="H242" s="28" t="str">
        <f aca="false">IF(Data!H242="","",IFERROR(VLOOKUP(Data!H242,Codes!$A$23:$B$25,2,FALSE()),"Invalid ("&amp;Data!H242&amp;")"))</f>
        <v>Normal</v>
      </c>
      <c r="I242" s="20" t="n">
        <f aca="false">IF(Data!I242="","",Data!I242)</f>
        <v>153</v>
      </c>
      <c r="J242" s="28" t="str">
        <f aca="false">IF(Data!J242="","",IFERROR(VLOOKUP(Data!J242,Codes!$A$29:$B$30,2,FALSE()),"Invalid ("&amp;Data!J242&amp;")"))</f>
        <v>No</v>
      </c>
      <c r="K242" s="21" t="n">
        <f aca="false">IF(Data!K242="","",Data!K242)</f>
        <v>0</v>
      </c>
      <c r="L242" s="28" t="str">
        <f aca="false">IF(Data!L242="","",IFERROR(VLOOKUP(Data!L242,Codes!$A$34:$B$36,2,FALSE()),"Invalid ("&amp;Data!L242&amp;")"))</f>
        <v>Upsloping</v>
      </c>
      <c r="M242" s="20" t="n">
        <f aca="false">IF(Data!M242="","",Data!M242)</f>
        <v>0</v>
      </c>
      <c r="N242" s="28" t="str">
        <f aca="false">IF(Data!N242="","",IFERROR(VLOOKUP(Data!N242,Codes!$A$47:$B$49,2,FALSE()),"Invalid ("&amp;Data!N242&amp;")"))</f>
        <v>Normal</v>
      </c>
      <c r="O242" s="28" t="str">
        <f aca="false">IF(Data!O242="","",IFERROR(VLOOKUP(Data!O242,Codes!$A$53:$B$57,2,FALSE()),"Invalid ("&amp;Data!O242&amp;")"))</f>
        <v>No disease</v>
      </c>
      <c r="P242" s="22" t="str">
        <f aca="false">IF(Data!P242="","",IFERROR(VLOOKUP(Data!P242,Codes!$A$61:$B$64,2,FALSE()),"Invalid ("&amp;Data!P242&amp;")"))</f>
        <v>Cleveland Clinic</v>
      </c>
    </row>
    <row r="243" customFormat="false" ht="15" hidden="false" customHeight="false" outlineLevel="0" collapsed="false">
      <c r="A243" s="19" t="n">
        <f aca="false">Data!A243</f>
        <v>242</v>
      </c>
      <c r="B243" s="20" t="n">
        <f aca="false">IF(Data!B243="","",Data!B243)</f>
        <v>41</v>
      </c>
      <c r="C243" s="28" t="str">
        <f aca="false">IF(Data!C243="","",IFERROR(VLOOKUP(Data!C243,Codes!$A$6:$B$7,2,FALSE()),"Invalid ("&amp;Data!C243&amp;")"))</f>
        <v>Female</v>
      </c>
      <c r="D243" s="28" t="str">
        <f aca="false">IF(Data!D243="","",IFERROR(VLOOKUP(Data!D243,Codes!$A$11:$B$14,2,FALSE()),"Invalid ("&amp;Data!D243&amp;")"))</f>
        <v>Atypical angina</v>
      </c>
      <c r="E243" s="20" t="n">
        <f aca="false">IF(Data!E243="","",Data!E243)</f>
        <v>126</v>
      </c>
      <c r="F243" s="20" t="n">
        <f aca="false">IF(Data!F243="","",Data!F243)</f>
        <v>306</v>
      </c>
      <c r="G243" s="28" t="str">
        <f aca="false">IF(Data!G243="","",IFERROR(VLOOKUP(Data!G243,Codes!$A$18:$B$19,2,FALSE()),"Invalid ("&amp;Data!G243&amp;")"))</f>
        <v>No</v>
      </c>
      <c r="H243" s="28" t="str">
        <f aca="false">IF(Data!H243="","",IFERROR(VLOOKUP(Data!H243,Codes!$A$23:$B$25,2,FALSE()),"Invalid ("&amp;Data!H243&amp;")"))</f>
        <v>Normal</v>
      </c>
      <c r="I243" s="20" t="n">
        <f aca="false">IF(Data!I243="","",Data!I243)</f>
        <v>163</v>
      </c>
      <c r="J243" s="28" t="str">
        <f aca="false">IF(Data!J243="","",IFERROR(VLOOKUP(Data!J243,Codes!$A$29:$B$30,2,FALSE()),"Invalid ("&amp;Data!J243&amp;")"))</f>
        <v>No</v>
      </c>
      <c r="K243" s="21" t="n">
        <f aca="false">IF(Data!K243="","",Data!K243)</f>
        <v>0</v>
      </c>
      <c r="L243" s="28" t="str">
        <f aca="false">IF(Data!L243="","",IFERROR(VLOOKUP(Data!L243,Codes!$A$34:$B$36,2,FALSE()),"Invalid ("&amp;Data!L243&amp;")"))</f>
        <v>Upsloping</v>
      </c>
      <c r="M243" s="20" t="n">
        <f aca="false">IF(Data!M243="","",Data!M243)</f>
        <v>0</v>
      </c>
      <c r="N243" s="28" t="str">
        <f aca="false">IF(Data!N243="","",IFERROR(VLOOKUP(Data!N243,Codes!$A$47:$B$49,2,FALSE()),"Invalid ("&amp;Data!N243&amp;")"))</f>
        <v>Normal</v>
      </c>
      <c r="O243" s="28" t="str">
        <f aca="false">IF(Data!O243="","",IFERROR(VLOOKUP(Data!O243,Codes!$A$53:$B$57,2,FALSE()),"Invalid ("&amp;Data!O243&amp;")"))</f>
        <v>No disease</v>
      </c>
      <c r="P243" s="22" t="str">
        <f aca="false">IF(Data!P243="","",IFERROR(VLOOKUP(Data!P243,Codes!$A$61:$B$64,2,FALSE()),"Invalid ("&amp;Data!P243&amp;")"))</f>
        <v>Cleveland Clinic</v>
      </c>
    </row>
    <row r="244" customFormat="false" ht="15" hidden="false" customHeight="false" outlineLevel="0" collapsed="false">
      <c r="A244" s="19" t="n">
        <f aca="false">Data!A244</f>
        <v>243</v>
      </c>
      <c r="B244" s="20" t="n">
        <f aca="false">IF(Data!B244="","",Data!B244)</f>
        <v>49</v>
      </c>
      <c r="C244" s="28" t="str">
        <f aca="false">IF(Data!C244="","",IFERROR(VLOOKUP(Data!C244,Codes!$A$6:$B$7,2,FALSE()),"Invalid ("&amp;Data!C244&amp;")"))</f>
        <v>Female</v>
      </c>
      <c r="D244" s="28" t="str">
        <f aca="false">IF(Data!D244="","",IFERROR(VLOOKUP(Data!D244,Codes!$A$11:$B$14,2,FALSE()),"Invalid ("&amp;Data!D244&amp;")"))</f>
        <v>Asymptomatic</v>
      </c>
      <c r="E244" s="20" t="n">
        <f aca="false">IF(Data!E244="","",Data!E244)</f>
        <v>130</v>
      </c>
      <c r="F244" s="20" t="n">
        <f aca="false">IF(Data!F244="","",Data!F244)</f>
        <v>269</v>
      </c>
      <c r="G244" s="28" t="str">
        <f aca="false">IF(Data!G244="","",IFERROR(VLOOKUP(Data!G244,Codes!$A$18:$B$19,2,FALSE()),"Invalid ("&amp;Data!G244&amp;")"))</f>
        <v>No</v>
      </c>
      <c r="H244" s="28" t="str">
        <f aca="false">IF(Data!H244="","",IFERROR(VLOOKUP(Data!H244,Codes!$A$23:$B$25,2,FALSE()),"Invalid ("&amp;Data!H244&amp;")"))</f>
        <v>Normal</v>
      </c>
      <c r="I244" s="20" t="n">
        <f aca="false">IF(Data!I244="","",Data!I244)</f>
        <v>163</v>
      </c>
      <c r="J244" s="28" t="str">
        <f aca="false">IF(Data!J244="","",IFERROR(VLOOKUP(Data!J244,Codes!$A$29:$B$30,2,FALSE()),"Invalid ("&amp;Data!J244&amp;")"))</f>
        <v>No</v>
      </c>
      <c r="K244" s="21" t="n">
        <f aca="false">IF(Data!K244="","",Data!K244)</f>
        <v>0</v>
      </c>
      <c r="L244" s="28" t="str">
        <f aca="false">IF(Data!L244="","",IFERROR(VLOOKUP(Data!L244,Codes!$A$34:$B$36,2,FALSE()),"Invalid ("&amp;Data!L244&amp;")"))</f>
        <v>Upsloping</v>
      </c>
      <c r="M244" s="20" t="n">
        <f aca="false">IF(Data!M244="","",Data!M244)</f>
        <v>0</v>
      </c>
      <c r="N244" s="28" t="str">
        <f aca="false">IF(Data!N244="","",IFERROR(VLOOKUP(Data!N244,Codes!$A$47:$B$49,2,FALSE()),"Invalid ("&amp;Data!N244&amp;")"))</f>
        <v>Normal</v>
      </c>
      <c r="O244" s="28" t="str">
        <f aca="false">IF(Data!O244="","",IFERROR(VLOOKUP(Data!O244,Codes!$A$53:$B$57,2,FALSE()),"Invalid ("&amp;Data!O244&amp;")"))</f>
        <v>No disease</v>
      </c>
      <c r="P244" s="22" t="str">
        <f aca="false">IF(Data!P244="","",IFERROR(VLOOKUP(Data!P244,Codes!$A$61:$B$64,2,FALSE()),"Invalid ("&amp;Data!P244&amp;")"))</f>
        <v>Cleveland Clinic</v>
      </c>
    </row>
    <row r="245" customFormat="false" ht="15" hidden="false" customHeight="false" outlineLevel="0" collapsed="false">
      <c r="A245" s="19" t="n">
        <f aca="false">Data!A245</f>
        <v>244</v>
      </c>
      <c r="B245" s="20" t="n">
        <f aca="false">IF(Data!B245="","",Data!B245)</f>
        <v>61</v>
      </c>
      <c r="C245" s="28" t="str">
        <f aca="false">IF(Data!C245="","",IFERROR(VLOOKUP(Data!C245,Codes!$A$6:$B$7,2,FALSE()),"Invalid ("&amp;Data!C245&amp;")"))</f>
        <v>Male</v>
      </c>
      <c r="D245" s="28" t="str">
        <f aca="false">IF(Data!D245="","",IFERROR(VLOOKUP(Data!D245,Codes!$A$11:$B$14,2,FALSE()),"Invalid ("&amp;Data!D245&amp;")"))</f>
        <v>Typical angina</v>
      </c>
      <c r="E245" s="20" t="n">
        <f aca="false">IF(Data!E245="","",Data!E245)</f>
        <v>134</v>
      </c>
      <c r="F245" s="20" t="n">
        <f aca="false">IF(Data!F245="","",Data!F245)</f>
        <v>234</v>
      </c>
      <c r="G245" s="28" t="str">
        <f aca="false">IF(Data!G245="","",IFERROR(VLOOKUP(Data!G245,Codes!$A$18:$B$19,2,FALSE()),"Invalid ("&amp;Data!G245&amp;")"))</f>
        <v>No</v>
      </c>
      <c r="H245" s="28" t="str">
        <f aca="false">IF(Data!H245="","",IFERROR(VLOOKUP(Data!H245,Codes!$A$23:$B$25,2,FALSE()),"Invalid ("&amp;Data!H245&amp;")"))</f>
        <v>Normal</v>
      </c>
      <c r="I245" s="20" t="n">
        <f aca="false">IF(Data!I245="","",Data!I245)</f>
        <v>145</v>
      </c>
      <c r="J245" s="28" t="str">
        <f aca="false">IF(Data!J245="","",IFERROR(VLOOKUP(Data!J245,Codes!$A$29:$B$30,2,FALSE()),"Invalid ("&amp;Data!J245&amp;")"))</f>
        <v>No</v>
      </c>
      <c r="K245" s="21" t="n">
        <f aca="false">IF(Data!K245="","",Data!K245)</f>
        <v>2.6</v>
      </c>
      <c r="L245" s="28" t="str">
        <f aca="false">IF(Data!L245="","",IFERROR(VLOOKUP(Data!L245,Codes!$A$34:$B$36,2,FALSE()),"Invalid ("&amp;Data!L245&amp;")"))</f>
        <v>Flat</v>
      </c>
      <c r="M245" s="20" t="n">
        <f aca="false">IF(Data!M245="","",Data!M245)</f>
        <v>2</v>
      </c>
      <c r="N245" s="28" t="str">
        <f aca="false">IF(Data!N245="","",IFERROR(VLOOKUP(Data!N245,Codes!$A$47:$B$49,2,FALSE()),"Invalid ("&amp;Data!N245&amp;")"))</f>
        <v>Normal</v>
      </c>
      <c r="O245" s="28" t="str">
        <f aca="false">IF(Data!O245="","",IFERROR(VLOOKUP(Data!O245,Codes!$A$53:$B$57,2,FALSE()),"Invalid ("&amp;Data!O245&amp;")"))</f>
        <v>Disease (2)</v>
      </c>
      <c r="P245" s="22" t="str">
        <f aca="false">IF(Data!P245="","",IFERROR(VLOOKUP(Data!P245,Codes!$A$61:$B$64,2,FALSE()),"Invalid ("&amp;Data!P245&amp;")"))</f>
        <v>Cleveland Clinic</v>
      </c>
    </row>
    <row r="246" customFormat="false" ht="15" hidden="false" customHeight="false" outlineLevel="0" collapsed="false">
      <c r="A246" s="19" t="n">
        <f aca="false">Data!A246</f>
        <v>245</v>
      </c>
      <c r="B246" s="20" t="n">
        <f aca="false">IF(Data!B246="","",Data!B246)</f>
        <v>60</v>
      </c>
      <c r="C246" s="28" t="str">
        <f aca="false">IF(Data!C246="","",IFERROR(VLOOKUP(Data!C246,Codes!$A$6:$B$7,2,FALSE()),"Invalid ("&amp;Data!C246&amp;")"))</f>
        <v>Female</v>
      </c>
      <c r="D246" s="28" t="str">
        <f aca="false">IF(Data!D246="","",IFERROR(VLOOKUP(Data!D246,Codes!$A$11:$B$14,2,FALSE()),"Invalid ("&amp;Data!D246&amp;")"))</f>
        <v>Non-anginal pain</v>
      </c>
      <c r="E246" s="20" t="n">
        <f aca="false">IF(Data!E246="","",Data!E246)</f>
        <v>120</v>
      </c>
      <c r="F246" s="20" t="n">
        <f aca="false">IF(Data!F246="","",Data!F246)</f>
        <v>178</v>
      </c>
      <c r="G246" s="28" t="str">
        <f aca="false">IF(Data!G246="","",IFERROR(VLOOKUP(Data!G246,Codes!$A$18:$B$19,2,FALSE()),"Invalid ("&amp;Data!G246&amp;")"))</f>
        <v>Yes</v>
      </c>
      <c r="H246" s="28" t="str">
        <f aca="false">IF(Data!H246="","",IFERROR(VLOOKUP(Data!H246,Codes!$A$23:$B$25,2,FALSE()),"Invalid ("&amp;Data!H246&amp;")"))</f>
        <v>Normal</v>
      </c>
      <c r="I246" s="20" t="n">
        <f aca="false">IF(Data!I246="","",Data!I246)</f>
        <v>96</v>
      </c>
      <c r="J246" s="28" t="str">
        <f aca="false">IF(Data!J246="","",IFERROR(VLOOKUP(Data!J246,Codes!$A$29:$B$30,2,FALSE()),"Invalid ("&amp;Data!J246&amp;")"))</f>
        <v>No</v>
      </c>
      <c r="K246" s="21" t="n">
        <f aca="false">IF(Data!K246="","",Data!K246)</f>
        <v>0</v>
      </c>
      <c r="L246" s="28" t="str">
        <f aca="false">IF(Data!L246="","",IFERROR(VLOOKUP(Data!L246,Codes!$A$34:$B$36,2,FALSE()),"Invalid ("&amp;Data!L246&amp;")"))</f>
        <v>Upsloping</v>
      </c>
      <c r="M246" s="20" t="n">
        <f aca="false">IF(Data!M246="","",Data!M246)</f>
        <v>0</v>
      </c>
      <c r="N246" s="28" t="str">
        <f aca="false">IF(Data!N246="","",IFERROR(VLOOKUP(Data!N246,Codes!$A$47:$B$49,2,FALSE()),"Invalid ("&amp;Data!N246&amp;")"))</f>
        <v>Normal</v>
      </c>
      <c r="O246" s="28" t="str">
        <f aca="false">IF(Data!O246="","",IFERROR(VLOOKUP(Data!O246,Codes!$A$53:$B$57,2,FALSE()),"Invalid ("&amp;Data!O246&amp;")"))</f>
        <v>No disease</v>
      </c>
      <c r="P246" s="22" t="str">
        <f aca="false">IF(Data!P246="","",IFERROR(VLOOKUP(Data!P246,Codes!$A$61:$B$64,2,FALSE()),"Invalid ("&amp;Data!P246&amp;")"))</f>
        <v>Cleveland Clinic</v>
      </c>
    </row>
    <row r="247" customFormat="false" ht="15" hidden="false" customHeight="false" outlineLevel="0" collapsed="false">
      <c r="A247" s="19" t="n">
        <f aca="false">Data!A247</f>
        <v>246</v>
      </c>
      <c r="B247" s="20" t="n">
        <f aca="false">IF(Data!B247="","",Data!B247)</f>
        <v>67</v>
      </c>
      <c r="C247" s="28" t="str">
        <f aca="false">IF(Data!C247="","",IFERROR(VLOOKUP(Data!C247,Codes!$A$6:$B$7,2,FALSE()),"Invalid ("&amp;Data!C247&amp;")"))</f>
        <v>Male</v>
      </c>
      <c r="D247" s="28" t="str">
        <f aca="false">IF(Data!D247="","",IFERROR(VLOOKUP(Data!D247,Codes!$A$11:$B$14,2,FALSE()),"Invalid ("&amp;Data!D247&amp;")"))</f>
        <v>Asymptomatic</v>
      </c>
      <c r="E247" s="20" t="n">
        <f aca="false">IF(Data!E247="","",Data!E247)</f>
        <v>120</v>
      </c>
      <c r="F247" s="20" t="n">
        <f aca="false">IF(Data!F247="","",Data!F247)</f>
        <v>237</v>
      </c>
      <c r="G247" s="28" t="str">
        <f aca="false">IF(Data!G247="","",IFERROR(VLOOKUP(Data!G247,Codes!$A$18:$B$19,2,FALSE()),"Invalid ("&amp;Data!G247&amp;")"))</f>
        <v>No</v>
      </c>
      <c r="H247" s="28" t="str">
        <f aca="false">IF(Data!H247="","",IFERROR(VLOOKUP(Data!H247,Codes!$A$23:$B$25,2,FALSE()),"Invalid ("&amp;Data!H247&amp;")"))</f>
        <v>Normal</v>
      </c>
      <c r="I247" s="20" t="n">
        <f aca="false">IF(Data!I247="","",Data!I247)</f>
        <v>71</v>
      </c>
      <c r="J247" s="28" t="str">
        <f aca="false">IF(Data!J247="","",IFERROR(VLOOKUP(Data!J247,Codes!$A$29:$B$30,2,FALSE()),"Invalid ("&amp;Data!J247&amp;")"))</f>
        <v>No</v>
      </c>
      <c r="K247" s="21" t="n">
        <f aca="false">IF(Data!K247="","",Data!K247)</f>
        <v>1</v>
      </c>
      <c r="L247" s="28" t="str">
        <f aca="false">IF(Data!L247="","",IFERROR(VLOOKUP(Data!L247,Codes!$A$34:$B$36,2,FALSE()),"Invalid ("&amp;Data!L247&amp;")"))</f>
        <v>Flat</v>
      </c>
      <c r="M247" s="20" t="n">
        <f aca="false">IF(Data!M247="","",Data!M247)</f>
        <v>0</v>
      </c>
      <c r="N247" s="28" t="str">
        <f aca="false">IF(Data!N247="","",IFERROR(VLOOKUP(Data!N247,Codes!$A$47:$B$49,2,FALSE()),"Invalid ("&amp;Data!N247&amp;")"))</f>
        <v>Normal</v>
      </c>
      <c r="O247" s="28" t="str">
        <f aca="false">IF(Data!O247="","",IFERROR(VLOOKUP(Data!O247,Codes!$A$53:$B$57,2,FALSE()),"Invalid ("&amp;Data!O247&amp;")"))</f>
        <v>Disease (2)</v>
      </c>
      <c r="P247" s="22" t="str">
        <f aca="false">IF(Data!P247="","",IFERROR(VLOOKUP(Data!P247,Codes!$A$61:$B$64,2,FALSE()),"Invalid ("&amp;Data!P247&amp;")"))</f>
        <v>Cleveland Clinic</v>
      </c>
    </row>
    <row r="248" customFormat="false" ht="15" hidden="false" customHeight="false" outlineLevel="0" collapsed="false">
      <c r="A248" s="19" t="n">
        <f aca="false">Data!A248</f>
        <v>247</v>
      </c>
      <c r="B248" s="20" t="n">
        <f aca="false">IF(Data!B248="","",Data!B248)</f>
        <v>58</v>
      </c>
      <c r="C248" s="28" t="str">
        <f aca="false">IF(Data!C248="","",IFERROR(VLOOKUP(Data!C248,Codes!$A$6:$B$7,2,FALSE()),"Invalid ("&amp;Data!C248&amp;")"))</f>
        <v>Male</v>
      </c>
      <c r="D248" s="28" t="str">
        <f aca="false">IF(Data!D248="","",IFERROR(VLOOKUP(Data!D248,Codes!$A$11:$B$14,2,FALSE()),"Invalid ("&amp;Data!D248&amp;")"))</f>
        <v>Asymptomatic</v>
      </c>
      <c r="E248" s="20" t="n">
        <f aca="false">IF(Data!E248="","",Data!E248)</f>
        <v>100</v>
      </c>
      <c r="F248" s="20" t="n">
        <f aca="false">IF(Data!F248="","",Data!F248)</f>
        <v>234</v>
      </c>
      <c r="G248" s="28" t="str">
        <f aca="false">IF(Data!G248="","",IFERROR(VLOOKUP(Data!G248,Codes!$A$18:$B$19,2,FALSE()),"Invalid ("&amp;Data!G248&amp;")"))</f>
        <v>No</v>
      </c>
      <c r="H248" s="28" t="str">
        <f aca="false">IF(Data!H248="","",IFERROR(VLOOKUP(Data!H248,Codes!$A$23:$B$25,2,FALSE()),"Invalid ("&amp;Data!H248&amp;")"))</f>
        <v>Normal</v>
      </c>
      <c r="I248" s="20" t="n">
        <f aca="false">IF(Data!I248="","",Data!I248)</f>
        <v>156</v>
      </c>
      <c r="J248" s="28" t="str">
        <f aca="false">IF(Data!J248="","",IFERROR(VLOOKUP(Data!J248,Codes!$A$29:$B$30,2,FALSE()),"Invalid ("&amp;Data!J248&amp;")"))</f>
        <v>No</v>
      </c>
      <c r="K248" s="21" t="n">
        <f aca="false">IF(Data!K248="","",Data!K248)</f>
        <v>0.1</v>
      </c>
      <c r="L248" s="28" t="str">
        <f aca="false">IF(Data!L248="","",IFERROR(VLOOKUP(Data!L248,Codes!$A$34:$B$36,2,FALSE()),"Invalid ("&amp;Data!L248&amp;")"))</f>
        <v>Upsloping</v>
      </c>
      <c r="M248" s="20" t="n">
        <f aca="false">IF(Data!M248="","",Data!M248)</f>
        <v>1</v>
      </c>
      <c r="N248" s="28" t="str">
        <f aca="false">IF(Data!N248="","",IFERROR(VLOOKUP(Data!N248,Codes!$A$47:$B$49,2,FALSE()),"Invalid ("&amp;Data!N248&amp;")"))</f>
        <v>Reversible defect</v>
      </c>
      <c r="O248" s="28" t="str">
        <f aca="false">IF(Data!O248="","",IFERROR(VLOOKUP(Data!O248,Codes!$A$53:$B$57,2,FALSE()),"Invalid ("&amp;Data!O248&amp;")"))</f>
        <v>Disease (2)</v>
      </c>
      <c r="P248" s="22" t="str">
        <f aca="false">IF(Data!P248="","",IFERROR(VLOOKUP(Data!P248,Codes!$A$61:$B$64,2,FALSE()),"Invalid ("&amp;Data!P248&amp;")"))</f>
        <v>Cleveland Clinic</v>
      </c>
    </row>
    <row r="249" customFormat="false" ht="15" hidden="false" customHeight="false" outlineLevel="0" collapsed="false">
      <c r="A249" s="19" t="n">
        <f aca="false">Data!A249</f>
        <v>248</v>
      </c>
      <c r="B249" s="20" t="n">
        <f aca="false">IF(Data!B249="","",Data!B249)</f>
        <v>47</v>
      </c>
      <c r="C249" s="28" t="str">
        <f aca="false">IF(Data!C249="","",IFERROR(VLOOKUP(Data!C249,Codes!$A$6:$B$7,2,FALSE()),"Invalid ("&amp;Data!C249&amp;")"))</f>
        <v>Male</v>
      </c>
      <c r="D249" s="28" t="str">
        <f aca="false">IF(Data!D249="","",IFERROR(VLOOKUP(Data!D249,Codes!$A$11:$B$14,2,FALSE()),"Invalid ("&amp;Data!D249&amp;")"))</f>
        <v>Asymptomatic</v>
      </c>
      <c r="E249" s="20" t="n">
        <f aca="false">IF(Data!E249="","",Data!E249)</f>
        <v>110</v>
      </c>
      <c r="F249" s="20" t="n">
        <f aca="false">IF(Data!F249="","",Data!F249)</f>
        <v>275</v>
      </c>
      <c r="G249" s="28" t="str">
        <f aca="false">IF(Data!G249="","",IFERROR(VLOOKUP(Data!G249,Codes!$A$18:$B$19,2,FALSE()),"Invalid ("&amp;Data!G249&amp;")"))</f>
        <v>No</v>
      </c>
      <c r="H249" s="28" t="str">
        <f aca="false">IF(Data!H249="","",IFERROR(VLOOKUP(Data!H249,Codes!$A$23:$B$25,2,FALSE()),"Invalid ("&amp;Data!H249&amp;")"))</f>
        <v>Left ventricular hypertrophy</v>
      </c>
      <c r="I249" s="20" t="n">
        <f aca="false">IF(Data!I249="","",Data!I249)</f>
        <v>118</v>
      </c>
      <c r="J249" s="28" t="str">
        <f aca="false">IF(Data!J249="","",IFERROR(VLOOKUP(Data!J249,Codes!$A$29:$B$30,2,FALSE()),"Invalid ("&amp;Data!J249&amp;")"))</f>
        <v>Yes</v>
      </c>
      <c r="K249" s="21" t="n">
        <f aca="false">IF(Data!K249="","",Data!K249)</f>
        <v>1</v>
      </c>
      <c r="L249" s="28" t="str">
        <f aca="false">IF(Data!L249="","",IFERROR(VLOOKUP(Data!L249,Codes!$A$34:$B$36,2,FALSE()),"Invalid ("&amp;Data!L249&amp;")"))</f>
        <v>Flat</v>
      </c>
      <c r="M249" s="20" t="n">
        <f aca="false">IF(Data!M249="","",Data!M249)</f>
        <v>1</v>
      </c>
      <c r="N249" s="28" t="str">
        <f aca="false">IF(Data!N249="","",IFERROR(VLOOKUP(Data!N249,Codes!$A$47:$B$49,2,FALSE()),"Invalid ("&amp;Data!N249&amp;")"))</f>
        <v>Normal</v>
      </c>
      <c r="O249" s="28" t="str">
        <f aca="false">IF(Data!O249="","",IFERROR(VLOOKUP(Data!O249,Codes!$A$53:$B$57,2,FALSE()),"Invalid ("&amp;Data!O249&amp;")"))</f>
        <v>Disease (1)</v>
      </c>
      <c r="P249" s="22" t="str">
        <f aca="false">IF(Data!P249="","",IFERROR(VLOOKUP(Data!P249,Codes!$A$61:$B$64,2,FALSE()),"Invalid ("&amp;Data!P249&amp;")"))</f>
        <v>Cleveland Clinic</v>
      </c>
    </row>
    <row r="250" customFormat="false" ht="15" hidden="false" customHeight="false" outlineLevel="0" collapsed="false">
      <c r="A250" s="19" t="n">
        <f aca="false">Data!A250</f>
        <v>249</v>
      </c>
      <c r="B250" s="20" t="n">
        <f aca="false">IF(Data!B250="","",Data!B250)</f>
        <v>52</v>
      </c>
      <c r="C250" s="28" t="str">
        <f aca="false">IF(Data!C250="","",IFERROR(VLOOKUP(Data!C250,Codes!$A$6:$B$7,2,FALSE()),"Invalid ("&amp;Data!C250&amp;")"))</f>
        <v>Male</v>
      </c>
      <c r="D250" s="28" t="str">
        <f aca="false">IF(Data!D250="","",IFERROR(VLOOKUP(Data!D250,Codes!$A$11:$B$14,2,FALSE()),"Invalid ("&amp;Data!D250&amp;")"))</f>
        <v>Asymptomatic</v>
      </c>
      <c r="E250" s="20" t="n">
        <f aca="false">IF(Data!E250="","",Data!E250)</f>
        <v>125</v>
      </c>
      <c r="F250" s="20" t="n">
        <f aca="false">IF(Data!F250="","",Data!F250)</f>
        <v>212</v>
      </c>
      <c r="G250" s="28" t="str">
        <f aca="false">IF(Data!G250="","",IFERROR(VLOOKUP(Data!G250,Codes!$A$18:$B$19,2,FALSE()),"Invalid ("&amp;Data!G250&amp;")"))</f>
        <v>No</v>
      </c>
      <c r="H250" s="28" t="str">
        <f aca="false">IF(Data!H250="","",IFERROR(VLOOKUP(Data!H250,Codes!$A$23:$B$25,2,FALSE()),"Invalid ("&amp;Data!H250&amp;")"))</f>
        <v>Normal</v>
      </c>
      <c r="I250" s="20" t="n">
        <f aca="false">IF(Data!I250="","",Data!I250)</f>
        <v>168</v>
      </c>
      <c r="J250" s="28" t="str">
        <f aca="false">IF(Data!J250="","",IFERROR(VLOOKUP(Data!J250,Codes!$A$29:$B$30,2,FALSE()),"Invalid ("&amp;Data!J250&amp;")"))</f>
        <v>No</v>
      </c>
      <c r="K250" s="21" t="n">
        <f aca="false">IF(Data!K250="","",Data!K250)</f>
        <v>1</v>
      </c>
      <c r="L250" s="28" t="str">
        <f aca="false">IF(Data!L250="","",IFERROR(VLOOKUP(Data!L250,Codes!$A$34:$B$36,2,FALSE()),"Invalid ("&amp;Data!L250&amp;")"))</f>
        <v>Upsloping</v>
      </c>
      <c r="M250" s="20" t="n">
        <f aca="false">IF(Data!M250="","",Data!M250)</f>
        <v>2</v>
      </c>
      <c r="N250" s="28" t="str">
        <f aca="false">IF(Data!N250="","",IFERROR(VLOOKUP(Data!N250,Codes!$A$47:$B$49,2,FALSE()),"Invalid ("&amp;Data!N250&amp;")"))</f>
        <v>Reversible defect</v>
      </c>
      <c r="O250" s="28" t="str">
        <f aca="false">IF(Data!O250="","",IFERROR(VLOOKUP(Data!O250,Codes!$A$53:$B$57,2,FALSE()),"Invalid ("&amp;Data!O250&amp;")"))</f>
        <v>Disease (3)</v>
      </c>
      <c r="P250" s="22" t="str">
        <f aca="false">IF(Data!P250="","",IFERROR(VLOOKUP(Data!P250,Codes!$A$61:$B$64,2,FALSE()),"Invalid ("&amp;Data!P250&amp;")"))</f>
        <v>Cleveland Clinic</v>
      </c>
    </row>
    <row r="251" customFormat="false" ht="15" hidden="false" customHeight="false" outlineLevel="0" collapsed="false">
      <c r="A251" s="19" t="n">
        <f aca="false">Data!A251</f>
        <v>250</v>
      </c>
      <c r="B251" s="20" t="n">
        <f aca="false">IF(Data!B251="","",Data!B251)</f>
        <v>62</v>
      </c>
      <c r="C251" s="28" t="str">
        <f aca="false">IF(Data!C251="","",IFERROR(VLOOKUP(Data!C251,Codes!$A$6:$B$7,2,FALSE()),"Invalid ("&amp;Data!C251&amp;")"))</f>
        <v>Male</v>
      </c>
      <c r="D251" s="28" t="str">
        <f aca="false">IF(Data!D251="","",IFERROR(VLOOKUP(Data!D251,Codes!$A$11:$B$14,2,FALSE()),"Invalid ("&amp;Data!D251&amp;")"))</f>
        <v>Atypical angina</v>
      </c>
      <c r="E251" s="20" t="n">
        <f aca="false">IF(Data!E251="","",Data!E251)</f>
        <v>128</v>
      </c>
      <c r="F251" s="20" t="n">
        <f aca="false">IF(Data!F251="","",Data!F251)</f>
        <v>208</v>
      </c>
      <c r="G251" s="28" t="str">
        <f aca="false">IF(Data!G251="","",IFERROR(VLOOKUP(Data!G251,Codes!$A$18:$B$19,2,FALSE()),"Invalid ("&amp;Data!G251&amp;")"))</f>
        <v>Yes</v>
      </c>
      <c r="H251" s="28" t="str">
        <f aca="false">IF(Data!H251="","",IFERROR(VLOOKUP(Data!H251,Codes!$A$23:$B$25,2,FALSE()),"Invalid ("&amp;Data!H251&amp;")"))</f>
        <v>Left ventricular hypertrophy</v>
      </c>
      <c r="I251" s="20" t="n">
        <f aca="false">IF(Data!I251="","",Data!I251)</f>
        <v>140</v>
      </c>
      <c r="J251" s="28" t="str">
        <f aca="false">IF(Data!J251="","",IFERROR(VLOOKUP(Data!J251,Codes!$A$29:$B$30,2,FALSE()),"Invalid ("&amp;Data!J251&amp;")"))</f>
        <v>No</v>
      </c>
      <c r="K251" s="21" t="n">
        <f aca="false">IF(Data!K251="","",Data!K251)</f>
        <v>0</v>
      </c>
      <c r="L251" s="28" t="str">
        <f aca="false">IF(Data!L251="","",IFERROR(VLOOKUP(Data!L251,Codes!$A$34:$B$36,2,FALSE()),"Invalid ("&amp;Data!L251&amp;")"))</f>
        <v>Upsloping</v>
      </c>
      <c r="M251" s="20" t="n">
        <f aca="false">IF(Data!M251="","",Data!M251)</f>
        <v>0</v>
      </c>
      <c r="N251" s="28" t="str">
        <f aca="false">IF(Data!N251="","",IFERROR(VLOOKUP(Data!N251,Codes!$A$47:$B$49,2,FALSE()),"Invalid ("&amp;Data!N251&amp;")"))</f>
        <v>Normal</v>
      </c>
      <c r="O251" s="28" t="str">
        <f aca="false">IF(Data!O251="","",IFERROR(VLOOKUP(Data!O251,Codes!$A$53:$B$57,2,FALSE()),"Invalid ("&amp;Data!O251&amp;")"))</f>
        <v>No disease</v>
      </c>
      <c r="P251" s="22" t="str">
        <f aca="false">IF(Data!P251="","",IFERROR(VLOOKUP(Data!P251,Codes!$A$61:$B$64,2,FALSE()),"Invalid ("&amp;Data!P251&amp;")"))</f>
        <v>Cleveland Clinic</v>
      </c>
    </row>
    <row r="252" customFormat="false" ht="15" hidden="false" customHeight="false" outlineLevel="0" collapsed="false">
      <c r="A252" s="19" t="n">
        <f aca="false">Data!A252</f>
        <v>251</v>
      </c>
      <c r="B252" s="20" t="n">
        <f aca="false">IF(Data!B252="","",Data!B252)</f>
        <v>57</v>
      </c>
      <c r="C252" s="28" t="str">
        <f aca="false">IF(Data!C252="","",IFERROR(VLOOKUP(Data!C252,Codes!$A$6:$B$7,2,FALSE()),"Invalid ("&amp;Data!C252&amp;")"))</f>
        <v>Male</v>
      </c>
      <c r="D252" s="28" t="str">
        <f aca="false">IF(Data!D252="","",IFERROR(VLOOKUP(Data!D252,Codes!$A$11:$B$14,2,FALSE()),"Invalid ("&amp;Data!D252&amp;")"))</f>
        <v>Asymptomatic</v>
      </c>
      <c r="E252" s="20" t="n">
        <f aca="false">IF(Data!E252="","",Data!E252)</f>
        <v>110</v>
      </c>
      <c r="F252" s="20" t="n">
        <f aca="false">IF(Data!F252="","",Data!F252)</f>
        <v>201</v>
      </c>
      <c r="G252" s="28" t="str">
        <f aca="false">IF(Data!G252="","",IFERROR(VLOOKUP(Data!G252,Codes!$A$18:$B$19,2,FALSE()),"Invalid ("&amp;Data!G252&amp;")"))</f>
        <v>No</v>
      </c>
      <c r="H252" s="28" t="str">
        <f aca="false">IF(Data!H252="","",IFERROR(VLOOKUP(Data!H252,Codes!$A$23:$B$25,2,FALSE()),"Invalid ("&amp;Data!H252&amp;")"))</f>
        <v>Normal</v>
      </c>
      <c r="I252" s="20" t="n">
        <f aca="false">IF(Data!I252="","",Data!I252)</f>
        <v>126</v>
      </c>
      <c r="J252" s="28" t="str">
        <f aca="false">IF(Data!J252="","",IFERROR(VLOOKUP(Data!J252,Codes!$A$29:$B$30,2,FALSE()),"Invalid ("&amp;Data!J252&amp;")"))</f>
        <v>Yes</v>
      </c>
      <c r="K252" s="21" t="n">
        <f aca="false">IF(Data!K252="","",Data!K252)</f>
        <v>1.5</v>
      </c>
      <c r="L252" s="28" t="str">
        <f aca="false">IF(Data!L252="","",IFERROR(VLOOKUP(Data!L252,Codes!$A$34:$B$36,2,FALSE()),"Invalid ("&amp;Data!L252&amp;")"))</f>
        <v>Flat</v>
      </c>
      <c r="M252" s="20" t="n">
        <f aca="false">IF(Data!M252="","",Data!M252)</f>
        <v>0</v>
      </c>
      <c r="N252" s="28" t="str">
        <f aca="false">IF(Data!N252="","",IFERROR(VLOOKUP(Data!N252,Codes!$A$47:$B$49,2,FALSE()),"Invalid ("&amp;Data!N252&amp;")"))</f>
        <v>Fixed defect</v>
      </c>
      <c r="O252" s="28" t="str">
        <f aca="false">IF(Data!O252="","",IFERROR(VLOOKUP(Data!O252,Codes!$A$53:$B$57,2,FALSE()),"Invalid ("&amp;Data!O252&amp;")"))</f>
        <v>No disease</v>
      </c>
      <c r="P252" s="22" t="str">
        <f aca="false">IF(Data!P252="","",IFERROR(VLOOKUP(Data!P252,Codes!$A$61:$B$64,2,FALSE()),"Invalid ("&amp;Data!P252&amp;")"))</f>
        <v>Cleveland Clinic</v>
      </c>
    </row>
    <row r="253" customFormat="false" ht="15" hidden="false" customHeight="false" outlineLevel="0" collapsed="false">
      <c r="A253" s="19" t="n">
        <f aca="false">Data!A253</f>
        <v>252</v>
      </c>
      <c r="B253" s="20" t="n">
        <f aca="false">IF(Data!B253="","",Data!B253)</f>
        <v>58</v>
      </c>
      <c r="C253" s="28" t="str">
        <f aca="false">IF(Data!C253="","",IFERROR(VLOOKUP(Data!C253,Codes!$A$6:$B$7,2,FALSE()),"Invalid ("&amp;Data!C253&amp;")"))</f>
        <v>Male</v>
      </c>
      <c r="D253" s="28" t="str">
        <f aca="false">IF(Data!D253="","",IFERROR(VLOOKUP(Data!D253,Codes!$A$11:$B$14,2,FALSE()),"Invalid ("&amp;Data!D253&amp;")"))</f>
        <v>Asymptomatic</v>
      </c>
      <c r="E253" s="20" t="n">
        <f aca="false">IF(Data!E253="","",Data!E253)</f>
        <v>146</v>
      </c>
      <c r="F253" s="20" t="n">
        <f aca="false">IF(Data!F253="","",Data!F253)</f>
        <v>218</v>
      </c>
      <c r="G253" s="28" t="str">
        <f aca="false">IF(Data!G253="","",IFERROR(VLOOKUP(Data!G253,Codes!$A$18:$B$19,2,FALSE()),"Invalid ("&amp;Data!G253&amp;")"))</f>
        <v>No</v>
      </c>
      <c r="H253" s="28" t="str">
        <f aca="false">IF(Data!H253="","",IFERROR(VLOOKUP(Data!H253,Codes!$A$23:$B$25,2,FALSE()),"Invalid ("&amp;Data!H253&amp;")"))</f>
        <v>Normal</v>
      </c>
      <c r="I253" s="20" t="n">
        <f aca="false">IF(Data!I253="","",Data!I253)</f>
        <v>105</v>
      </c>
      <c r="J253" s="28" t="str">
        <f aca="false">IF(Data!J253="","",IFERROR(VLOOKUP(Data!J253,Codes!$A$29:$B$30,2,FALSE()),"Invalid ("&amp;Data!J253&amp;")"))</f>
        <v>No</v>
      </c>
      <c r="K253" s="21" t="n">
        <f aca="false">IF(Data!K253="","",Data!K253)</f>
        <v>2</v>
      </c>
      <c r="L253" s="28" t="str">
        <f aca="false">IF(Data!L253="","",IFERROR(VLOOKUP(Data!L253,Codes!$A$34:$B$36,2,FALSE()),"Invalid ("&amp;Data!L253&amp;")"))</f>
        <v>Flat</v>
      </c>
      <c r="M253" s="20" t="n">
        <f aca="false">IF(Data!M253="","",Data!M253)</f>
        <v>1</v>
      </c>
      <c r="N253" s="28" t="str">
        <f aca="false">IF(Data!N253="","",IFERROR(VLOOKUP(Data!N253,Codes!$A$47:$B$49,2,FALSE()),"Invalid ("&amp;Data!N253&amp;")"))</f>
        <v>Reversible defect</v>
      </c>
      <c r="O253" s="28" t="str">
        <f aca="false">IF(Data!O253="","",IFERROR(VLOOKUP(Data!O253,Codes!$A$53:$B$57,2,FALSE()),"Invalid ("&amp;Data!O253&amp;")"))</f>
        <v>Disease (1)</v>
      </c>
      <c r="P253" s="22" t="str">
        <f aca="false">IF(Data!P253="","",IFERROR(VLOOKUP(Data!P253,Codes!$A$61:$B$64,2,FALSE()),"Invalid ("&amp;Data!P253&amp;")"))</f>
        <v>Cleveland Clinic</v>
      </c>
    </row>
    <row r="254" customFormat="false" ht="15" hidden="false" customHeight="false" outlineLevel="0" collapsed="false">
      <c r="A254" s="19" t="n">
        <f aca="false">Data!A254</f>
        <v>253</v>
      </c>
      <c r="B254" s="20" t="n">
        <f aca="false">IF(Data!B254="","",Data!B254)</f>
        <v>64</v>
      </c>
      <c r="C254" s="28" t="str">
        <f aca="false">IF(Data!C254="","",IFERROR(VLOOKUP(Data!C254,Codes!$A$6:$B$7,2,FALSE()),"Invalid ("&amp;Data!C254&amp;")"))</f>
        <v>Male</v>
      </c>
      <c r="D254" s="28" t="str">
        <f aca="false">IF(Data!D254="","",IFERROR(VLOOKUP(Data!D254,Codes!$A$11:$B$14,2,FALSE()),"Invalid ("&amp;Data!D254&amp;")"))</f>
        <v>Asymptomatic</v>
      </c>
      <c r="E254" s="20" t="n">
        <f aca="false">IF(Data!E254="","",Data!E254)</f>
        <v>128</v>
      </c>
      <c r="F254" s="20" t="n">
        <f aca="false">IF(Data!F254="","",Data!F254)</f>
        <v>263</v>
      </c>
      <c r="G254" s="28" t="str">
        <f aca="false">IF(Data!G254="","",IFERROR(VLOOKUP(Data!G254,Codes!$A$18:$B$19,2,FALSE()),"Invalid ("&amp;Data!G254&amp;")"))</f>
        <v>No</v>
      </c>
      <c r="H254" s="28" t="str">
        <f aca="false">IF(Data!H254="","",IFERROR(VLOOKUP(Data!H254,Codes!$A$23:$B$25,2,FALSE()),"Invalid ("&amp;Data!H254&amp;")"))</f>
        <v>Normal</v>
      </c>
      <c r="I254" s="20" t="n">
        <f aca="false">IF(Data!I254="","",Data!I254)</f>
        <v>105</v>
      </c>
      <c r="J254" s="28" t="str">
        <f aca="false">IF(Data!J254="","",IFERROR(VLOOKUP(Data!J254,Codes!$A$29:$B$30,2,FALSE()),"Invalid ("&amp;Data!J254&amp;")"))</f>
        <v>Yes</v>
      </c>
      <c r="K254" s="21" t="n">
        <f aca="false">IF(Data!K254="","",Data!K254)</f>
        <v>0.2</v>
      </c>
      <c r="L254" s="28" t="str">
        <f aca="false">IF(Data!L254="","",IFERROR(VLOOKUP(Data!L254,Codes!$A$34:$B$36,2,FALSE()),"Invalid ("&amp;Data!L254&amp;")"))</f>
        <v>Flat</v>
      </c>
      <c r="M254" s="20" t="n">
        <f aca="false">IF(Data!M254="","",Data!M254)</f>
        <v>1</v>
      </c>
      <c r="N254" s="28" t="str">
        <f aca="false">IF(Data!N254="","",IFERROR(VLOOKUP(Data!N254,Codes!$A$47:$B$49,2,FALSE()),"Invalid ("&amp;Data!N254&amp;")"))</f>
        <v>Reversible defect</v>
      </c>
      <c r="O254" s="28" t="str">
        <f aca="false">IF(Data!O254="","",IFERROR(VLOOKUP(Data!O254,Codes!$A$53:$B$57,2,FALSE()),"Invalid ("&amp;Data!O254&amp;")"))</f>
        <v>No disease</v>
      </c>
      <c r="P254" s="22" t="str">
        <f aca="false">IF(Data!P254="","",IFERROR(VLOOKUP(Data!P254,Codes!$A$61:$B$64,2,FALSE()),"Invalid ("&amp;Data!P254&amp;")"))</f>
        <v>Cleveland Clinic</v>
      </c>
    </row>
    <row r="255" customFormat="false" ht="15" hidden="false" customHeight="false" outlineLevel="0" collapsed="false">
      <c r="A255" s="19" t="n">
        <f aca="false">Data!A255</f>
        <v>254</v>
      </c>
      <c r="B255" s="20" t="n">
        <f aca="false">IF(Data!B255="","",Data!B255)</f>
        <v>51</v>
      </c>
      <c r="C255" s="28" t="str">
        <f aca="false">IF(Data!C255="","",IFERROR(VLOOKUP(Data!C255,Codes!$A$6:$B$7,2,FALSE()),"Invalid ("&amp;Data!C255&amp;")"))</f>
        <v>Female</v>
      </c>
      <c r="D255" s="28" t="str">
        <f aca="false">IF(Data!D255="","",IFERROR(VLOOKUP(Data!D255,Codes!$A$11:$B$14,2,FALSE()),"Invalid ("&amp;Data!D255&amp;")"))</f>
        <v>Non-anginal pain</v>
      </c>
      <c r="E255" s="20" t="n">
        <f aca="false">IF(Data!E255="","",Data!E255)</f>
        <v>120</v>
      </c>
      <c r="F255" s="20" t="n">
        <f aca="false">IF(Data!F255="","",Data!F255)</f>
        <v>295</v>
      </c>
      <c r="G255" s="28" t="str">
        <f aca="false">IF(Data!G255="","",IFERROR(VLOOKUP(Data!G255,Codes!$A$18:$B$19,2,FALSE()),"Invalid ("&amp;Data!G255&amp;")"))</f>
        <v>No</v>
      </c>
      <c r="H255" s="28" t="str">
        <f aca="false">IF(Data!H255="","",IFERROR(VLOOKUP(Data!H255,Codes!$A$23:$B$25,2,FALSE()),"Invalid ("&amp;Data!H255&amp;")"))</f>
        <v>Left ventricular hypertrophy</v>
      </c>
      <c r="I255" s="20" t="n">
        <f aca="false">IF(Data!I255="","",Data!I255)</f>
        <v>157</v>
      </c>
      <c r="J255" s="28" t="str">
        <f aca="false">IF(Data!J255="","",IFERROR(VLOOKUP(Data!J255,Codes!$A$29:$B$30,2,FALSE()),"Invalid ("&amp;Data!J255&amp;")"))</f>
        <v>No</v>
      </c>
      <c r="K255" s="21" t="n">
        <f aca="false">IF(Data!K255="","",Data!K255)</f>
        <v>0.6</v>
      </c>
      <c r="L255" s="28" t="str">
        <f aca="false">IF(Data!L255="","",IFERROR(VLOOKUP(Data!L255,Codes!$A$34:$B$36,2,FALSE()),"Invalid ("&amp;Data!L255&amp;")"))</f>
        <v>Upsloping</v>
      </c>
      <c r="M255" s="20" t="n">
        <f aca="false">IF(Data!M255="","",Data!M255)</f>
        <v>0</v>
      </c>
      <c r="N255" s="28" t="str">
        <f aca="false">IF(Data!N255="","",IFERROR(VLOOKUP(Data!N255,Codes!$A$47:$B$49,2,FALSE()),"Invalid ("&amp;Data!N255&amp;")"))</f>
        <v>Normal</v>
      </c>
      <c r="O255" s="28" t="str">
        <f aca="false">IF(Data!O255="","",IFERROR(VLOOKUP(Data!O255,Codes!$A$53:$B$57,2,FALSE()),"Invalid ("&amp;Data!O255&amp;")"))</f>
        <v>No disease</v>
      </c>
      <c r="P255" s="22" t="str">
        <f aca="false">IF(Data!P255="","",IFERROR(VLOOKUP(Data!P255,Codes!$A$61:$B$64,2,FALSE()),"Invalid ("&amp;Data!P255&amp;")"))</f>
        <v>Cleveland Clinic</v>
      </c>
    </row>
    <row r="256" customFormat="false" ht="15" hidden="false" customHeight="false" outlineLevel="0" collapsed="false">
      <c r="A256" s="19" t="n">
        <f aca="false">Data!A256</f>
        <v>255</v>
      </c>
      <c r="B256" s="20" t="n">
        <f aca="false">IF(Data!B256="","",Data!B256)</f>
        <v>43</v>
      </c>
      <c r="C256" s="28" t="str">
        <f aca="false">IF(Data!C256="","",IFERROR(VLOOKUP(Data!C256,Codes!$A$6:$B$7,2,FALSE()),"Invalid ("&amp;Data!C256&amp;")"))</f>
        <v>Male</v>
      </c>
      <c r="D256" s="28" t="str">
        <f aca="false">IF(Data!D256="","",IFERROR(VLOOKUP(Data!D256,Codes!$A$11:$B$14,2,FALSE()),"Invalid ("&amp;Data!D256&amp;")"))</f>
        <v>Asymptomatic</v>
      </c>
      <c r="E256" s="20" t="n">
        <f aca="false">IF(Data!E256="","",Data!E256)</f>
        <v>115</v>
      </c>
      <c r="F256" s="20" t="n">
        <f aca="false">IF(Data!F256="","",Data!F256)</f>
        <v>303</v>
      </c>
      <c r="G256" s="28" t="str">
        <f aca="false">IF(Data!G256="","",IFERROR(VLOOKUP(Data!G256,Codes!$A$18:$B$19,2,FALSE()),"Invalid ("&amp;Data!G256&amp;")"))</f>
        <v>No</v>
      </c>
      <c r="H256" s="28" t="str">
        <f aca="false">IF(Data!H256="","",IFERROR(VLOOKUP(Data!H256,Codes!$A$23:$B$25,2,FALSE()),"Invalid ("&amp;Data!H256&amp;")"))</f>
        <v>Normal</v>
      </c>
      <c r="I256" s="20" t="n">
        <f aca="false">IF(Data!I256="","",Data!I256)</f>
        <v>181</v>
      </c>
      <c r="J256" s="28" t="str">
        <f aca="false">IF(Data!J256="","",IFERROR(VLOOKUP(Data!J256,Codes!$A$29:$B$30,2,FALSE()),"Invalid ("&amp;Data!J256&amp;")"))</f>
        <v>No</v>
      </c>
      <c r="K256" s="21" t="n">
        <f aca="false">IF(Data!K256="","",Data!K256)</f>
        <v>1.2</v>
      </c>
      <c r="L256" s="28" t="str">
        <f aca="false">IF(Data!L256="","",IFERROR(VLOOKUP(Data!L256,Codes!$A$34:$B$36,2,FALSE()),"Invalid ("&amp;Data!L256&amp;")"))</f>
        <v>Flat</v>
      </c>
      <c r="M256" s="20" t="n">
        <f aca="false">IF(Data!M256="","",Data!M256)</f>
        <v>0</v>
      </c>
      <c r="N256" s="28" t="str">
        <f aca="false">IF(Data!N256="","",IFERROR(VLOOKUP(Data!N256,Codes!$A$47:$B$49,2,FALSE()),"Invalid ("&amp;Data!N256&amp;")"))</f>
        <v>Normal</v>
      </c>
      <c r="O256" s="28" t="str">
        <f aca="false">IF(Data!O256="","",IFERROR(VLOOKUP(Data!O256,Codes!$A$53:$B$57,2,FALSE()),"Invalid ("&amp;Data!O256&amp;")"))</f>
        <v>No disease</v>
      </c>
      <c r="P256" s="22" t="str">
        <f aca="false">IF(Data!P256="","",IFERROR(VLOOKUP(Data!P256,Codes!$A$61:$B$64,2,FALSE()),"Invalid ("&amp;Data!P256&amp;")"))</f>
        <v>Cleveland Clinic</v>
      </c>
    </row>
    <row r="257" customFormat="false" ht="15" hidden="false" customHeight="false" outlineLevel="0" collapsed="false">
      <c r="A257" s="19" t="n">
        <f aca="false">Data!A257</f>
        <v>256</v>
      </c>
      <c r="B257" s="20" t="n">
        <f aca="false">IF(Data!B257="","",Data!B257)</f>
        <v>42</v>
      </c>
      <c r="C257" s="28" t="str">
        <f aca="false">IF(Data!C257="","",IFERROR(VLOOKUP(Data!C257,Codes!$A$6:$B$7,2,FALSE()),"Invalid ("&amp;Data!C257&amp;")"))</f>
        <v>Female</v>
      </c>
      <c r="D257" s="28" t="str">
        <f aca="false">IF(Data!D257="","",IFERROR(VLOOKUP(Data!D257,Codes!$A$11:$B$14,2,FALSE()),"Invalid ("&amp;Data!D257&amp;")"))</f>
        <v>Non-anginal pain</v>
      </c>
      <c r="E257" s="20" t="n">
        <f aca="false">IF(Data!E257="","",Data!E257)</f>
        <v>120</v>
      </c>
      <c r="F257" s="20" t="n">
        <f aca="false">IF(Data!F257="","",Data!F257)</f>
        <v>209</v>
      </c>
      <c r="G257" s="28" t="str">
        <f aca="false">IF(Data!G257="","",IFERROR(VLOOKUP(Data!G257,Codes!$A$18:$B$19,2,FALSE()),"Invalid ("&amp;Data!G257&amp;")"))</f>
        <v>No</v>
      </c>
      <c r="H257" s="28" t="str">
        <f aca="false">IF(Data!H257="","",IFERROR(VLOOKUP(Data!H257,Codes!$A$23:$B$25,2,FALSE()),"Invalid ("&amp;Data!H257&amp;")"))</f>
        <v>Normal</v>
      </c>
      <c r="I257" s="20" t="n">
        <f aca="false">IF(Data!I257="","",Data!I257)</f>
        <v>173</v>
      </c>
      <c r="J257" s="28" t="str">
        <f aca="false">IF(Data!J257="","",IFERROR(VLOOKUP(Data!J257,Codes!$A$29:$B$30,2,FALSE()),"Invalid ("&amp;Data!J257&amp;")"))</f>
        <v>No</v>
      </c>
      <c r="K257" s="21" t="n">
        <f aca="false">IF(Data!K257="","",Data!K257)</f>
        <v>0</v>
      </c>
      <c r="L257" s="28" t="str">
        <f aca="false">IF(Data!L257="","",IFERROR(VLOOKUP(Data!L257,Codes!$A$34:$B$36,2,FALSE()),"Invalid ("&amp;Data!L257&amp;")"))</f>
        <v>Flat</v>
      </c>
      <c r="M257" s="20" t="n">
        <f aca="false">IF(Data!M257="","",Data!M257)</f>
        <v>0</v>
      </c>
      <c r="N257" s="28" t="str">
        <f aca="false">IF(Data!N257="","",IFERROR(VLOOKUP(Data!N257,Codes!$A$47:$B$49,2,FALSE()),"Invalid ("&amp;Data!N257&amp;")"))</f>
        <v>Normal</v>
      </c>
      <c r="O257" s="28" t="str">
        <f aca="false">IF(Data!O257="","",IFERROR(VLOOKUP(Data!O257,Codes!$A$53:$B$57,2,FALSE()),"Invalid ("&amp;Data!O257&amp;")"))</f>
        <v>No disease</v>
      </c>
      <c r="P257" s="22" t="str">
        <f aca="false">IF(Data!P257="","",IFERROR(VLOOKUP(Data!P257,Codes!$A$61:$B$64,2,FALSE()),"Invalid ("&amp;Data!P257&amp;")"))</f>
        <v>Cleveland Clinic</v>
      </c>
    </row>
    <row r="258" customFormat="false" ht="15" hidden="false" customHeight="false" outlineLevel="0" collapsed="false">
      <c r="A258" s="19" t="n">
        <f aca="false">Data!A258</f>
        <v>257</v>
      </c>
      <c r="B258" s="20" t="n">
        <f aca="false">IF(Data!B258="","",Data!B258)</f>
        <v>67</v>
      </c>
      <c r="C258" s="28" t="str">
        <f aca="false">IF(Data!C258="","",IFERROR(VLOOKUP(Data!C258,Codes!$A$6:$B$7,2,FALSE()),"Invalid ("&amp;Data!C258&amp;")"))</f>
        <v>Female</v>
      </c>
      <c r="D258" s="28" t="str">
        <f aca="false">IF(Data!D258="","",IFERROR(VLOOKUP(Data!D258,Codes!$A$11:$B$14,2,FALSE()),"Invalid ("&amp;Data!D258&amp;")"))</f>
        <v>Asymptomatic</v>
      </c>
      <c r="E258" s="20" t="n">
        <f aca="false">IF(Data!E258="","",Data!E258)</f>
        <v>106</v>
      </c>
      <c r="F258" s="20" t="n">
        <f aca="false">IF(Data!F258="","",Data!F258)</f>
        <v>223</v>
      </c>
      <c r="G258" s="28" t="str">
        <f aca="false">IF(Data!G258="","",IFERROR(VLOOKUP(Data!G258,Codes!$A$18:$B$19,2,FALSE()),"Invalid ("&amp;Data!G258&amp;")"))</f>
        <v>No</v>
      </c>
      <c r="H258" s="28" t="str">
        <f aca="false">IF(Data!H258="","",IFERROR(VLOOKUP(Data!H258,Codes!$A$23:$B$25,2,FALSE()),"Invalid ("&amp;Data!H258&amp;")"))</f>
        <v>Normal</v>
      </c>
      <c r="I258" s="20" t="n">
        <f aca="false">IF(Data!I258="","",Data!I258)</f>
        <v>142</v>
      </c>
      <c r="J258" s="28" t="str">
        <f aca="false">IF(Data!J258="","",IFERROR(VLOOKUP(Data!J258,Codes!$A$29:$B$30,2,FALSE()),"Invalid ("&amp;Data!J258&amp;")"))</f>
        <v>No</v>
      </c>
      <c r="K258" s="21" t="n">
        <f aca="false">IF(Data!K258="","",Data!K258)</f>
        <v>0.3</v>
      </c>
      <c r="L258" s="28" t="str">
        <f aca="false">IF(Data!L258="","",IFERROR(VLOOKUP(Data!L258,Codes!$A$34:$B$36,2,FALSE()),"Invalid ("&amp;Data!L258&amp;")"))</f>
        <v>Upsloping</v>
      </c>
      <c r="M258" s="20" t="n">
        <f aca="false">IF(Data!M258="","",Data!M258)</f>
        <v>2</v>
      </c>
      <c r="N258" s="28" t="str">
        <f aca="false">IF(Data!N258="","",IFERROR(VLOOKUP(Data!N258,Codes!$A$47:$B$49,2,FALSE()),"Invalid ("&amp;Data!N258&amp;")"))</f>
        <v>Normal</v>
      </c>
      <c r="O258" s="28" t="str">
        <f aca="false">IF(Data!O258="","",IFERROR(VLOOKUP(Data!O258,Codes!$A$53:$B$57,2,FALSE()),"Invalid ("&amp;Data!O258&amp;")"))</f>
        <v>No disease</v>
      </c>
      <c r="P258" s="22" t="str">
        <f aca="false">IF(Data!P258="","",IFERROR(VLOOKUP(Data!P258,Codes!$A$61:$B$64,2,FALSE()),"Invalid ("&amp;Data!P258&amp;")"))</f>
        <v>Cleveland Clinic</v>
      </c>
    </row>
    <row r="259" customFormat="false" ht="15" hidden="false" customHeight="false" outlineLevel="0" collapsed="false">
      <c r="A259" s="19" t="n">
        <f aca="false">Data!A259</f>
        <v>258</v>
      </c>
      <c r="B259" s="20" t="n">
        <f aca="false">IF(Data!B259="","",Data!B259)</f>
        <v>76</v>
      </c>
      <c r="C259" s="28" t="str">
        <f aca="false">IF(Data!C259="","",IFERROR(VLOOKUP(Data!C259,Codes!$A$6:$B$7,2,FALSE()),"Invalid ("&amp;Data!C259&amp;")"))</f>
        <v>Female</v>
      </c>
      <c r="D259" s="28" t="str">
        <f aca="false">IF(Data!D259="","",IFERROR(VLOOKUP(Data!D259,Codes!$A$11:$B$14,2,FALSE()),"Invalid ("&amp;Data!D259&amp;")"))</f>
        <v>Non-anginal pain</v>
      </c>
      <c r="E259" s="20" t="n">
        <f aca="false">IF(Data!E259="","",Data!E259)</f>
        <v>140</v>
      </c>
      <c r="F259" s="20" t="n">
        <f aca="false">IF(Data!F259="","",Data!F259)</f>
        <v>197</v>
      </c>
      <c r="G259" s="28" t="str">
        <f aca="false">IF(Data!G259="","",IFERROR(VLOOKUP(Data!G259,Codes!$A$18:$B$19,2,FALSE()),"Invalid ("&amp;Data!G259&amp;")"))</f>
        <v>No</v>
      </c>
      <c r="H259" s="28" t="str">
        <f aca="false">IF(Data!H259="","",IFERROR(VLOOKUP(Data!H259,Codes!$A$23:$B$25,2,FALSE()),"Invalid ("&amp;Data!H259&amp;")"))</f>
        <v>ST-T wave abnormality</v>
      </c>
      <c r="I259" s="20" t="n">
        <f aca="false">IF(Data!I259="","",Data!I259)</f>
        <v>116</v>
      </c>
      <c r="J259" s="28" t="str">
        <f aca="false">IF(Data!J259="","",IFERROR(VLOOKUP(Data!J259,Codes!$A$29:$B$30,2,FALSE()),"Invalid ("&amp;Data!J259&amp;")"))</f>
        <v>No</v>
      </c>
      <c r="K259" s="21" t="n">
        <f aca="false">IF(Data!K259="","",Data!K259)</f>
        <v>1.1</v>
      </c>
      <c r="L259" s="28" t="str">
        <f aca="false">IF(Data!L259="","",IFERROR(VLOOKUP(Data!L259,Codes!$A$34:$B$36,2,FALSE()),"Invalid ("&amp;Data!L259&amp;")"))</f>
        <v>Flat</v>
      </c>
      <c r="M259" s="20" t="n">
        <f aca="false">IF(Data!M259="","",Data!M259)</f>
        <v>0</v>
      </c>
      <c r="N259" s="28" t="str">
        <f aca="false">IF(Data!N259="","",IFERROR(VLOOKUP(Data!N259,Codes!$A$47:$B$49,2,FALSE()),"Invalid ("&amp;Data!N259&amp;")"))</f>
        <v>Normal</v>
      </c>
      <c r="O259" s="28" t="str">
        <f aca="false">IF(Data!O259="","",IFERROR(VLOOKUP(Data!O259,Codes!$A$53:$B$57,2,FALSE()),"Invalid ("&amp;Data!O259&amp;")"))</f>
        <v>No disease</v>
      </c>
      <c r="P259" s="22" t="str">
        <f aca="false">IF(Data!P259="","",IFERROR(VLOOKUP(Data!P259,Codes!$A$61:$B$64,2,FALSE()),"Invalid ("&amp;Data!P259&amp;")"))</f>
        <v>Cleveland Clinic</v>
      </c>
    </row>
    <row r="260" customFormat="false" ht="15" hidden="false" customHeight="false" outlineLevel="0" collapsed="false">
      <c r="A260" s="19" t="n">
        <f aca="false">Data!A260</f>
        <v>259</v>
      </c>
      <c r="B260" s="20" t="n">
        <f aca="false">IF(Data!B260="","",Data!B260)</f>
        <v>70</v>
      </c>
      <c r="C260" s="28" t="str">
        <f aca="false">IF(Data!C260="","",IFERROR(VLOOKUP(Data!C260,Codes!$A$6:$B$7,2,FALSE()),"Invalid ("&amp;Data!C260&amp;")"))</f>
        <v>Male</v>
      </c>
      <c r="D260" s="28" t="str">
        <f aca="false">IF(Data!D260="","",IFERROR(VLOOKUP(Data!D260,Codes!$A$11:$B$14,2,FALSE()),"Invalid ("&amp;Data!D260&amp;")"))</f>
        <v>Atypical angina</v>
      </c>
      <c r="E260" s="20" t="n">
        <f aca="false">IF(Data!E260="","",Data!E260)</f>
        <v>156</v>
      </c>
      <c r="F260" s="20" t="n">
        <f aca="false">IF(Data!F260="","",Data!F260)</f>
        <v>245</v>
      </c>
      <c r="G260" s="28" t="str">
        <f aca="false">IF(Data!G260="","",IFERROR(VLOOKUP(Data!G260,Codes!$A$18:$B$19,2,FALSE()),"Invalid ("&amp;Data!G260&amp;")"))</f>
        <v>No</v>
      </c>
      <c r="H260" s="28" t="str">
        <f aca="false">IF(Data!H260="","",IFERROR(VLOOKUP(Data!H260,Codes!$A$23:$B$25,2,FALSE()),"Invalid ("&amp;Data!H260&amp;")"))</f>
        <v>Left ventricular hypertrophy</v>
      </c>
      <c r="I260" s="20" t="n">
        <f aca="false">IF(Data!I260="","",Data!I260)</f>
        <v>143</v>
      </c>
      <c r="J260" s="28" t="str">
        <f aca="false">IF(Data!J260="","",IFERROR(VLOOKUP(Data!J260,Codes!$A$29:$B$30,2,FALSE()),"Invalid ("&amp;Data!J260&amp;")"))</f>
        <v>No</v>
      </c>
      <c r="K260" s="21" t="n">
        <f aca="false">IF(Data!K260="","",Data!K260)</f>
        <v>0</v>
      </c>
      <c r="L260" s="28" t="str">
        <f aca="false">IF(Data!L260="","",IFERROR(VLOOKUP(Data!L260,Codes!$A$34:$B$36,2,FALSE()),"Invalid ("&amp;Data!L260&amp;")"))</f>
        <v>Upsloping</v>
      </c>
      <c r="M260" s="20" t="n">
        <f aca="false">IF(Data!M260="","",Data!M260)</f>
        <v>0</v>
      </c>
      <c r="N260" s="28" t="str">
        <f aca="false">IF(Data!N260="","",IFERROR(VLOOKUP(Data!N260,Codes!$A$47:$B$49,2,FALSE()),"Invalid ("&amp;Data!N260&amp;")"))</f>
        <v>Normal</v>
      </c>
      <c r="O260" s="28" t="str">
        <f aca="false">IF(Data!O260="","",IFERROR(VLOOKUP(Data!O260,Codes!$A$53:$B$57,2,FALSE()),"Invalid ("&amp;Data!O260&amp;")"))</f>
        <v>No disease</v>
      </c>
      <c r="P260" s="22" t="str">
        <f aca="false">IF(Data!P260="","",IFERROR(VLOOKUP(Data!P260,Codes!$A$61:$B$64,2,FALSE()),"Invalid ("&amp;Data!P260&amp;")"))</f>
        <v>Cleveland Clinic</v>
      </c>
    </row>
    <row r="261" customFormat="false" ht="15" hidden="false" customHeight="false" outlineLevel="0" collapsed="false">
      <c r="A261" s="19" t="n">
        <f aca="false">Data!A261</f>
        <v>260</v>
      </c>
      <c r="B261" s="20" t="n">
        <f aca="false">IF(Data!B261="","",Data!B261)</f>
        <v>57</v>
      </c>
      <c r="C261" s="28" t="str">
        <f aca="false">IF(Data!C261="","",IFERROR(VLOOKUP(Data!C261,Codes!$A$6:$B$7,2,FALSE()),"Invalid ("&amp;Data!C261&amp;")"))</f>
        <v>Male</v>
      </c>
      <c r="D261" s="28" t="str">
        <f aca="false">IF(Data!D261="","",IFERROR(VLOOKUP(Data!D261,Codes!$A$11:$B$14,2,FALSE()),"Invalid ("&amp;Data!D261&amp;")"))</f>
        <v>Atypical angina</v>
      </c>
      <c r="E261" s="20" t="n">
        <f aca="false">IF(Data!E261="","",Data!E261)</f>
        <v>124</v>
      </c>
      <c r="F261" s="20" t="n">
        <f aca="false">IF(Data!F261="","",Data!F261)</f>
        <v>261</v>
      </c>
      <c r="G261" s="28" t="str">
        <f aca="false">IF(Data!G261="","",IFERROR(VLOOKUP(Data!G261,Codes!$A$18:$B$19,2,FALSE()),"Invalid ("&amp;Data!G261&amp;")"))</f>
        <v>No</v>
      </c>
      <c r="H261" s="28" t="str">
        <f aca="false">IF(Data!H261="","",IFERROR(VLOOKUP(Data!H261,Codes!$A$23:$B$25,2,FALSE()),"Invalid ("&amp;Data!H261&amp;")"))</f>
        <v>Normal</v>
      </c>
      <c r="I261" s="20" t="n">
        <f aca="false">IF(Data!I261="","",Data!I261)</f>
        <v>141</v>
      </c>
      <c r="J261" s="28" t="str">
        <f aca="false">IF(Data!J261="","",IFERROR(VLOOKUP(Data!J261,Codes!$A$29:$B$30,2,FALSE()),"Invalid ("&amp;Data!J261&amp;")"))</f>
        <v>No</v>
      </c>
      <c r="K261" s="21" t="n">
        <f aca="false">IF(Data!K261="","",Data!K261)</f>
        <v>0.3</v>
      </c>
      <c r="L261" s="28" t="str">
        <f aca="false">IF(Data!L261="","",IFERROR(VLOOKUP(Data!L261,Codes!$A$34:$B$36,2,FALSE()),"Invalid ("&amp;Data!L261&amp;")"))</f>
        <v>Upsloping</v>
      </c>
      <c r="M261" s="20" t="n">
        <f aca="false">IF(Data!M261="","",Data!M261)</f>
        <v>0</v>
      </c>
      <c r="N261" s="28" t="str">
        <f aca="false">IF(Data!N261="","",IFERROR(VLOOKUP(Data!N261,Codes!$A$47:$B$49,2,FALSE()),"Invalid ("&amp;Data!N261&amp;")"))</f>
        <v>Reversible defect</v>
      </c>
      <c r="O261" s="28" t="str">
        <f aca="false">IF(Data!O261="","",IFERROR(VLOOKUP(Data!O261,Codes!$A$53:$B$57,2,FALSE()),"Invalid ("&amp;Data!O261&amp;")"))</f>
        <v>Disease (1)</v>
      </c>
      <c r="P261" s="22" t="str">
        <f aca="false">IF(Data!P261="","",IFERROR(VLOOKUP(Data!P261,Codes!$A$61:$B$64,2,FALSE()),"Invalid ("&amp;Data!P261&amp;")"))</f>
        <v>Cleveland Clinic</v>
      </c>
    </row>
    <row r="262" customFormat="false" ht="15" hidden="false" customHeight="false" outlineLevel="0" collapsed="false">
      <c r="A262" s="19" t="n">
        <f aca="false">Data!A262</f>
        <v>261</v>
      </c>
      <c r="B262" s="20" t="n">
        <f aca="false">IF(Data!B262="","",Data!B262)</f>
        <v>44</v>
      </c>
      <c r="C262" s="28" t="str">
        <f aca="false">IF(Data!C262="","",IFERROR(VLOOKUP(Data!C262,Codes!$A$6:$B$7,2,FALSE()),"Invalid ("&amp;Data!C262&amp;")"))</f>
        <v>Female</v>
      </c>
      <c r="D262" s="28" t="str">
        <f aca="false">IF(Data!D262="","",IFERROR(VLOOKUP(Data!D262,Codes!$A$11:$B$14,2,FALSE()),"Invalid ("&amp;Data!D262&amp;")"))</f>
        <v>Non-anginal pain</v>
      </c>
      <c r="E262" s="20" t="n">
        <f aca="false">IF(Data!E262="","",Data!E262)</f>
        <v>118</v>
      </c>
      <c r="F262" s="20" t="n">
        <f aca="false">IF(Data!F262="","",Data!F262)</f>
        <v>242</v>
      </c>
      <c r="G262" s="28" t="str">
        <f aca="false">IF(Data!G262="","",IFERROR(VLOOKUP(Data!G262,Codes!$A$18:$B$19,2,FALSE()),"Invalid ("&amp;Data!G262&amp;")"))</f>
        <v>No</v>
      </c>
      <c r="H262" s="28" t="str">
        <f aca="false">IF(Data!H262="","",IFERROR(VLOOKUP(Data!H262,Codes!$A$23:$B$25,2,FALSE()),"Invalid ("&amp;Data!H262&amp;")"))</f>
        <v>Normal</v>
      </c>
      <c r="I262" s="20" t="n">
        <f aca="false">IF(Data!I262="","",Data!I262)</f>
        <v>149</v>
      </c>
      <c r="J262" s="28" t="str">
        <f aca="false">IF(Data!J262="","",IFERROR(VLOOKUP(Data!J262,Codes!$A$29:$B$30,2,FALSE()),"Invalid ("&amp;Data!J262&amp;")"))</f>
        <v>No</v>
      </c>
      <c r="K262" s="21" t="n">
        <f aca="false">IF(Data!K262="","",Data!K262)</f>
        <v>0.3</v>
      </c>
      <c r="L262" s="28" t="str">
        <f aca="false">IF(Data!L262="","",IFERROR(VLOOKUP(Data!L262,Codes!$A$34:$B$36,2,FALSE()),"Invalid ("&amp;Data!L262&amp;")"))</f>
        <v>Flat</v>
      </c>
      <c r="M262" s="20" t="n">
        <f aca="false">IF(Data!M262="","",Data!M262)</f>
        <v>1</v>
      </c>
      <c r="N262" s="28" t="str">
        <f aca="false">IF(Data!N262="","",IFERROR(VLOOKUP(Data!N262,Codes!$A$47:$B$49,2,FALSE()),"Invalid ("&amp;Data!N262&amp;")"))</f>
        <v>Normal</v>
      </c>
      <c r="O262" s="28" t="str">
        <f aca="false">IF(Data!O262="","",IFERROR(VLOOKUP(Data!O262,Codes!$A$53:$B$57,2,FALSE()),"Invalid ("&amp;Data!O262&amp;")"))</f>
        <v>No disease</v>
      </c>
      <c r="P262" s="22" t="str">
        <f aca="false">IF(Data!P262="","",IFERROR(VLOOKUP(Data!P262,Codes!$A$61:$B$64,2,FALSE()),"Invalid ("&amp;Data!P262&amp;")"))</f>
        <v>Cleveland Clinic</v>
      </c>
    </row>
    <row r="263" customFormat="false" ht="15" hidden="false" customHeight="false" outlineLevel="0" collapsed="false">
      <c r="A263" s="19" t="n">
        <f aca="false">Data!A263</f>
        <v>262</v>
      </c>
      <c r="B263" s="20" t="n">
        <f aca="false">IF(Data!B263="","",Data!B263)</f>
        <v>58</v>
      </c>
      <c r="C263" s="28" t="str">
        <f aca="false">IF(Data!C263="","",IFERROR(VLOOKUP(Data!C263,Codes!$A$6:$B$7,2,FALSE()),"Invalid ("&amp;Data!C263&amp;")"))</f>
        <v>Female</v>
      </c>
      <c r="D263" s="28" t="str">
        <f aca="false">IF(Data!D263="","",IFERROR(VLOOKUP(Data!D263,Codes!$A$11:$B$14,2,FALSE()),"Invalid ("&amp;Data!D263&amp;")"))</f>
        <v>Atypical angina</v>
      </c>
      <c r="E263" s="20" t="n">
        <f aca="false">IF(Data!E263="","",Data!E263)</f>
        <v>136</v>
      </c>
      <c r="F263" s="20" t="n">
        <f aca="false">IF(Data!F263="","",Data!F263)</f>
        <v>319</v>
      </c>
      <c r="G263" s="28" t="str">
        <f aca="false">IF(Data!G263="","",IFERROR(VLOOKUP(Data!G263,Codes!$A$18:$B$19,2,FALSE()),"Invalid ("&amp;Data!G263&amp;")"))</f>
        <v>Yes</v>
      </c>
      <c r="H263" s="28" t="str">
        <f aca="false">IF(Data!H263="","",IFERROR(VLOOKUP(Data!H263,Codes!$A$23:$B$25,2,FALSE()),"Invalid ("&amp;Data!H263&amp;")"))</f>
        <v>Left ventricular hypertrophy</v>
      </c>
      <c r="I263" s="20" t="n">
        <f aca="false">IF(Data!I263="","",Data!I263)</f>
        <v>152</v>
      </c>
      <c r="J263" s="28" t="str">
        <f aca="false">IF(Data!J263="","",IFERROR(VLOOKUP(Data!J263,Codes!$A$29:$B$30,2,FALSE()),"Invalid ("&amp;Data!J263&amp;")"))</f>
        <v>No</v>
      </c>
      <c r="K263" s="21" t="n">
        <f aca="false">IF(Data!K263="","",Data!K263)</f>
        <v>0</v>
      </c>
      <c r="L263" s="28" t="str">
        <f aca="false">IF(Data!L263="","",IFERROR(VLOOKUP(Data!L263,Codes!$A$34:$B$36,2,FALSE()),"Invalid ("&amp;Data!L263&amp;")"))</f>
        <v>Upsloping</v>
      </c>
      <c r="M263" s="20" t="n">
        <f aca="false">IF(Data!M263="","",Data!M263)</f>
        <v>2</v>
      </c>
      <c r="N263" s="28" t="str">
        <f aca="false">IF(Data!N263="","",IFERROR(VLOOKUP(Data!N263,Codes!$A$47:$B$49,2,FALSE()),"Invalid ("&amp;Data!N263&amp;")"))</f>
        <v>Normal</v>
      </c>
      <c r="O263" s="28" t="str">
        <f aca="false">IF(Data!O263="","",IFERROR(VLOOKUP(Data!O263,Codes!$A$53:$B$57,2,FALSE()),"Invalid ("&amp;Data!O263&amp;")"))</f>
        <v>Disease (3)</v>
      </c>
      <c r="P263" s="22" t="str">
        <f aca="false">IF(Data!P263="","",IFERROR(VLOOKUP(Data!P263,Codes!$A$61:$B$64,2,FALSE()),"Invalid ("&amp;Data!P263&amp;")"))</f>
        <v>Cleveland Clinic</v>
      </c>
    </row>
    <row r="264" customFormat="false" ht="15" hidden="false" customHeight="false" outlineLevel="0" collapsed="false">
      <c r="A264" s="19" t="n">
        <f aca="false">Data!A264</f>
        <v>263</v>
      </c>
      <c r="B264" s="20" t="n">
        <f aca="false">IF(Data!B264="","",Data!B264)</f>
        <v>60</v>
      </c>
      <c r="C264" s="28" t="str">
        <f aca="false">IF(Data!C264="","",IFERROR(VLOOKUP(Data!C264,Codes!$A$6:$B$7,2,FALSE()),"Invalid ("&amp;Data!C264&amp;")"))</f>
        <v>Female</v>
      </c>
      <c r="D264" s="28" t="str">
        <f aca="false">IF(Data!D264="","",IFERROR(VLOOKUP(Data!D264,Codes!$A$11:$B$14,2,FALSE()),"Invalid ("&amp;Data!D264&amp;")"))</f>
        <v>Typical angina</v>
      </c>
      <c r="E264" s="20" t="n">
        <f aca="false">IF(Data!E264="","",Data!E264)</f>
        <v>150</v>
      </c>
      <c r="F264" s="20" t="n">
        <f aca="false">IF(Data!F264="","",Data!F264)</f>
        <v>240</v>
      </c>
      <c r="G264" s="28" t="str">
        <f aca="false">IF(Data!G264="","",IFERROR(VLOOKUP(Data!G264,Codes!$A$18:$B$19,2,FALSE()),"Invalid ("&amp;Data!G264&amp;")"))</f>
        <v>No</v>
      </c>
      <c r="H264" s="28" t="str">
        <f aca="false">IF(Data!H264="","",IFERROR(VLOOKUP(Data!H264,Codes!$A$23:$B$25,2,FALSE()),"Invalid ("&amp;Data!H264&amp;")"))</f>
        <v>Normal</v>
      </c>
      <c r="I264" s="20" t="n">
        <f aca="false">IF(Data!I264="","",Data!I264)</f>
        <v>171</v>
      </c>
      <c r="J264" s="28" t="str">
        <f aca="false">IF(Data!J264="","",IFERROR(VLOOKUP(Data!J264,Codes!$A$29:$B$30,2,FALSE()),"Invalid ("&amp;Data!J264&amp;")"))</f>
        <v>No</v>
      </c>
      <c r="K264" s="21" t="n">
        <f aca="false">IF(Data!K264="","",Data!K264)</f>
        <v>0.9</v>
      </c>
      <c r="L264" s="28" t="str">
        <f aca="false">IF(Data!L264="","",IFERROR(VLOOKUP(Data!L264,Codes!$A$34:$B$36,2,FALSE()),"Invalid ("&amp;Data!L264&amp;")"))</f>
        <v>Upsloping</v>
      </c>
      <c r="M264" s="20" t="n">
        <f aca="false">IF(Data!M264="","",Data!M264)</f>
        <v>0</v>
      </c>
      <c r="N264" s="28" t="str">
        <f aca="false">IF(Data!N264="","",IFERROR(VLOOKUP(Data!N264,Codes!$A$47:$B$49,2,FALSE()),"Invalid ("&amp;Data!N264&amp;")"))</f>
        <v>Normal</v>
      </c>
      <c r="O264" s="28" t="str">
        <f aca="false">IF(Data!O264="","",IFERROR(VLOOKUP(Data!O264,Codes!$A$53:$B$57,2,FALSE()),"Invalid ("&amp;Data!O264&amp;")"))</f>
        <v>No disease</v>
      </c>
      <c r="P264" s="22" t="str">
        <f aca="false">IF(Data!P264="","",IFERROR(VLOOKUP(Data!P264,Codes!$A$61:$B$64,2,FALSE()),"Invalid ("&amp;Data!P264&amp;")"))</f>
        <v>Cleveland Clinic</v>
      </c>
    </row>
    <row r="265" customFormat="false" ht="15" hidden="false" customHeight="false" outlineLevel="0" collapsed="false">
      <c r="A265" s="19" t="n">
        <f aca="false">Data!A265</f>
        <v>264</v>
      </c>
      <c r="B265" s="20" t="n">
        <f aca="false">IF(Data!B265="","",Data!B265)</f>
        <v>44</v>
      </c>
      <c r="C265" s="28" t="str">
        <f aca="false">IF(Data!C265="","",IFERROR(VLOOKUP(Data!C265,Codes!$A$6:$B$7,2,FALSE()),"Invalid ("&amp;Data!C265&amp;")"))</f>
        <v>Male</v>
      </c>
      <c r="D265" s="28" t="str">
        <f aca="false">IF(Data!D265="","",IFERROR(VLOOKUP(Data!D265,Codes!$A$11:$B$14,2,FALSE()),"Invalid ("&amp;Data!D265&amp;")"))</f>
        <v>Non-anginal pain</v>
      </c>
      <c r="E265" s="20" t="n">
        <f aca="false">IF(Data!E265="","",Data!E265)</f>
        <v>120</v>
      </c>
      <c r="F265" s="20" t="n">
        <f aca="false">IF(Data!F265="","",Data!F265)</f>
        <v>226</v>
      </c>
      <c r="G265" s="28" t="str">
        <f aca="false">IF(Data!G265="","",IFERROR(VLOOKUP(Data!G265,Codes!$A$18:$B$19,2,FALSE()),"Invalid ("&amp;Data!G265&amp;")"))</f>
        <v>No</v>
      </c>
      <c r="H265" s="28" t="str">
        <f aca="false">IF(Data!H265="","",IFERROR(VLOOKUP(Data!H265,Codes!$A$23:$B$25,2,FALSE()),"Invalid ("&amp;Data!H265&amp;")"))</f>
        <v>Normal</v>
      </c>
      <c r="I265" s="20" t="n">
        <f aca="false">IF(Data!I265="","",Data!I265)</f>
        <v>169</v>
      </c>
      <c r="J265" s="28" t="str">
        <f aca="false">IF(Data!J265="","",IFERROR(VLOOKUP(Data!J265,Codes!$A$29:$B$30,2,FALSE()),"Invalid ("&amp;Data!J265&amp;")"))</f>
        <v>No</v>
      </c>
      <c r="K265" s="21" t="n">
        <f aca="false">IF(Data!K265="","",Data!K265)</f>
        <v>0</v>
      </c>
      <c r="L265" s="28" t="str">
        <f aca="false">IF(Data!L265="","",IFERROR(VLOOKUP(Data!L265,Codes!$A$34:$B$36,2,FALSE()),"Invalid ("&amp;Data!L265&amp;")"))</f>
        <v>Upsloping</v>
      </c>
      <c r="M265" s="20" t="n">
        <f aca="false">IF(Data!M265="","",Data!M265)</f>
        <v>0</v>
      </c>
      <c r="N265" s="28" t="str">
        <f aca="false">IF(Data!N265="","",IFERROR(VLOOKUP(Data!N265,Codes!$A$47:$B$49,2,FALSE()),"Invalid ("&amp;Data!N265&amp;")"))</f>
        <v>Normal</v>
      </c>
      <c r="O265" s="28" t="str">
        <f aca="false">IF(Data!O265="","",IFERROR(VLOOKUP(Data!O265,Codes!$A$53:$B$57,2,FALSE()),"Invalid ("&amp;Data!O265&amp;")"))</f>
        <v>No disease</v>
      </c>
      <c r="P265" s="22" t="str">
        <f aca="false">IF(Data!P265="","",IFERROR(VLOOKUP(Data!P265,Codes!$A$61:$B$64,2,FALSE()),"Invalid ("&amp;Data!P265&amp;")"))</f>
        <v>Cleveland Clinic</v>
      </c>
    </row>
    <row r="266" customFormat="false" ht="15" hidden="false" customHeight="false" outlineLevel="0" collapsed="false">
      <c r="A266" s="19" t="n">
        <f aca="false">Data!A266</f>
        <v>265</v>
      </c>
      <c r="B266" s="20" t="n">
        <f aca="false">IF(Data!B266="","",Data!B266)</f>
        <v>61</v>
      </c>
      <c r="C266" s="28" t="str">
        <f aca="false">IF(Data!C266="","",IFERROR(VLOOKUP(Data!C266,Codes!$A$6:$B$7,2,FALSE()),"Invalid ("&amp;Data!C266&amp;")"))</f>
        <v>Male</v>
      </c>
      <c r="D266" s="28" t="str">
        <f aca="false">IF(Data!D266="","",IFERROR(VLOOKUP(Data!D266,Codes!$A$11:$B$14,2,FALSE()),"Invalid ("&amp;Data!D266&amp;")"))</f>
        <v>Asymptomatic</v>
      </c>
      <c r="E266" s="20" t="n">
        <f aca="false">IF(Data!E266="","",Data!E266)</f>
        <v>138</v>
      </c>
      <c r="F266" s="20" t="n">
        <f aca="false">IF(Data!F266="","",Data!F266)</f>
        <v>166</v>
      </c>
      <c r="G266" s="28" t="str">
        <f aca="false">IF(Data!G266="","",IFERROR(VLOOKUP(Data!G266,Codes!$A$18:$B$19,2,FALSE()),"Invalid ("&amp;Data!G266&amp;")"))</f>
        <v>No</v>
      </c>
      <c r="H266" s="28" t="str">
        <f aca="false">IF(Data!H266="","",IFERROR(VLOOKUP(Data!H266,Codes!$A$23:$B$25,2,FALSE()),"Invalid ("&amp;Data!H266&amp;")"))</f>
        <v>Left ventricular hypertrophy</v>
      </c>
      <c r="I266" s="20" t="n">
        <f aca="false">IF(Data!I266="","",Data!I266)</f>
        <v>125</v>
      </c>
      <c r="J266" s="28" t="str">
        <f aca="false">IF(Data!J266="","",IFERROR(VLOOKUP(Data!J266,Codes!$A$29:$B$30,2,FALSE()),"Invalid ("&amp;Data!J266&amp;")"))</f>
        <v>Yes</v>
      </c>
      <c r="K266" s="21" t="n">
        <f aca="false">IF(Data!K266="","",Data!K266)</f>
        <v>3.6</v>
      </c>
      <c r="L266" s="28" t="str">
        <f aca="false">IF(Data!L266="","",IFERROR(VLOOKUP(Data!L266,Codes!$A$34:$B$36,2,FALSE()),"Invalid ("&amp;Data!L266&amp;")"))</f>
        <v>Flat</v>
      </c>
      <c r="M266" s="20" t="n">
        <f aca="false">IF(Data!M266="","",Data!M266)</f>
        <v>1</v>
      </c>
      <c r="N266" s="28" t="str">
        <f aca="false">IF(Data!N266="","",IFERROR(VLOOKUP(Data!N266,Codes!$A$47:$B$49,2,FALSE()),"Invalid ("&amp;Data!N266&amp;")"))</f>
        <v>Normal</v>
      </c>
      <c r="O266" s="28" t="str">
        <f aca="false">IF(Data!O266="","",IFERROR(VLOOKUP(Data!O266,Codes!$A$53:$B$57,2,FALSE()),"Invalid ("&amp;Data!O266&amp;")"))</f>
        <v>Disease (4)</v>
      </c>
      <c r="P266" s="22" t="str">
        <f aca="false">IF(Data!P266="","",IFERROR(VLOOKUP(Data!P266,Codes!$A$61:$B$64,2,FALSE()),"Invalid ("&amp;Data!P266&amp;")"))</f>
        <v>Cleveland Clinic</v>
      </c>
    </row>
    <row r="267" customFormat="false" ht="15" hidden="false" customHeight="false" outlineLevel="0" collapsed="false">
      <c r="A267" s="19" t="n">
        <f aca="false">Data!A267</f>
        <v>266</v>
      </c>
      <c r="B267" s="20" t="n">
        <f aca="false">IF(Data!B267="","",Data!B267)</f>
        <v>42</v>
      </c>
      <c r="C267" s="28" t="str">
        <f aca="false">IF(Data!C267="","",IFERROR(VLOOKUP(Data!C267,Codes!$A$6:$B$7,2,FALSE()),"Invalid ("&amp;Data!C267&amp;")"))</f>
        <v>Male</v>
      </c>
      <c r="D267" s="28" t="str">
        <f aca="false">IF(Data!D267="","",IFERROR(VLOOKUP(Data!D267,Codes!$A$11:$B$14,2,FALSE()),"Invalid ("&amp;Data!D267&amp;")"))</f>
        <v>Asymptomatic</v>
      </c>
      <c r="E267" s="20" t="n">
        <f aca="false">IF(Data!E267="","",Data!E267)</f>
        <v>136</v>
      </c>
      <c r="F267" s="20" t="n">
        <f aca="false">IF(Data!F267="","",Data!F267)</f>
        <v>315</v>
      </c>
      <c r="G267" s="28" t="str">
        <f aca="false">IF(Data!G267="","",IFERROR(VLOOKUP(Data!G267,Codes!$A$18:$B$19,2,FALSE()),"Invalid ("&amp;Data!G267&amp;")"))</f>
        <v>No</v>
      </c>
      <c r="H267" s="28" t="str">
        <f aca="false">IF(Data!H267="","",IFERROR(VLOOKUP(Data!H267,Codes!$A$23:$B$25,2,FALSE()),"Invalid ("&amp;Data!H267&amp;")"))</f>
        <v>Normal</v>
      </c>
      <c r="I267" s="20" t="n">
        <f aca="false">IF(Data!I267="","",Data!I267)</f>
        <v>125</v>
      </c>
      <c r="J267" s="28" t="str">
        <f aca="false">IF(Data!J267="","",IFERROR(VLOOKUP(Data!J267,Codes!$A$29:$B$30,2,FALSE()),"Invalid ("&amp;Data!J267&amp;")"))</f>
        <v>Yes</v>
      </c>
      <c r="K267" s="21" t="n">
        <f aca="false">IF(Data!K267="","",Data!K267)</f>
        <v>1.8</v>
      </c>
      <c r="L267" s="28" t="str">
        <f aca="false">IF(Data!L267="","",IFERROR(VLOOKUP(Data!L267,Codes!$A$34:$B$36,2,FALSE()),"Invalid ("&amp;Data!L267&amp;")"))</f>
        <v>Flat</v>
      </c>
      <c r="M267" s="20" t="n">
        <f aca="false">IF(Data!M267="","",Data!M267)</f>
        <v>0</v>
      </c>
      <c r="N267" s="28" t="str">
        <f aca="false">IF(Data!N267="","",IFERROR(VLOOKUP(Data!N267,Codes!$A$47:$B$49,2,FALSE()),"Invalid ("&amp;Data!N267&amp;")"))</f>
        <v>Fixed defect</v>
      </c>
      <c r="O267" s="28" t="str">
        <f aca="false">IF(Data!O267="","",IFERROR(VLOOKUP(Data!O267,Codes!$A$53:$B$57,2,FALSE()),"Invalid ("&amp;Data!O267&amp;")"))</f>
        <v>Disease (2)</v>
      </c>
      <c r="P267" s="22" t="str">
        <f aca="false">IF(Data!P267="","",IFERROR(VLOOKUP(Data!P267,Codes!$A$61:$B$64,2,FALSE()),"Invalid ("&amp;Data!P267&amp;")"))</f>
        <v>Cleveland Clinic</v>
      </c>
    </row>
    <row r="268" customFormat="false" ht="15" hidden="false" customHeight="false" outlineLevel="0" collapsed="false">
      <c r="A268" s="19" t="n">
        <f aca="false">Data!A268</f>
        <v>267</v>
      </c>
      <c r="B268" s="20" t="n">
        <f aca="false">IF(Data!B268="","",Data!B268)</f>
        <v>52</v>
      </c>
      <c r="C268" s="28" t="str">
        <f aca="false">IF(Data!C268="","",IFERROR(VLOOKUP(Data!C268,Codes!$A$6:$B$7,2,FALSE()),"Invalid ("&amp;Data!C268&amp;")"))</f>
        <v>Male</v>
      </c>
      <c r="D268" s="28" t="str">
        <f aca="false">IF(Data!D268="","",IFERROR(VLOOKUP(Data!D268,Codes!$A$11:$B$14,2,FALSE()),"Invalid ("&amp;Data!D268&amp;")"))</f>
        <v>Asymptomatic</v>
      </c>
      <c r="E268" s="20" t="n">
        <f aca="false">IF(Data!E268="","",Data!E268)</f>
        <v>128</v>
      </c>
      <c r="F268" s="20" t="n">
        <f aca="false">IF(Data!F268="","",Data!F268)</f>
        <v>204</v>
      </c>
      <c r="G268" s="28" t="str">
        <f aca="false">IF(Data!G268="","",IFERROR(VLOOKUP(Data!G268,Codes!$A$18:$B$19,2,FALSE()),"Invalid ("&amp;Data!G268&amp;")"))</f>
        <v>Yes</v>
      </c>
      <c r="H268" s="28" t="str">
        <f aca="false">IF(Data!H268="","",IFERROR(VLOOKUP(Data!H268,Codes!$A$23:$B$25,2,FALSE()),"Invalid ("&amp;Data!H268&amp;")"))</f>
        <v>Normal</v>
      </c>
      <c r="I268" s="20" t="n">
        <f aca="false">IF(Data!I268="","",Data!I268)</f>
        <v>156</v>
      </c>
      <c r="J268" s="28" t="str">
        <f aca="false">IF(Data!J268="","",IFERROR(VLOOKUP(Data!J268,Codes!$A$29:$B$30,2,FALSE()),"Invalid ("&amp;Data!J268&amp;")"))</f>
        <v>Yes</v>
      </c>
      <c r="K268" s="21" t="n">
        <f aca="false">IF(Data!K268="","",Data!K268)</f>
        <v>1</v>
      </c>
      <c r="L268" s="28" t="str">
        <f aca="false">IF(Data!L268="","",IFERROR(VLOOKUP(Data!L268,Codes!$A$34:$B$36,2,FALSE()),"Invalid ("&amp;Data!L268&amp;")"))</f>
        <v>Flat</v>
      </c>
      <c r="M268" s="20" t="n">
        <f aca="false">IF(Data!M268="","",Data!M268)</f>
        <v>0</v>
      </c>
      <c r="N268" s="28" t="str">
        <f aca="false">IF(Data!N268="","",IFERROR(VLOOKUP(Data!N268,Codes!$A$47:$B$49,2,FALSE()),"Invalid ("&amp;Data!N268&amp;")"))</f>
        <v/>
      </c>
      <c r="O268" s="28" t="str">
        <f aca="false">IF(Data!O268="","",IFERROR(VLOOKUP(Data!O268,Codes!$A$53:$B$57,2,FALSE()),"Invalid ("&amp;Data!O268&amp;")"))</f>
        <v>Disease (2)</v>
      </c>
      <c r="P268" s="22" t="str">
        <f aca="false">IF(Data!P268="","",IFERROR(VLOOKUP(Data!P268,Codes!$A$61:$B$64,2,FALSE()),"Invalid ("&amp;Data!P268&amp;")"))</f>
        <v>Cleveland Clinic</v>
      </c>
    </row>
    <row r="269" customFormat="false" ht="15" hidden="false" customHeight="false" outlineLevel="0" collapsed="false">
      <c r="A269" s="19" t="n">
        <f aca="false">Data!A269</f>
        <v>268</v>
      </c>
      <c r="B269" s="20" t="n">
        <f aca="false">IF(Data!B269="","",Data!B269)</f>
        <v>59</v>
      </c>
      <c r="C269" s="28" t="str">
        <f aca="false">IF(Data!C269="","",IFERROR(VLOOKUP(Data!C269,Codes!$A$6:$B$7,2,FALSE()),"Invalid ("&amp;Data!C269&amp;")"))</f>
        <v>Male</v>
      </c>
      <c r="D269" s="28" t="str">
        <f aca="false">IF(Data!D269="","",IFERROR(VLOOKUP(Data!D269,Codes!$A$11:$B$14,2,FALSE()),"Invalid ("&amp;Data!D269&amp;")"))</f>
        <v>Non-anginal pain</v>
      </c>
      <c r="E269" s="20" t="n">
        <f aca="false">IF(Data!E269="","",Data!E269)</f>
        <v>126</v>
      </c>
      <c r="F269" s="20" t="n">
        <f aca="false">IF(Data!F269="","",Data!F269)</f>
        <v>218</v>
      </c>
      <c r="G269" s="28" t="str">
        <f aca="false">IF(Data!G269="","",IFERROR(VLOOKUP(Data!G269,Codes!$A$18:$B$19,2,FALSE()),"Invalid ("&amp;Data!G269&amp;")"))</f>
        <v>Yes</v>
      </c>
      <c r="H269" s="28" t="str">
        <f aca="false">IF(Data!H269="","",IFERROR(VLOOKUP(Data!H269,Codes!$A$23:$B$25,2,FALSE()),"Invalid ("&amp;Data!H269&amp;")"))</f>
        <v>Normal</v>
      </c>
      <c r="I269" s="20" t="n">
        <f aca="false">IF(Data!I269="","",Data!I269)</f>
        <v>134</v>
      </c>
      <c r="J269" s="28" t="str">
        <f aca="false">IF(Data!J269="","",IFERROR(VLOOKUP(Data!J269,Codes!$A$29:$B$30,2,FALSE()),"Invalid ("&amp;Data!J269&amp;")"))</f>
        <v>No</v>
      </c>
      <c r="K269" s="21" t="n">
        <f aca="false">IF(Data!K269="","",Data!K269)</f>
        <v>2.2</v>
      </c>
      <c r="L269" s="28" t="str">
        <f aca="false">IF(Data!L269="","",IFERROR(VLOOKUP(Data!L269,Codes!$A$34:$B$36,2,FALSE()),"Invalid ("&amp;Data!L269&amp;")"))</f>
        <v>Flat</v>
      </c>
      <c r="M269" s="20" t="n">
        <f aca="false">IF(Data!M269="","",Data!M269)</f>
        <v>1</v>
      </c>
      <c r="N269" s="28" t="str">
        <f aca="false">IF(Data!N269="","",IFERROR(VLOOKUP(Data!N269,Codes!$A$47:$B$49,2,FALSE()),"Invalid ("&amp;Data!N269&amp;")"))</f>
        <v>Fixed defect</v>
      </c>
      <c r="O269" s="28" t="str">
        <f aca="false">IF(Data!O269="","",IFERROR(VLOOKUP(Data!O269,Codes!$A$53:$B$57,2,FALSE()),"Invalid ("&amp;Data!O269&amp;")"))</f>
        <v>Disease (2)</v>
      </c>
      <c r="P269" s="22" t="str">
        <f aca="false">IF(Data!P269="","",IFERROR(VLOOKUP(Data!P269,Codes!$A$61:$B$64,2,FALSE()),"Invalid ("&amp;Data!P269&amp;")"))</f>
        <v>Cleveland Clinic</v>
      </c>
    </row>
    <row r="270" customFormat="false" ht="15" hidden="false" customHeight="false" outlineLevel="0" collapsed="false">
      <c r="A270" s="19" t="n">
        <f aca="false">Data!A270</f>
        <v>269</v>
      </c>
      <c r="B270" s="20" t="n">
        <f aca="false">IF(Data!B270="","",Data!B270)</f>
        <v>40</v>
      </c>
      <c r="C270" s="28" t="str">
        <f aca="false">IF(Data!C270="","",IFERROR(VLOOKUP(Data!C270,Codes!$A$6:$B$7,2,FALSE()),"Invalid ("&amp;Data!C270&amp;")"))</f>
        <v>Male</v>
      </c>
      <c r="D270" s="28" t="str">
        <f aca="false">IF(Data!D270="","",IFERROR(VLOOKUP(Data!D270,Codes!$A$11:$B$14,2,FALSE()),"Invalid ("&amp;Data!D270&amp;")"))</f>
        <v>Asymptomatic</v>
      </c>
      <c r="E270" s="20" t="n">
        <f aca="false">IF(Data!E270="","",Data!E270)</f>
        <v>152</v>
      </c>
      <c r="F270" s="20" t="n">
        <f aca="false">IF(Data!F270="","",Data!F270)</f>
        <v>223</v>
      </c>
      <c r="G270" s="28" t="str">
        <f aca="false">IF(Data!G270="","",IFERROR(VLOOKUP(Data!G270,Codes!$A$18:$B$19,2,FALSE()),"Invalid ("&amp;Data!G270&amp;")"))</f>
        <v>No</v>
      </c>
      <c r="H270" s="28" t="str">
        <f aca="false">IF(Data!H270="","",IFERROR(VLOOKUP(Data!H270,Codes!$A$23:$B$25,2,FALSE()),"Invalid ("&amp;Data!H270&amp;")"))</f>
        <v>Normal</v>
      </c>
      <c r="I270" s="20" t="n">
        <f aca="false">IF(Data!I270="","",Data!I270)</f>
        <v>181</v>
      </c>
      <c r="J270" s="28" t="str">
        <f aca="false">IF(Data!J270="","",IFERROR(VLOOKUP(Data!J270,Codes!$A$29:$B$30,2,FALSE()),"Invalid ("&amp;Data!J270&amp;")"))</f>
        <v>No</v>
      </c>
      <c r="K270" s="21" t="n">
        <f aca="false">IF(Data!K270="","",Data!K270)</f>
        <v>0</v>
      </c>
      <c r="L270" s="28" t="str">
        <f aca="false">IF(Data!L270="","",IFERROR(VLOOKUP(Data!L270,Codes!$A$34:$B$36,2,FALSE()),"Invalid ("&amp;Data!L270&amp;")"))</f>
        <v>Upsloping</v>
      </c>
      <c r="M270" s="20" t="n">
        <f aca="false">IF(Data!M270="","",Data!M270)</f>
        <v>0</v>
      </c>
      <c r="N270" s="28" t="str">
        <f aca="false">IF(Data!N270="","",IFERROR(VLOOKUP(Data!N270,Codes!$A$47:$B$49,2,FALSE()),"Invalid ("&amp;Data!N270&amp;")"))</f>
        <v>Reversible defect</v>
      </c>
      <c r="O270" s="28" t="str">
        <f aca="false">IF(Data!O270="","",IFERROR(VLOOKUP(Data!O270,Codes!$A$53:$B$57,2,FALSE()),"Invalid ("&amp;Data!O270&amp;")"))</f>
        <v>Disease (1)</v>
      </c>
      <c r="P270" s="22" t="str">
        <f aca="false">IF(Data!P270="","",IFERROR(VLOOKUP(Data!P270,Codes!$A$61:$B$64,2,FALSE()),"Invalid ("&amp;Data!P270&amp;")"))</f>
        <v>Cleveland Clinic</v>
      </c>
    </row>
    <row r="271" customFormat="false" ht="15" hidden="false" customHeight="false" outlineLevel="0" collapsed="false">
      <c r="A271" s="19" t="n">
        <f aca="false">Data!A271</f>
        <v>270</v>
      </c>
      <c r="B271" s="20" t="n">
        <f aca="false">IF(Data!B271="","",Data!B271)</f>
        <v>42</v>
      </c>
      <c r="C271" s="28" t="str">
        <f aca="false">IF(Data!C271="","",IFERROR(VLOOKUP(Data!C271,Codes!$A$6:$B$7,2,FALSE()),"Invalid ("&amp;Data!C271&amp;")"))</f>
        <v>Male</v>
      </c>
      <c r="D271" s="28" t="str">
        <f aca="false">IF(Data!D271="","",IFERROR(VLOOKUP(Data!D271,Codes!$A$11:$B$14,2,FALSE()),"Invalid ("&amp;Data!D271&amp;")"))</f>
        <v>Non-anginal pain</v>
      </c>
      <c r="E271" s="20" t="n">
        <f aca="false">IF(Data!E271="","",Data!E271)</f>
        <v>130</v>
      </c>
      <c r="F271" s="20" t="n">
        <f aca="false">IF(Data!F271="","",Data!F271)</f>
        <v>180</v>
      </c>
      <c r="G271" s="28" t="str">
        <f aca="false">IF(Data!G271="","",IFERROR(VLOOKUP(Data!G271,Codes!$A$18:$B$19,2,FALSE()),"Invalid ("&amp;Data!G271&amp;")"))</f>
        <v>No</v>
      </c>
      <c r="H271" s="28" t="str">
        <f aca="false">IF(Data!H271="","",IFERROR(VLOOKUP(Data!H271,Codes!$A$23:$B$25,2,FALSE()),"Invalid ("&amp;Data!H271&amp;")"))</f>
        <v>Normal</v>
      </c>
      <c r="I271" s="20" t="n">
        <f aca="false">IF(Data!I271="","",Data!I271)</f>
        <v>150</v>
      </c>
      <c r="J271" s="28" t="str">
        <f aca="false">IF(Data!J271="","",IFERROR(VLOOKUP(Data!J271,Codes!$A$29:$B$30,2,FALSE()),"Invalid ("&amp;Data!J271&amp;")"))</f>
        <v>No</v>
      </c>
      <c r="K271" s="21" t="n">
        <f aca="false">IF(Data!K271="","",Data!K271)</f>
        <v>0</v>
      </c>
      <c r="L271" s="28" t="str">
        <f aca="false">IF(Data!L271="","",IFERROR(VLOOKUP(Data!L271,Codes!$A$34:$B$36,2,FALSE()),"Invalid ("&amp;Data!L271&amp;")"))</f>
        <v>Upsloping</v>
      </c>
      <c r="M271" s="20" t="n">
        <f aca="false">IF(Data!M271="","",Data!M271)</f>
        <v>0</v>
      </c>
      <c r="N271" s="28" t="str">
        <f aca="false">IF(Data!N271="","",IFERROR(VLOOKUP(Data!N271,Codes!$A$47:$B$49,2,FALSE()),"Invalid ("&amp;Data!N271&amp;")"))</f>
        <v>Normal</v>
      </c>
      <c r="O271" s="28" t="str">
        <f aca="false">IF(Data!O271="","",IFERROR(VLOOKUP(Data!O271,Codes!$A$53:$B$57,2,FALSE()),"Invalid ("&amp;Data!O271&amp;")"))</f>
        <v>No disease</v>
      </c>
      <c r="P271" s="22" t="str">
        <f aca="false">IF(Data!P271="","",IFERROR(VLOOKUP(Data!P271,Codes!$A$61:$B$64,2,FALSE()),"Invalid ("&amp;Data!P271&amp;")"))</f>
        <v>Cleveland Clinic</v>
      </c>
    </row>
    <row r="272" customFormat="false" ht="15" hidden="false" customHeight="false" outlineLevel="0" collapsed="false">
      <c r="A272" s="19" t="n">
        <f aca="false">Data!A272</f>
        <v>271</v>
      </c>
      <c r="B272" s="20" t="n">
        <f aca="false">IF(Data!B272="","",Data!B272)</f>
        <v>61</v>
      </c>
      <c r="C272" s="28" t="str">
        <f aca="false">IF(Data!C272="","",IFERROR(VLOOKUP(Data!C272,Codes!$A$6:$B$7,2,FALSE()),"Invalid ("&amp;Data!C272&amp;")"))</f>
        <v>Male</v>
      </c>
      <c r="D272" s="28" t="str">
        <f aca="false">IF(Data!D272="","",IFERROR(VLOOKUP(Data!D272,Codes!$A$11:$B$14,2,FALSE()),"Invalid ("&amp;Data!D272&amp;")"))</f>
        <v>Asymptomatic</v>
      </c>
      <c r="E272" s="20" t="n">
        <f aca="false">IF(Data!E272="","",Data!E272)</f>
        <v>140</v>
      </c>
      <c r="F272" s="20" t="n">
        <f aca="false">IF(Data!F272="","",Data!F272)</f>
        <v>207</v>
      </c>
      <c r="G272" s="28" t="str">
        <f aca="false">IF(Data!G272="","",IFERROR(VLOOKUP(Data!G272,Codes!$A$18:$B$19,2,FALSE()),"Invalid ("&amp;Data!G272&amp;")"))</f>
        <v>No</v>
      </c>
      <c r="H272" s="28" t="str">
        <f aca="false">IF(Data!H272="","",IFERROR(VLOOKUP(Data!H272,Codes!$A$23:$B$25,2,FALSE()),"Invalid ("&amp;Data!H272&amp;")"))</f>
        <v>Left ventricular hypertrophy</v>
      </c>
      <c r="I272" s="20" t="n">
        <f aca="false">IF(Data!I272="","",Data!I272)</f>
        <v>138</v>
      </c>
      <c r="J272" s="28" t="str">
        <f aca="false">IF(Data!J272="","",IFERROR(VLOOKUP(Data!J272,Codes!$A$29:$B$30,2,FALSE()),"Invalid ("&amp;Data!J272&amp;")"))</f>
        <v>Yes</v>
      </c>
      <c r="K272" s="21" t="n">
        <f aca="false">IF(Data!K272="","",Data!K272)</f>
        <v>1.9</v>
      </c>
      <c r="L272" s="28" t="str">
        <f aca="false">IF(Data!L272="","",IFERROR(VLOOKUP(Data!L272,Codes!$A$34:$B$36,2,FALSE()),"Invalid ("&amp;Data!L272&amp;")"))</f>
        <v>Upsloping</v>
      </c>
      <c r="M272" s="20" t="n">
        <f aca="false">IF(Data!M272="","",Data!M272)</f>
        <v>1</v>
      </c>
      <c r="N272" s="28" t="str">
        <f aca="false">IF(Data!N272="","",IFERROR(VLOOKUP(Data!N272,Codes!$A$47:$B$49,2,FALSE()),"Invalid ("&amp;Data!N272&amp;")"))</f>
        <v>Reversible defect</v>
      </c>
      <c r="O272" s="28" t="str">
        <f aca="false">IF(Data!O272="","",IFERROR(VLOOKUP(Data!O272,Codes!$A$53:$B$57,2,FALSE()),"Invalid ("&amp;Data!O272&amp;")"))</f>
        <v>Disease (1)</v>
      </c>
      <c r="P272" s="22" t="str">
        <f aca="false">IF(Data!P272="","",IFERROR(VLOOKUP(Data!P272,Codes!$A$61:$B$64,2,FALSE()),"Invalid ("&amp;Data!P272&amp;")"))</f>
        <v>Cleveland Clinic</v>
      </c>
    </row>
    <row r="273" customFormat="false" ht="15" hidden="false" customHeight="false" outlineLevel="0" collapsed="false">
      <c r="A273" s="19" t="n">
        <f aca="false">Data!A273</f>
        <v>272</v>
      </c>
      <c r="B273" s="20" t="n">
        <f aca="false">IF(Data!B273="","",Data!B273)</f>
        <v>66</v>
      </c>
      <c r="C273" s="28" t="str">
        <f aca="false">IF(Data!C273="","",IFERROR(VLOOKUP(Data!C273,Codes!$A$6:$B$7,2,FALSE()),"Invalid ("&amp;Data!C273&amp;")"))</f>
        <v>Male</v>
      </c>
      <c r="D273" s="28" t="str">
        <f aca="false">IF(Data!D273="","",IFERROR(VLOOKUP(Data!D273,Codes!$A$11:$B$14,2,FALSE()),"Invalid ("&amp;Data!D273&amp;")"))</f>
        <v>Asymptomatic</v>
      </c>
      <c r="E273" s="20" t="n">
        <f aca="false">IF(Data!E273="","",Data!E273)</f>
        <v>160</v>
      </c>
      <c r="F273" s="20" t="n">
        <f aca="false">IF(Data!F273="","",Data!F273)</f>
        <v>228</v>
      </c>
      <c r="G273" s="28" t="str">
        <f aca="false">IF(Data!G273="","",IFERROR(VLOOKUP(Data!G273,Codes!$A$18:$B$19,2,FALSE()),"Invalid ("&amp;Data!G273&amp;")"))</f>
        <v>No</v>
      </c>
      <c r="H273" s="28" t="str">
        <f aca="false">IF(Data!H273="","",IFERROR(VLOOKUP(Data!H273,Codes!$A$23:$B$25,2,FALSE()),"Invalid ("&amp;Data!H273&amp;")"))</f>
        <v>Left ventricular hypertrophy</v>
      </c>
      <c r="I273" s="20" t="n">
        <f aca="false">IF(Data!I273="","",Data!I273)</f>
        <v>138</v>
      </c>
      <c r="J273" s="28" t="str">
        <f aca="false">IF(Data!J273="","",IFERROR(VLOOKUP(Data!J273,Codes!$A$29:$B$30,2,FALSE()),"Invalid ("&amp;Data!J273&amp;")"))</f>
        <v>No</v>
      </c>
      <c r="K273" s="21" t="n">
        <f aca="false">IF(Data!K273="","",Data!K273)</f>
        <v>2.3</v>
      </c>
      <c r="L273" s="28" t="str">
        <f aca="false">IF(Data!L273="","",IFERROR(VLOOKUP(Data!L273,Codes!$A$34:$B$36,2,FALSE()),"Invalid ("&amp;Data!L273&amp;")"))</f>
        <v>Upsloping</v>
      </c>
      <c r="M273" s="20" t="n">
        <f aca="false">IF(Data!M273="","",Data!M273)</f>
        <v>0</v>
      </c>
      <c r="N273" s="28" t="str">
        <f aca="false">IF(Data!N273="","",IFERROR(VLOOKUP(Data!N273,Codes!$A$47:$B$49,2,FALSE()),"Invalid ("&amp;Data!N273&amp;")"))</f>
        <v>Fixed defect</v>
      </c>
      <c r="O273" s="28" t="str">
        <f aca="false">IF(Data!O273="","",IFERROR(VLOOKUP(Data!O273,Codes!$A$53:$B$57,2,FALSE()),"Invalid ("&amp;Data!O273&amp;")"))</f>
        <v>No disease</v>
      </c>
      <c r="P273" s="22" t="str">
        <f aca="false">IF(Data!P273="","",IFERROR(VLOOKUP(Data!P273,Codes!$A$61:$B$64,2,FALSE()),"Invalid ("&amp;Data!P273&amp;")"))</f>
        <v>Cleveland Clinic</v>
      </c>
    </row>
    <row r="274" customFormat="false" ht="15" hidden="false" customHeight="false" outlineLevel="0" collapsed="false">
      <c r="A274" s="19" t="n">
        <f aca="false">Data!A274</f>
        <v>273</v>
      </c>
      <c r="B274" s="20" t="n">
        <f aca="false">IF(Data!B274="","",Data!B274)</f>
        <v>46</v>
      </c>
      <c r="C274" s="28" t="str">
        <f aca="false">IF(Data!C274="","",IFERROR(VLOOKUP(Data!C274,Codes!$A$6:$B$7,2,FALSE()),"Invalid ("&amp;Data!C274&amp;")"))</f>
        <v>Male</v>
      </c>
      <c r="D274" s="28" t="str">
        <f aca="false">IF(Data!D274="","",IFERROR(VLOOKUP(Data!D274,Codes!$A$11:$B$14,2,FALSE()),"Invalid ("&amp;Data!D274&amp;")"))</f>
        <v>Asymptomatic</v>
      </c>
      <c r="E274" s="20" t="n">
        <f aca="false">IF(Data!E274="","",Data!E274)</f>
        <v>140</v>
      </c>
      <c r="F274" s="20" t="n">
        <f aca="false">IF(Data!F274="","",Data!F274)</f>
        <v>311</v>
      </c>
      <c r="G274" s="28" t="str">
        <f aca="false">IF(Data!G274="","",IFERROR(VLOOKUP(Data!G274,Codes!$A$18:$B$19,2,FALSE()),"Invalid ("&amp;Data!G274&amp;")"))</f>
        <v>No</v>
      </c>
      <c r="H274" s="28" t="str">
        <f aca="false">IF(Data!H274="","",IFERROR(VLOOKUP(Data!H274,Codes!$A$23:$B$25,2,FALSE()),"Invalid ("&amp;Data!H274&amp;")"))</f>
        <v>Normal</v>
      </c>
      <c r="I274" s="20" t="n">
        <f aca="false">IF(Data!I274="","",Data!I274)</f>
        <v>120</v>
      </c>
      <c r="J274" s="28" t="str">
        <f aca="false">IF(Data!J274="","",IFERROR(VLOOKUP(Data!J274,Codes!$A$29:$B$30,2,FALSE()),"Invalid ("&amp;Data!J274&amp;")"))</f>
        <v>Yes</v>
      </c>
      <c r="K274" s="21" t="n">
        <f aca="false">IF(Data!K274="","",Data!K274)</f>
        <v>1.8</v>
      </c>
      <c r="L274" s="28" t="str">
        <f aca="false">IF(Data!L274="","",IFERROR(VLOOKUP(Data!L274,Codes!$A$34:$B$36,2,FALSE()),"Invalid ("&amp;Data!L274&amp;")"))</f>
        <v>Flat</v>
      </c>
      <c r="M274" s="20" t="n">
        <f aca="false">IF(Data!M274="","",Data!M274)</f>
        <v>2</v>
      </c>
      <c r="N274" s="28" t="str">
        <f aca="false">IF(Data!N274="","",IFERROR(VLOOKUP(Data!N274,Codes!$A$47:$B$49,2,FALSE()),"Invalid ("&amp;Data!N274&amp;")"))</f>
        <v>Reversible defect</v>
      </c>
      <c r="O274" s="28" t="str">
        <f aca="false">IF(Data!O274="","",IFERROR(VLOOKUP(Data!O274,Codes!$A$53:$B$57,2,FALSE()),"Invalid ("&amp;Data!O274&amp;")"))</f>
        <v>Disease (2)</v>
      </c>
      <c r="P274" s="22" t="str">
        <f aca="false">IF(Data!P274="","",IFERROR(VLOOKUP(Data!P274,Codes!$A$61:$B$64,2,FALSE()),"Invalid ("&amp;Data!P274&amp;")"))</f>
        <v>Cleveland Clinic</v>
      </c>
    </row>
    <row r="275" customFormat="false" ht="15" hidden="false" customHeight="false" outlineLevel="0" collapsed="false">
      <c r="A275" s="19" t="n">
        <f aca="false">Data!A275</f>
        <v>274</v>
      </c>
      <c r="B275" s="20" t="n">
        <f aca="false">IF(Data!B275="","",Data!B275)</f>
        <v>71</v>
      </c>
      <c r="C275" s="28" t="str">
        <f aca="false">IF(Data!C275="","",IFERROR(VLOOKUP(Data!C275,Codes!$A$6:$B$7,2,FALSE()),"Invalid ("&amp;Data!C275&amp;")"))</f>
        <v>Female</v>
      </c>
      <c r="D275" s="28" t="str">
        <f aca="false">IF(Data!D275="","",IFERROR(VLOOKUP(Data!D275,Codes!$A$11:$B$14,2,FALSE()),"Invalid ("&amp;Data!D275&amp;")"))</f>
        <v>Asymptomatic</v>
      </c>
      <c r="E275" s="20" t="n">
        <f aca="false">IF(Data!E275="","",Data!E275)</f>
        <v>112</v>
      </c>
      <c r="F275" s="20" t="n">
        <f aca="false">IF(Data!F275="","",Data!F275)</f>
        <v>149</v>
      </c>
      <c r="G275" s="28" t="str">
        <f aca="false">IF(Data!G275="","",IFERROR(VLOOKUP(Data!G275,Codes!$A$18:$B$19,2,FALSE()),"Invalid ("&amp;Data!G275&amp;")"))</f>
        <v>No</v>
      </c>
      <c r="H275" s="28" t="str">
        <f aca="false">IF(Data!H275="","",IFERROR(VLOOKUP(Data!H275,Codes!$A$23:$B$25,2,FALSE()),"Invalid ("&amp;Data!H275&amp;")"))</f>
        <v>Normal</v>
      </c>
      <c r="I275" s="20" t="n">
        <f aca="false">IF(Data!I275="","",Data!I275)</f>
        <v>125</v>
      </c>
      <c r="J275" s="28" t="str">
        <f aca="false">IF(Data!J275="","",IFERROR(VLOOKUP(Data!J275,Codes!$A$29:$B$30,2,FALSE()),"Invalid ("&amp;Data!J275&amp;")"))</f>
        <v>No</v>
      </c>
      <c r="K275" s="21" t="n">
        <f aca="false">IF(Data!K275="","",Data!K275)</f>
        <v>1.6</v>
      </c>
      <c r="L275" s="28" t="str">
        <f aca="false">IF(Data!L275="","",IFERROR(VLOOKUP(Data!L275,Codes!$A$34:$B$36,2,FALSE()),"Invalid ("&amp;Data!L275&amp;")"))</f>
        <v>Flat</v>
      </c>
      <c r="M275" s="20" t="n">
        <f aca="false">IF(Data!M275="","",Data!M275)</f>
        <v>0</v>
      </c>
      <c r="N275" s="28" t="str">
        <f aca="false">IF(Data!N275="","",IFERROR(VLOOKUP(Data!N275,Codes!$A$47:$B$49,2,FALSE()),"Invalid ("&amp;Data!N275&amp;")"))</f>
        <v>Normal</v>
      </c>
      <c r="O275" s="28" t="str">
        <f aca="false">IF(Data!O275="","",IFERROR(VLOOKUP(Data!O275,Codes!$A$53:$B$57,2,FALSE()),"Invalid ("&amp;Data!O275&amp;")"))</f>
        <v>No disease</v>
      </c>
      <c r="P275" s="22" t="str">
        <f aca="false">IF(Data!P275="","",IFERROR(VLOOKUP(Data!P275,Codes!$A$61:$B$64,2,FALSE()),"Invalid ("&amp;Data!P275&amp;")"))</f>
        <v>Cleveland Clinic</v>
      </c>
    </row>
    <row r="276" customFormat="false" ht="15" hidden="false" customHeight="false" outlineLevel="0" collapsed="false">
      <c r="A276" s="19" t="n">
        <f aca="false">Data!A276</f>
        <v>275</v>
      </c>
      <c r="B276" s="20" t="n">
        <f aca="false">IF(Data!B276="","",Data!B276)</f>
        <v>59</v>
      </c>
      <c r="C276" s="28" t="str">
        <f aca="false">IF(Data!C276="","",IFERROR(VLOOKUP(Data!C276,Codes!$A$6:$B$7,2,FALSE()),"Invalid ("&amp;Data!C276&amp;")"))</f>
        <v>Male</v>
      </c>
      <c r="D276" s="28" t="str">
        <f aca="false">IF(Data!D276="","",IFERROR(VLOOKUP(Data!D276,Codes!$A$11:$B$14,2,FALSE()),"Invalid ("&amp;Data!D276&amp;")"))</f>
        <v>Typical angina</v>
      </c>
      <c r="E276" s="20" t="n">
        <f aca="false">IF(Data!E276="","",Data!E276)</f>
        <v>134</v>
      </c>
      <c r="F276" s="20" t="n">
        <f aca="false">IF(Data!F276="","",Data!F276)</f>
        <v>204</v>
      </c>
      <c r="G276" s="28" t="str">
        <f aca="false">IF(Data!G276="","",IFERROR(VLOOKUP(Data!G276,Codes!$A$18:$B$19,2,FALSE()),"Invalid ("&amp;Data!G276&amp;")"))</f>
        <v>No</v>
      </c>
      <c r="H276" s="28" t="str">
        <f aca="false">IF(Data!H276="","",IFERROR(VLOOKUP(Data!H276,Codes!$A$23:$B$25,2,FALSE()),"Invalid ("&amp;Data!H276&amp;")"))</f>
        <v>Normal</v>
      </c>
      <c r="I276" s="20" t="n">
        <f aca="false">IF(Data!I276="","",Data!I276)</f>
        <v>162</v>
      </c>
      <c r="J276" s="28" t="str">
        <f aca="false">IF(Data!J276="","",IFERROR(VLOOKUP(Data!J276,Codes!$A$29:$B$30,2,FALSE()),"Invalid ("&amp;Data!J276&amp;")"))</f>
        <v>No</v>
      </c>
      <c r="K276" s="21" t="n">
        <f aca="false">IF(Data!K276="","",Data!K276)</f>
        <v>0.8</v>
      </c>
      <c r="L276" s="28" t="str">
        <f aca="false">IF(Data!L276="","",IFERROR(VLOOKUP(Data!L276,Codes!$A$34:$B$36,2,FALSE()),"Invalid ("&amp;Data!L276&amp;")"))</f>
        <v>Upsloping</v>
      </c>
      <c r="M276" s="20" t="n">
        <f aca="false">IF(Data!M276="","",Data!M276)</f>
        <v>2</v>
      </c>
      <c r="N276" s="28" t="str">
        <f aca="false">IF(Data!N276="","",IFERROR(VLOOKUP(Data!N276,Codes!$A$47:$B$49,2,FALSE()),"Invalid ("&amp;Data!N276&amp;")"))</f>
        <v>Normal</v>
      </c>
      <c r="O276" s="28" t="str">
        <f aca="false">IF(Data!O276="","",IFERROR(VLOOKUP(Data!O276,Codes!$A$53:$B$57,2,FALSE()),"Invalid ("&amp;Data!O276&amp;")"))</f>
        <v>Disease (1)</v>
      </c>
      <c r="P276" s="22" t="str">
        <f aca="false">IF(Data!P276="","",IFERROR(VLOOKUP(Data!P276,Codes!$A$61:$B$64,2,FALSE()),"Invalid ("&amp;Data!P276&amp;")"))</f>
        <v>Cleveland Clinic</v>
      </c>
    </row>
    <row r="277" customFormat="false" ht="15" hidden="false" customHeight="false" outlineLevel="0" collapsed="false">
      <c r="A277" s="19" t="n">
        <f aca="false">Data!A277</f>
        <v>276</v>
      </c>
      <c r="B277" s="20" t="n">
        <f aca="false">IF(Data!B277="","",Data!B277)</f>
        <v>64</v>
      </c>
      <c r="C277" s="28" t="str">
        <f aca="false">IF(Data!C277="","",IFERROR(VLOOKUP(Data!C277,Codes!$A$6:$B$7,2,FALSE()),"Invalid ("&amp;Data!C277&amp;")"))</f>
        <v>Male</v>
      </c>
      <c r="D277" s="28" t="str">
        <f aca="false">IF(Data!D277="","",IFERROR(VLOOKUP(Data!D277,Codes!$A$11:$B$14,2,FALSE()),"Invalid ("&amp;Data!D277&amp;")"))</f>
        <v>Typical angina</v>
      </c>
      <c r="E277" s="20" t="n">
        <f aca="false">IF(Data!E277="","",Data!E277)</f>
        <v>170</v>
      </c>
      <c r="F277" s="20" t="n">
        <f aca="false">IF(Data!F277="","",Data!F277)</f>
        <v>227</v>
      </c>
      <c r="G277" s="28" t="str">
        <f aca="false">IF(Data!G277="","",IFERROR(VLOOKUP(Data!G277,Codes!$A$18:$B$19,2,FALSE()),"Invalid ("&amp;Data!G277&amp;")"))</f>
        <v>No</v>
      </c>
      <c r="H277" s="28" t="str">
        <f aca="false">IF(Data!H277="","",IFERROR(VLOOKUP(Data!H277,Codes!$A$23:$B$25,2,FALSE()),"Invalid ("&amp;Data!H277&amp;")"))</f>
        <v>Left ventricular hypertrophy</v>
      </c>
      <c r="I277" s="20" t="n">
        <f aca="false">IF(Data!I277="","",Data!I277)</f>
        <v>155</v>
      </c>
      <c r="J277" s="28" t="str">
        <f aca="false">IF(Data!J277="","",IFERROR(VLOOKUP(Data!J277,Codes!$A$29:$B$30,2,FALSE()),"Invalid ("&amp;Data!J277&amp;")"))</f>
        <v>No</v>
      </c>
      <c r="K277" s="21" t="n">
        <f aca="false">IF(Data!K277="","",Data!K277)</f>
        <v>0.6</v>
      </c>
      <c r="L277" s="28" t="str">
        <f aca="false">IF(Data!L277="","",IFERROR(VLOOKUP(Data!L277,Codes!$A$34:$B$36,2,FALSE()),"Invalid ("&amp;Data!L277&amp;")"))</f>
        <v>Flat</v>
      </c>
      <c r="M277" s="20" t="n">
        <f aca="false">IF(Data!M277="","",Data!M277)</f>
        <v>0</v>
      </c>
      <c r="N277" s="28" t="str">
        <f aca="false">IF(Data!N277="","",IFERROR(VLOOKUP(Data!N277,Codes!$A$47:$B$49,2,FALSE()),"Invalid ("&amp;Data!N277&amp;")"))</f>
        <v>Reversible defect</v>
      </c>
      <c r="O277" s="28" t="str">
        <f aca="false">IF(Data!O277="","",IFERROR(VLOOKUP(Data!O277,Codes!$A$53:$B$57,2,FALSE()),"Invalid ("&amp;Data!O277&amp;")"))</f>
        <v>No disease</v>
      </c>
      <c r="P277" s="22" t="str">
        <f aca="false">IF(Data!P277="","",IFERROR(VLOOKUP(Data!P277,Codes!$A$61:$B$64,2,FALSE()),"Invalid ("&amp;Data!P277&amp;")"))</f>
        <v>Cleveland Clinic</v>
      </c>
    </row>
    <row r="278" customFormat="false" ht="15" hidden="false" customHeight="false" outlineLevel="0" collapsed="false">
      <c r="A278" s="19" t="n">
        <f aca="false">Data!A278</f>
        <v>277</v>
      </c>
      <c r="B278" s="20" t="n">
        <f aca="false">IF(Data!B278="","",Data!B278)</f>
        <v>66</v>
      </c>
      <c r="C278" s="28" t="str">
        <f aca="false">IF(Data!C278="","",IFERROR(VLOOKUP(Data!C278,Codes!$A$6:$B$7,2,FALSE()),"Invalid ("&amp;Data!C278&amp;")"))</f>
        <v>Female</v>
      </c>
      <c r="D278" s="28" t="str">
        <f aca="false">IF(Data!D278="","",IFERROR(VLOOKUP(Data!D278,Codes!$A$11:$B$14,2,FALSE()),"Invalid ("&amp;Data!D278&amp;")"))</f>
        <v>Non-anginal pain</v>
      </c>
      <c r="E278" s="20" t="n">
        <f aca="false">IF(Data!E278="","",Data!E278)</f>
        <v>146</v>
      </c>
      <c r="F278" s="20" t="n">
        <f aca="false">IF(Data!F278="","",Data!F278)</f>
        <v>278</v>
      </c>
      <c r="G278" s="28" t="str">
        <f aca="false">IF(Data!G278="","",IFERROR(VLOOKUP(Data!G278,Codes!$A$18:$B$19,2,FALSE()),"Invalid ("&amp;Data!G278&amp;")"))</f>
        <v>No</v>
      </c>
      <c r="H278" s="28" t="str">
        <f aca="false">IF(Data!H278="","",IFERROR(VLOOKUP(Data!H278,Codes!$A$23:$B$25,2,FALSE()),"Invalid ("&amp;Data!H278&amp;")"))</f>
        <v>Left ventricular hypertrophy</v>
      </c>
      <c r="I278" s="20" t="n">
        <f aca="false">IF(Data!I278="","",Data!I278)</f>
        <v>152</v>
      </c>
      <c r="J278" s="28" t="str">
        <f aca="false">IF(Data!J278="","",IFERROR(VLOOKUP(Data!J278,Codes!$A$29:$B$30,2,FALSE()),"Invalid ("&amp;Data!J278&amp;")"))</f>
        <v>No</v>
      </c>
      <c r="K278" s="21" t="n">
        <f aca="false">IF(Data!K278="","",Data!K278)</f>
        <v>0</v>
      </c>
      <c r="L278" s="28" t="str">
        <f aca="false">IF(Data!L278="","",IFERROR(VLOOKUP(Data!L278,Codes!$A$34:$B$36,2,FALSE()),"Invalid ("&amp;Data!L278&amp;")"))</f>
        <v>Flat</v>
      </c>
      <c r="M278" s="20" t="n">
        <f aca="false">IF(Data!M278="","",Data!M278)</f>
        <v>1</v>
      </c>
      <c r="N278" s="28" t="str">
        <f aca="false">IF(Data!N278="","",IFERROR(VLOOKUP(Data!N278,Codes!$A$47:$B$49,2,FALSE()),"Invalid ("&amp;Data!N278&amp;")"))</f>
        <v>Normal</v>
      </c>
      <c r="O278" s="28" t="str">
        <f aca="false">IF(Data!O278="","",IFERROR(VLOOKUP(Data!O278,Codes!$A$53:$B$57,2,FALSE()),"Invalid ("&amp;Data!O278&amp;")"))</f>
        <v>No disease</v>
      </c>
      <c r="P278" s="22" t="str">
        <f aca="false">IF(Data!P278="","",IFERROR(VLOOKUP(Data!P278,Codes!$A$61:$B$64,2,FALSE()),"Invalid ("&amp;Data!P278&amp;")"))</f>
        <v>Cleveland Clinic</v>
      </c>
    </row>
    <row r="279" customFormat="false" ht="15" hidden="false" customHeight="false" outlineLevel="0" collapsed="false">
      <c r="A279" s="19" t="n">
        <f aca="false">Data!A279</f>
        <v>278</v>
      </c>
      <c r="B279" s="20" t="n">
        <f aca="false">IF(Data!B279="","",Data!B279)</f>
        <v>39</v>
      </c>
      <c r="C279" s="28" t="str">
        <f aca="false">IF(Data!C279="","",IFERROR(VLOOKUP(Data!C279,Codes!$A$6:$B$7,2,FALSE()),"Invalid ("&amp;Data!C279&amp;")"))</f>
        <v>Female</v>
      </c>
      <c r="D279" s="28" t="str">
        <f aca="false">IF(Data!D279="","",IFERROR(VLOOKUP(Data!D279,Codes!$A$11:$B$14,2,FALSE()),"Invalid ("&amp;Data!D279&amp;")"))</f>
        <v>Non-anginal pain</v>
      </c>
      <c r="E279" s="20" t="n">
        <f aca="false">IF(Data!E279="","",Data!E279)</f>
        <v>138</v>
      </c>
      <c r="F279" s="20" t="n">
        <f aca="false">IF(Data!F279="","",Data!F279)</f>
        <v>220</v>
      </c>
      <c r="G279" s="28" t="str">
        <f aca="false">IF(Data!G279="","",IFERROR(VLOOKUP(Data!G279,Codes!$A$18:$B$19,2,FALSE()),"Invalid ("&amp;Data!G279&amp;")"))</f>
        <v>No</v>
      </c>
      <c r="H279" s="28" t="str">
        <f aca="false">IF(Data!H279="","",IFERROR(VLOOKUP(Data!H279,Codes!$A$23:$B$25,2,FALSE()),"Invalid ("&amp;Data!H279&amp;")"))</f>
        <v>Normal</v>
      </c>
      <c r="I279" s="20" t="n">
        <f aca="false">IF(Data!I279="","",Data!I279)</f>
        <v>152</v>
      </c>
      <c r="J279" s="28" t="str">
        <f aca="false">IF(Data!J279="","",IFERROR(VLOOKUP(Data!J279,Codes!$A$29:$B$30,2,FALSE()),"Invalid ("&amp;Data!J279&amp;")"))</f>
        <v>No</v>
      </c>
      <c r="K279" s="21" t="n">
        <f aca="false">IF(Data!K279="","",Data!K279)</f>
        <v>0</v>
      </c>
      <c r="L279" s="28" t="str">
        <f aca="false">IF(Data!L279="","",IFERROR(VLOOKUP(Data!L279,Codes!$A$34:$B$36,2,FALSE()),"Invalid ("&amp;Data!L279&amp;")"))</f>
        <v>Flat</v>
      </c>
      <c r="M279" s="20" t="n">
        <f aca="false">IF(Data!M279="","",Data!M279)</f>
        <v>0</v>
      </c>
      <c r="N279" s="28" t="str">
        <f aca="false">IF(Data!N279="","",IFERROR(VLOOKUP(Data!N279,Codes!$A$47:$B$49,2,FALSE()),"Invalid ("&amp;Data!N279&amp;")"))</f>
        <v>Normal</v>
      </c>
      <c r="O279" s="28" t="str">
        <f aca="false">IF(Data!O279="","",IFERROR(VLOOKUP(Data!O279,Codes!$A$53:$B$57,2,FALSE()),"Invalid ("&amp;Data!O279&amp;")"))</f>
        <v>No disease</v>
      </c>
      <c r="P279" s="22" t="str">
        <f aca="false">IF(Data!P279="","",IFERROR(VLOOKUP(Data!P279,Codes!$A$61:$B$64,2,FALSE()),"Invalid ("&amp;Data!P279&amp;")"))</f>
        <v>Cleveland Clinic</v>
      </c>
    </row>
    <row r="280" customFormat="false" ht="15" hidden="false" customHeight="false" outlineLevel="0" collapsed="false">
      <c r="A280" s="19" t="n">
        <f aca="false">Data!A280</f>
        <v>279</v>
      </c>
      <c r="B280" s="20" t="n">
        <f aca="false">IF(Data!B280="","",Data!B280)</f>
        <v>57</v>
      </c>
      <c r="C280" s="28" t="str">
        <f aca="false">IF(Data!C280="","",IFERROR(VLOOKUP(Data!C280,Codes!$A$6:$B$7,2,FALSE()),"Invalid ("&amp;Data!C280&amp;")"))</f>
        <v>Male</v>
      </c>
      <c r="D280" s="28" t="str">
        <f aca="false">IF(Data!D280="","",IFERROR(VLOOKUP(Data!D280,Codes!$A$11:$B$14,2,FALSE()),"Invalid ("&amp;Data!D280&amp;")"))</f>
        <v>Atypical angina</v>
      </c>
      <c r="E280" s="20" t="n">
        <f aca="false">IF(Data!E280="","",Data!E280)</f>
        <v>154</v>
      </c>
      <c r="F280" s="20" t="n">
        <f aca="false">IF(Data!F280="","",Data!F280)</f>
        <v>232</v>
      </c>
      <c r="G280" s="28" t="str">
        <f aca="false">IF(Data!G280="","",IFERROR(VLOOKUP(Data!G280,Codes!$A$18:$B$19,2,FALSE()),"Invalid ("&amp;Data!G280&amp;")"))</f>
        <v>No</v>
      </c>
      <c r="H280" s="28" t="str">
        <f aca="false">IF(Data!H280="","",IFERROR(VLOOKUP(Data!H280,Codes!$A$23:$B$25,2,FALSE()),"Invalid ("&amp;Data!H280&amp;")"))</f>
        <v>Left ventricular hypertrophy</v>
      </c>
      <c r="I280" s="20" t="n">
        <f aca="false">IF(Data!I280="","",Data!I280)</f>
        <v>164</v>
      </c>
      <c r="J280" s="28" t="str">
        <f aca="false">IF(Data!J280="","",IFERROR(VLOOKUP(Data!J280,Codes!$A$29:$B$30,2,FALSE()),"Invalid ("&amp;Data!J280&amp;")"))</f>
        <v>No</v>
      </c>
      <c r="K280" s="21" t="n">
        <f aca="false">IF(Data!K280="","",Data!K280)</f>
        <v>0</v>
      </c>
      <c r="L280" s="28" t="str">
        <f aca="false">IF(Data!L280="","",IFERROR(VLOOKUP(Data!L280,Codes!$A$34:$B$36,2,FALSE()),"Invalid ("&amp;Data!L280&amp;")"))</f>
        <v>Upsloping</v>
      </c>
      <c r="M280" s="20" t="n">
        <f aca="false">IF(Data!M280="","",Data!M280)</f>
        <v>1</v>
      </c>
      <c r="N280" s="28" t="str">
        <f aca="false">IF(Data!N280="","",IFERROR(VLOOKUP(Data!N280,Codes!$A$47:$B$49,2,FALSE()),"Invalid ("&amp;Data!N280&amp;")"))</f>
        <v>Normal</v>
      </c>
      <c r="O280" s="28" t="str">
        <f aca="false">IF(Data!O280="","",IFERROR(VLOOKUP(Data!O280,Codes!$A$53:$B$57,2,FALSE()),"Invalid ("&amp;Data!O280&amp;")"))</f>
        <v>Disease (1)</v>
      </c>
      <c r="P280" s="22" t="str">
        <f aca="false">IF(Data!P280="","",IFERROR(VLOOKUP(Data!P280,Codes!$A$61:$B$64,2,FALSE()),"Invalid ("&amp;Data!P280&amp;")"))</f>
        <v>Cleveland Clinic</v>
      </c>
    </row>
    <row r="281" customFormat="false" ht="15" hidden="false" customHeight="false" outlineLevel="0" collapsed="false">
      <c r="A281" s="19" t="n">
        <f aca="false">Data!A281</f>
        <v>280</v>
      </c>
      <c r="B281" s="20" t="n">
        <f aca="false">IF(Data!B281="","",Data!B281)</f>
        <v>58</v>
      </c>
      <c r="C281" s="28" t="str">
        <f aca="false">IF(Data!C281="","",IFERROR(VLOOKUP(Data!C281,Codes!$A$6:$B$7,2,FALSE()),"Invalid ("&amp;Data!C281&amp;")"))</f>
        <v>Female</v>
      </c>
      <c r="D281" s="28" t="str">
        <f aca="false">IF(Data!D281="","",IFERROR(VLOOKUP(Data!D281,Codes!$A$11:$B$14,2,FALSE()),"Invalid ("&amp;Data!D281&amp;")"))</f>
        <v>Asymptomatic</v>
      </c>
      <c r="E281" s="20" t="n">
        <f aca="false">IF(Data!E281="","",Data!E281)</f>
        <v>130</v>
      </c>
      <c r="F281" s="20" t="n">
        <f aca="false">IF(Data!F281="","",Data!F281)</f>
        <v>197</v>
      </c>
      <c r="G281" s="28" t="str">
        <f aca="false">IF(Data!G281="","",IFERROR(VLOOKUP(Data!G281,Codes!$A$18:$B$19,2,FALSE()),"Invalid ("&amp;Data!G281&amp;")"))</f>
        <v>No</v>
      </c>
      <c r="H281" s="28" t="str">
        <f aca="false">IF(Data!H281="","",IFERROR(VLOOKUP(Data!H281,Codes!$A$23:$B$25,2,FALSE()),"Invalid ("&amp;Data!H281&amp;")"))</f>
        <v>Normal</v>
      </c>
      <c r="I281" s="20" t="n">
        <f aca="false">IF(Data!I281="","",Data!I281)</f>
        <v>131</v>
      </c>
      <c r="J281" s="28" t="str">
        <f aca="false">IF(Data!J281="","",IFERROR(VLOOKUP(Data!J281,Codes!$A$29:$B$30,2,FALSE()),"Invalid ("&amp;Data!J281&amp;")"))</f>
        <v>No</v>
      </c>
      <c r="K281" s="21" t="n">
        <f aca="false">IF(Data!K281="","",Data!K281)</f>
        <v>0.6</v>
      </c>
      <c r="L281" s="28" t="str">
        <f aca="false">IF(Data!L281="","",IFERROR(VLOOKUP(Data!L281,Codes!$A$34:$B$36,2,FALSE()),"Invalid ("&amp;Data!L281&amp;")"))</f>
        <v>Flat</v>
      </c>
      <c r="M281" s="20" t="n">
        <f aca="false">IF(Data!M281="","",Data!M281)</f>
        <v>0</v>
      </c>
      <c r="N281" s="28" t="str">
        <f aca="false">IF(Data!N281="","",IFERROR(VLOOKUP(Data!N281,Codes!$A$47:$B$49,2,FALSE()),"Invalid ("&amp;Data!N281&amp;")"))</f>
        <v>Normal</v>
      </c>
      <c r="O281" s="28" t="str">
        <f aca="false">IF(Data!O281="","",IFERROR(VLOOKUP(Data!O281,Codes!$A$53:$B$57,2,FALSE()),"Invalid ("&amp;Data!O281&amp;")"))</f>
        <v>No disease</v>
      </c>
      <c r="P281" s="22" t="str">
        <f aca="false">IF(Data!P281="","",IFERROR(VLOOKUP(Data!P281,Codes!$A$61:$B$64,2,FALSE()),"Invalid ("&amp;Data!P281&amp;")"))</f>
        <v>Cleveland Clinic</v>
      </c>
    </row>
    <row r="282" customFormat="false" ht="15" hidden="false" customHeight="false" outlineLevel="0" collapsed="false">
      <c r="A282" s="19" t="n">
        <f aca="false">Data!A282</f>
        <v>281</v>
      </c>
      <c r="B282" s="20" t="n">
        <f aca="false">IF(Data!B282="","",Data!B282)</f>
        <v>57</v>
      </c>
      <c r="C282" s="28" t="str">
        <f aca="false">IF(Data!C282="","",IFERROR(VLOOKUP(Data!C282,Codes!$A$6:$B$7,2,FALSE()),"Invalid ("&amp;Data!C282&amp;")"))</f>
        <v>Male</v>
      </c>
      <c r="D282" s="28" t="str">
        <f aca="false">IF(Data!D282="","",IFERROR(VLOOKUP(Data!D282,Codes!$A$11:$B$14,2,FALSE()),"Invalid ("&amp;Data!D282&amp;")"))</f>
        <v>Asymptomatic</v>
      </c>
      <c r="E282" s="20" t="n">
        <f aca="false">IF(Data!E282="","",Data!E282)</f>
        <v>110</v>
      </c>
      <c r="F282" s="20" t="n">
        <f aca="false">IF(Data!F282="","",Data!F282)</f>
        <v>335</v>
      </c>
      <c r="G282" s="28" t="str">
        <f aca="false">IF(Data!G282="","",IFERROR(VLOOKUP(Data!G282,Codes!$A$18:$B$19,2,FALSE()),"Invalid ("&amp;Data!G282&amp;")"))</f>
        <v>No</v>
      </c>
      <c r="H282" s="28" t="str">
        <f aca="false">IF(Data!H282="","",IFERROR(VLOOKUP(Data!H282,Codes!$A$23:$B$25,2,FALSE()),"Invalid ("&amp;Data!H282&amp;")"))</f>
        <v>Normal</v>
      </c>
      <c r="I282" s="20" t="n">
        <f aca="false">IF(Data!I282="","",Data!I282)</f>
        <v>143</v>
      </c>
      <c r="J282" s="28" t="str">
        <f aca="false">IF(Data!J282="","",IFERROR(VLOOKUP(Data!J282,Codes!$A$29:$B$30,2,FALSE()),"Invalid ("&amp;Data!J282&amp;")"))</f>
        <v>Yes</v>
      </c>
      <c r="K282" s="21" t="n">
        <f aca="false">IF(Data!K282="","",Data!K282)</f>
        <v>3</v>
      </c>
      <c r="L282" s="28" t="str">
        <f aca="false">IF(Data!L282="","",IFERROR(VLOOKUP(Data!L282,Codes!$A$34:$B$36,2,FALSE()),"Invalid ("&amp;Data!L282&amp;")"))</f>
        <v>Flat</v>
      </c>
      <c r="M282" s="20" t="n">
        <f aca="false">IF(Data!M282="","",Data!M282)</f>
        <v>1</v>
      </c>
      <c r="N282" s="28" t="str">
        <f aca="false">IF(Data!N282="","",IFERROR(VLOOKUP(Data!N282,Codes!$A$47:$B$49,2,FALSE()),"Invalid ("&amp;Data!N282&amp;")"))</f>
        <v>Reversible defect</v>
      </c>
      <c r="O282" s="28" t="str">
        <f aca="false">IF(Data!O282="","",IFERROR(VLOOKUP(Data!O282,Codes!$A$53:$B$57,2,FALSE()),"Invalid ("&amp;Data!O282&amp;")"))</f>
        <v>Disease (2)</v>
      </c>
      <c r="P282" s="22" t="str">
        <f aca="false">IF(Data!P282="","",IFERROR(VLOOKUP(Data!P282,Codes!$A$61:$B$64,2,FALSE()),"Invalid ("&amp;Data!P282&amp;")"))</f>
        <v>Cleveland Clinic</v>
      </c>
    </row>
    <row r="283" customFormat="false" ht="15" hidden="false" customHeight="false" outlineLevel="0" collapsed="false">
      <c r="A283" s="19" t="n">
        <f aca="false">Data!A283</f>
        <v>282</v>
      </c>
      <c r="B283" s="20" t="n">
        <f aca="false">IF(Data!B283="","",Data!B283)</f>
        <v>47</v>
      </c>
      <c r="C283" s="28" t="str">
        <f aca="false">IF(Data!C283="","",IFERROR(VLOOKUP(Data!C283,Codes!$A$6:$B$7,2,FALSE()),"Invalid ("&amp;Data!C283&amp;")"))</f>
        <v>Male</v>
      </c>
      <c r="D283" s="28" t="str">
        <f aca="false">IF(Data!D283="","",IFERROR(VLOOKUP(Data!D283,Codes!$A$11:$B$14,2,FALSE()),"Invalid ("&amp;Data!D283&amp;")"))</f>
        <v>Non-anginal pain</v>
      </c>
      <c r="E283" s="20" t="n">
        <f aca="false">IF(Data!E283="","",Data!E283)</f>
        <v>130</v>
      </c>
      <c r="F283" s="20" t="n">
        <f aca="false">IF(Data!F283="","",Data!F283)</f>
        <v>253</v>
      </c>
      <c r="G283" s="28" t="str">
        <f aca="false">IF(Data!G283="","",IFERROR(VLOOKUP(Data!G283,Codes!$A$18:$B$19,2,FALSE()),"Invalid ("&amp;Data!G283&amp;")"))</f>
        <v>No</v>
      </c>
      <c r="H283" s="28" t="str">
        <f aca="false">IF(Data!H283="","",IFERROR(VLOOKUP(Data!H283,Codes!$A$23:$B$25,2,FALSE()),"Invalid ("&amp;Data!H283&amp;")"))</f>
        <v>Normal</v>
      </c>
      <c r="I283" s="20" t="n">
        <f aca="false">IF(Data!I283="","",Data!I283)</f>
        <v>179</v>
      </c>
      <c r="J283" s="28" t="str">
        <f aca="false">IF(Data!J283="","",IFERROR(VLOOKUP(Data!J283,Codes!$A$29:$B$30,2,FALSE()),"Invalid ("&amp;Data!J283&amp;")"))</f>
        <v>No</v>
      </c>
      <c r="K283" s="21" t="n">
        <f aca="false">IF(Data!K283="","",Data!K283)</f>
        <v>0</v>
      </c>
      <c r="L283" s="28" t="str">
        <f aca="false">IF(Data!L283="","",IFERROR(VLOOKUP(Data!L283,Codes!$A$34:$B$36,2,FALSE()),"Invalid ("&amp;Data!L283&amp;")"))</f>
        <v>Upsloping</v>
      </c>
      <c r="M283" s="20" t="n">
        <f aca="false">IF(Data!M283="","",Data!M283)</f>
        <v>0</v>
      </c>
      <c r="N283" s="28" t="str">
        <f aca="false">IF(Data!N283="","",IFERROR(VLOOKUP(Data!N283,Codes!$A$47:$B$49,2,FALSE()),"Invalid ("&amp;Data!N283&amp;")"))</f>
        <v>Normal</v>
      </c>
      <c r="O283" s="28" t="str">
        <f aca="false">IF(Data!O283="","",IFERROR(VLOOKUP(Data!O283,Codes!$A$53:$B$57,2,FALSE()),"Invalid ("&amp;Data!O283&amp;")"))</f>
        <v>No disease</v>
      </c>
      <c r="P283" s="22" t="str">
        <f aca="false">IF(Data!P283="","",IFERROR(VLOOKUP(Data!P283,Codes!$A$61:$B$64,2,FALSE()),"Invalid ("&amp;Data!P283&amp;")"))</f>
        <v>Cleveland Clinic</v>
      </c>
    </row>
    <row r="284" customFormat="false" ht="15" hidden="false" customHeight="false" outlineLevel="0" collapsed="false">
      <c r="A284" s="19" t="n">
        <f aca="false">Data!A284</f>
        <v>283</v>
      </c>
      <c r="B284" s="20" t="n">
        <f aca="false">IF(Data!B284="","",Data!B284)</f>
        <v>55</v>
      </c>
      <c r="C284" s="28" t="str">
        <f aca="false">IF(Data!C284="","",IFERROR(VLOOKUP(Data!C284,Codes!$A$6:$B$7,2,FALSE()),"Invalid ("&amp;Data!C284&amp;")"))</f>
        <v>Female</v>
      </c>
      <c r="D284" s="28" t="str">
        <f aca="false">IF(Data!D284="","",IFERROR(VLOOKUP(Data!D284,Codes!$A$11:$B$14,2,FALSE()),"Invalid ("&amp;Data!D284&amp;")"))</f>
        <v>Asymptomatic</v>
      </c>
      <c r="E284" s="20" t="n">
        <f aca="false">IF(Data!E284="","",Data!E284)</f>
        <v>128</v>
      </c>
      <c r="F284" s="20" t="n">
        <f aca="false">IF(Data!F284="","",Data!F284)</f>
        <v>205</v>
      </c>
      <c r="G284" s="28" t="str">
        <f aca="false">IF(Data!G284="","",IFERROR(VLOOKUP(Data!G284,Codes!$A$18:$B$19,2,FALSE()),"Invalid ("&amp;Data!G284&amp;")"))</f>
        <v>No</v>
      </c>
      <c r="H284" s="28" t="str">
        <f aca="false">IF(Data!H284="","",IFERROR(VLOOKUP(Data!H284,Codes!$A$23:$B$25,2,FALSE()),"Invalid ("&amp;Data!H284&amp;")"))</f>
        <v>ST-T wave abnormality</v>
      </c>
      <c r="I284" s="20" t="n">
        <f aca="false">IF(Data!I284="","",Data!I284)</f>
        <v>130</v>
      </c>
      <c r="J284" s="28" t="str">
        <f aca="false">IF(Data!J284="","",IFERROR(VLOOKUP(Data!J284,Codes!$A$29:$B$30,2,FALSE()),"Invalid ("&amp;Data!J284&amp;")"))</f>
        <v>Yes</v>
      </c>
      <c r="K284" s="21" t="n">
        <f aca="false">IF(Data!K284="","",Data!K284)</f>
        <v>2</v>
      </c>
      <c r="L284" s="28" t="str">
        <f aca="false">IF(Data!L284="","",IFERROR(VLOOKUP(Data!L284,Codes!$A$34:$B$36,2,FALSE()),"Invalid ("&amp;Data!L284&amp;")"))</f>
        <v>Flat</v>
      </c>
      <c r="M284" s="20" t="n">
        <f aca="false">IF(Data!M284="","",Data!M284)</f>
        <v>1</v>
      </c>
      <c r="N284" s="28" t="str">
        <f aca="false">IF(Data!N284="","",IFERROR(VLOOKUP(Data!N284,Codes!$A$47:$B$49,2,FALSE()),"Invalid ("&amp;Data!N284&amp;")"))</f>
        <v>Reversible defect</v>
      </c>
      <c r="O284" s="28" t="str">
        <f aca="false">IF(Data!O284="","",IFERROR(VLOOKUP(Data!O284,Codes!$A$53:$B$57,2,FALSE()),"Invalid ("&amp;Data!O284&amp;")"))</f>
        <v>Disease (3)</v>
      </c>
      <c r="P284" s="22" t="str">
        <f aca="false">IF(Data!P284="","",IFERROR(VLOOKUP(Data!P284,Codes!$A$61:$B$64,2,FALSE()),"Invalid ("&amp;Data!P284&amp;")"))</f>
        <v>Cleveland Clinic</v>
      </c>
    </row>
    <row r="285" customFormat="false" ht="15" hidden="false" customHeight="false" outlineLevel="0" collapsed="false">
      <c r="A285" s="19" t="n">
        <f aca="false">Data!A285</f>
        <v>284</v>
      </c>
      <c r="B285" s="20" t="n">
        <f aca="false">IF(Data!B285="","",Data!B285)</f>
        <v>35</v>
      </c>
      <c r="C285" s="28" t="str">
        <f aca="false">IF(Data!C285="","",IFERROR(VLOOKUP(Data!C285,Codes!$A$6:$B$7,2,FALSE()),"Invalid ("&amp;Data!C285&amp;")"))</f>
        <v>Male</v>
      </c>
      <c r="D285" s="28" t="str">
        <f aca="false">IF(Data!D285="","",IFERROR(VLOOKUP(Data!D285,Codes!$A$11:$B$14,2,FALSE()),"Invalid ("&amp;Data!D285&amp;")"))</f>
        <v>Atypical angina</v>
      </c>
      <c r="E285" s="20" t="n">
        <f aca="false">IF(Data!E285="","",Data!E285)</f>
        <v>122</v>
      </c>
      <c r="F285" s="20" t="n">
        <f aca="false">IF(Data!F285="","",Data!F285)</f>
        <v>192</v>
      </c>
      <c r="G285" s="28" t="str">
        <f aca="false">IF(Data!G285="","",IFERROR(VLOOKUP(Data!G285,Codes!$A$18:$B$19,2,FALSE()),"Invalid ("&amp;Data!G285&amp;")"))</f>
        <v>No</v>
      </c>
      <c r="H285" s="28" t="str">
        <f aca="false">IF(Data!H285="","",IFERROR(VLOOKUP(Data!H285,Codes!$A$23:$B$25,2,FALSE()),"Invalid ("&amp;Data!H285&amp;")"))</f>
        <v>Normal</v>
      </c>
      <c r="I285" s="20" t="n">
        <f aca="false">IF(Data!I285="","",Data!I285)</f>
        <v>174</v>
      </c>
      <c r="J285" s="28" t="str">
        <f aca="false">IF(Data!J285="","",IFERROR(VLOOKUP(Data!J285,Codes!$A$29:$B$30,2,FALSE()),"Invalid ("&amp;Data!J285&amp;")"))</f>
        <v>No</v>
      </c>
      <c r="K285" s="21" t="n">
        <f aca="false">IF(Data!K285="","",Data!K285)</f>
        <v>0</v>
      </c>
      <c r="L285" s="28" t="str">
        <f aca="false">IF(Data!L285="","",IFERROR(VLOOKUP(Data!L285,Codes!$A$34:$B$36,2,FALSE()),"Invalid ("&amp;Data!L285&amp;")"))</f>
        <v>Upsloping</v>
      </c>
      <c r="M285" s="20" t="n">
        <f aca="false">IF(Data!M285="","",Data!M285)</f>
        <v>0</v>
      </c>
      <c r="N285" s="28" t="str">
        <f aca="false">IF(Data!N285="","",IFERROR(VLOOKUP(Data!N285,Codes!$A$47:$B$49,2,FALSE()),"Invalid ("&amp;Data!N285&amp;")"))</f>
        <v>Normal</v>
      </c>
      <c r="O285" s="28" t="str">
        <f aca="false">IF(Data!O285="","",IFERROR(VLOOKUP(Data!O285,Codes!$A$53:$B$57,2,FALSE()),"Invalid ("&amp;Data!O285&amp;")"))</f>
        <v>No disease</v>
      </c>
      <c r="P285" s="22" t="str">
        <f aca="false">IF(Data!P285="","",IFERROR(VLOOKUP(Data!P285,Codes!$A$61:$B$64,2,FALSE()),"Invalid ("&amp;Data!P285&amp;")"))</f>
        <v>Cleveland Clinic</v>
      </c>
    </row>
    <row r="286" customFormat="false" ht="15" hidden="false" customHeight="false" outlineLevel="0" collapsed="false">
      <c r="A286" s="19" t="n">
        <f aca="false">Data!A286</f>
        <v>285</v>
      </c>
      <c r="B286" s="20" t="n">
        <f aca="false">IF(Data!B286="","",Data!B286)</f>
        <v>61</v>
      </c>
      <c r="C286" s="28" t="str">
        <f aca="false">IF(Data!C286="","",IFERROR(VLOOKUP(Data!C286,Codes!$A$6:$B$7,2,FALSE()),"Invalid ("&amp;Data!C286&amp;")"))</f>
        <v>Male</v>
      </c>
      <c r="D286" s="28" t="str">
        <f aca="false">IF(Data!D286="","",IFERROR(VLOOKUP(Data!D286,Codes!$A$11:$B$14,2,FALSE()),"Invalid ("&amp;Data!D286&amp;")"))</f>
        <v>Asymptomatic</v>
      </c>
      <c r="E286" s="20" t="n">
        <f aca="false">IF(Data!E286="","",Data!E286)</f>
        <v>148</v>
      </c>
      <c r="F286" s="20" t="n">
        <f aca="false">IF(Data!F286="","",Data!F286)</f>
        <v>203</v>
      </c>
      <c r="G286" s="28" t="str">
        <f aca="false">IF(Data!G286="","",IFERROR(VLOOKUP(Data!G286,Codes!$A$18:$B$19,2,FALSE()),"Invalid ("&amp;Data!G286&amp;")"))</f>
        <v>No</v>
      </c>
      <c r="H286" s="28" t="str">
        <f aca="false">IF(Data!H286="","",IFERROR(VLOOKUP(Data!H286,Codes!$A$23:$B$25,2,FALSE()),"Invalid ("&amp;Data!H286&amp;")"))</f>
        <v>Normal</v>
      </c>
      <c r="I286" s="20" t="n">
        <f aca="false">IF(Data!I286="","",Data!I286)</f>
        <v>161</v>
      </c>
      <c r="J286" s="28" t="str">
        <f aca="false">IF(Data!J286="","",IFERROR(VLOOKUP(Data!J286,Codes!$A$29:$B$30,2,FALSE()),"Invalid ("&amp;Data!J286&amp;")"))</f>
        <v>No</v>
      </c>
      <c r="K286" s="21" t="n">
        <f aca="false">IF(Data!K286="","",Data!K286)</f>
        <v>0</v>
      </c>
      <c r="L286" s="28" t="str">
        <f aca="false">IF(Data!L286="","",IFERROR(VLOOKUP(Data!L286,Codes!$A$34:$B$36,2,FALSE()),"Invalid ("&amp;Data!L286&amp;")"))</f>
        <v>Upsloping</v>
      </c>
      <c r="M286" s="20" t="n">
        <f aca="false">IF(Data!M286="","",Data!M286)</f>
        <v>1</v>
      </c>
      <c r="N286" s="28" t="str">
        <f aca="false">IF(Data!N286="","",IFERROR(VLOOKUP(Data!N286,Codes!$A$47:$B$49,2,FALSE()),"Invalid ("&amp;Data!N286&amp;")"))</f>
        <v>Reversible defect</v>
      </c>
      <c r="O286" s="28" t="str">
        <f aca="false">IF(Data!O286="","",IFERROR(VLOOKUP(Data!O286,Codes!$A$53:$B$57,2,FALSE()),"Invalid ("&amp;Data!O286&amp;")"))</f>
        <v>Disease (2)</v>
      </c>
      <c r="P286" s="22" t="str">
        <f aca="false">IF(Data!P286="","",IFERROR(VLOOKUP(Data!P286,Codes!$A$61:$B$64,2,FALSE()),"Invalid ("&amp;Data!P286&amp;")"))</f>
        <v>Cleveland Clinic</v>
      </c>
    </row>
    <row r="287" customFormat="false" ht="15" hidden="false" customHeight="false" outlineLevel="0" collapsed="false">
      <c r="A287" s="19" t="n">
        <f aca="false">Data!A287</f>
        <v>286</v>
      </c>
      <c r="B287" s="20" t="n">
        <f aca="false">IF(Data!B287="","",Data!B287)</f>
        <v>58</v>
      </c>
      <c r="C287" s="28" t="str">
        <f aca="false">IF(Data!C287="","",IFERROR(VLOOKUP(Data!C287,Codes!$A$6:$B$7,2,FALSE()),"Invalid ("&amp;Data!C287&amp;")"))</f>
        <v>Male</v>
      </c>
      <c r="D287" s="28" t="str">
        <f aca="false">IF(Data!D287="","",IFERROR(VLOOKUP(Data!D287,Codes!$A$11:$B$14,2,FALSE()),"Invalid ("&amp;Data!D287&amp;")"))</f>
        <v>Asymptomatic</v>
      </c>
      <c r="E287" s="20" t="n">
        <f aca="false">IF(Data!E287="","",Data!E287)</f>
        <v>114</v>
      </c>
      <c r="F287" s="20" t="n">
        <f aca="false">IF(Data!F287="","",Data!F287)</f>
        <v>318</v>
      </c>
      <c r="G287" s="28" t="str">
        <f aca="false">IF(Data!G287="","",IFERROR(VLOOKUP(Data!G287,Codes!$A$18:$B$19,2,FALSE()),"Invalid ("&amp;Data!G287&amp;")"))</f>
        <v>No</v>
      </c>
      <c r="H287" s="28" t="str">
        <f aca="false">IF(Data!H287="","",IFERROR(VLOOKUP(Data!H287,Codes!$A$23:$B$25,2,FALSE()),"Invalid ("&amp;Data!H287&amp;")"))</f>
        <v>ST-T wave abnormality</v>
      </c>
      <c r="I287" s="20" t="n">
        <f aca="false">IF(Data!I287="","",Data!I287)</f>
        <v>140</v>
      </c>
      <c r="J287" s="28" t="str">
        <f aca="false">IF(Data!J287="","",IFERROR(VLOOKUP(Data!J287,Codes!$A$29:$B$30,2,FALSE()),"Invalid ("&amp;Data!J287&amp;")"))</f>
        <v>No</v>
      </c>
      <c r="K287" s="21" t="n">
        <f aca="false">IF(Data!K287="","",Data!K287)</f>
        <v>4.4</v>
      </c>
      <c r="L287" s="28" t="str">
        <f aca="false">IF(Data!L287="","",IFERROR(VLOOKUP(Data!L287,Codes!$A$34:$B$36,2,FALSE()),"Invalid ("&amp;Data!L287&amp;")"))</f>
        <v>Downsloping</v>
      </c>
      <c r="M287" s="20" t="n">
        <f aca="false">IF(Data!M287="","",Data!M287)</f>
        <v>3</v>
      </c>
      <c r="N287" s="28" t="str">
        <f aca="false">IF(Data!N287="","",IFERROR(VLOOKUP(Data!N287,Codes!$A$47:$B$49,2,FALSE()),"Invalid ("&amp;Data!N287&amp;")"))</f>
        <v>Fixed defect</v>
      </c>
      <c r="O287" s="28" t="str">
        <f aca="false">IF(Data!O287="","",IFERROR(VLOOKUP(Data!O287,Codes!$A$53:$B$57,2,FALSE()),"Invalid ("&amp;Data!O287&amp;")"))</f>
        <v>Disease (4)</v>
      </c>
      <c r="P287" s="22" t="str">
        <f aca="false">IF(Data!P287="","",IFERROR(VLOOKUP(Data!P287,Codes!$A$61:$B$64,2,FALSE()),"Invalid ("&amp;Data!P287&amp;")"))</f>
        <v>Cleveland Clinic</v>
      </c>
    </row>
    <row r="288" customFormat="false" ht="15" hidden="false" customHeight="false" outlineLevel="0" collapsed="false">
      <c r="A288" s="19" t="n">
        <f aca="false">Data!A288</f>
        <v>287</v>
      </c>
      <c r="B288" s="20" t="n">
        <f aca="false">IF(Data!B288="","",Data!B288)</f>
        <v>58</v>
      </c>
      <c r="C288" s="28" t="str">
        <f aca="false">IF(Data!C288="","",IFERROR(VLOOKUP(Data!C288,Codes!$A$6:$B$7,2,FALSE()),"Invalid ("&amp;Data!C288&amp;")"))</f>
        <v>Female</v>
      </c>
      <c r="D288" s="28" t="str">
        <f aca="false">IF(Data!D288="","",IFERROR(VLOOKUP(Data!D288,Codes!$A$11:$B$14,2,FALSE()),"Invalid ("&amp;Data!D288&amp;")"))</f>
        <v>Asymptomatic</v>
      </c>
      <c r="E288" s="20" t="n">
        <f aca="false">IF(Data!E288="","",Data!E288)</f>
        <v>170</v>
      </c>
      <c r="F288" s="20" t="n">
        <f aca="false">IF(Data!F288="","",Data!F288)</f>
        <v>225</v>
      </c>
      <c r="G288" s="28" t="str">
        <f aca="false">IF(Data!G288="","",IFERROR(VLOOKUP(Data!G288,Codes!$A$18:$B$19,2,FALSE()),"Invalid ("&amp;Data!G288&amp;")"))</f>
        <v>Yes</v>
      </c>
      <c r="H288" s="28" t="str">
        <f aca="false">IF(Data!H288="","",IFERROR(VLOOKUP(Data!H288,Codes!$A$23:$B$25,2,FALSE()),"Invalid ("&amp;Data!H288&amp;")"))</f>
        <v>Left ventricular hypertrophy</v>
      </c>
      <c r="I288" s="20" t="n">
        <f aca="false">IF(Data!I288="","",Data!I288)</f>
        <v>146</v>
      </c>
      <c r="J288" s="28" t="str">
        <f aca="false">IF(Data!J288="","",IFERROR(VLOOKUP(Data!J288,Codes!$A$29:$B$30,2,FALSE()),"Invalid ("&amp;Data!J288&amp;")"))</f>
        <v>Yes</v>
      </c>
      <c r="K288" s="21" t="n">
        <f aca="false">IF(Data!K288="","",Data!K288)</f>
        <v>2.8</v>
      </c>
      <c r="L288" s="28" t="str">
        <f aca="false">IF(Data!L288="","",IFERROR(VLOOKUP(Data!L288,Codes!$A$34:$B$36,2,FALSE()),"Invalid ("&amp;Data!L288&amp;")"))</f>
        <v>Flat</v>
      </c>
      <c r="M288" s="20" t="n">
        <f aca="false">IF(Data!M288="","",Data!M288)</f>
        <v>2</v>
      </c>
      <c r="N288" s="28" t="str">
        <f aca="false">IF(Data!N288="","",IFERROR(VLOOKUP(Data!N288,Codes!$A$47:$B$49,2,FALSE()),"Invalid ("&amp;Data!N288&amp;")"))</f>
        <v>Fixed defect</v>
      </c>
      <c r="O288" s="28" t="str">
        <f aca="false">IF(Data!O288="","",IFERROR(VLOOKUP(Data!O288,Codes!$A$53:$B$57,2,FALSE()),"Invalid ("&amp;Data!O288&amp;")"))</f>
        <v>Disease (2)</v>
      </c>
      <c r="P288" s="22" t="str">
        <f aca="false">IF(Data!P288="","",IFERROR(VLOOKUP(Data!P288,Codes!$A$61:$B$64,2,FALSE()),"Invalid ("&amp;Data!P288&amp;")"))</f>
        <v>Cleveland Clinic</v>
      </c>
    </row>
    <row r="289" customFormat="false" ht="15" hidden="false" customHeight="false" outlineLevel="0" collapsed="false">
      <c r="A289" s="19" t="n">
        <f aca="false">Data!A289</f>
        <v>288</v>
      </c>
      <c r="B289" s="20" t="n">
        <f aca="false">IF(Data!B289="","",Data!B289)</f>
        <v>58</v>
      </c>
      <c r="C289" s="28" t="str">
        <f aca="false">IF(Data!C289="","",IFERROR(VLOOKUP(Data!C289,Codes!$A$6:$B$7,2,FALSE()),"Invalid ("&amp;Data!C289&amp;")"))</f>
        <v>Male</v>
      </c>
      <c r="D289" s="28" t="str">
        <f aca="false">IF(Data!D289="","",IFERROR(VLOOKUP(Data!D289,Codes!$A$11:$B$14,2,FALSE()),"Invalid ("&amp;Data!D289&amp;")"))</f>
        <v>Atypical angina</v>
      </c>
      <c r="E289" s="20" t="n">
        <f aca="false">IF(Data!E289="","",Data!E289)</f>
        <v>125</v>
      </c>
      <c r="F289" s="20" t="n">
        <f aca="false">IF(Data!F289="","",Data!F289)</f>
        <v>220</v>
      </c>
      <c r="G289" s="28" t="str">
        <f aca="false">IF(Data!G289="","",IFERROR(VLOOKUP(Data!G289,Codes!$A$18:$B$19,2,FALSE()),"Invalid ("&amp;Data!G289&amp;")"))</f>
        <v>No</v>
      </c>
      <c r="H289" s="28" t="str">
        <f aca="false">IF(Data!H289="","",IFERROR(VLOOKUP(Data!H289,Codes!$A$23:$B$25,2,FALSE()),"Invalid ("&amp;Data!H289&amp;")"))</f>
        <v>Normal</v>
      </c>
      <c r="I289" s="20" t="n">
        <f aca="false">IF(Data!I289="","",Data!I289)</f>
        <v>144</v>
      </c>
      <c r="J289" s="28" t="str">
        <f aca="false">IF(Data!J289="","",IFERROR(VLOOKUP(Data!J289,Codes!$A$29:$B$30,2,FALSE()),"Invalid ("&amp;Data!J289&amp;")"))</f>
        <v>No</v>
      </c>
      <c r="K289" s="21" t="n">
        <f aca="false">IF(Data!K289="","",Data!K289)</f>
        <v>0.4</v>
      </c>
      <c r="L289" s="28" t="str">
        <f aca="false">IF(Data!L289="","",IFERROR(VLOOKUP(Data!L289,Codes!$A$34:$B$36,2,FALSE()),"Invalid ("&amp;Data!L289&amp;")"))</f>
        <v>Flat</v>
      </c>
      <c r="M289" s="20" t="str">
        <f aca="false">IF(Data!M289="","",Data!M289)</f>
        <v/>
      </c>
      <c r="N289" s="28" t="str">
        <f aca="false">IF(Data!N289="","",IFERROR(VLOOKUP(Data!N289,Codes!$A$47:$B$49,2,FALSE()),"Invalid ("&amp;Data!N289&amp;")"))</f>
        <v>Reversible defect</v>
      </c>
      <c r="O289" s="28" t="str">
        <f aca="false">IF(Data!O289="","",IFERROR(VLOOKUP(Data!O289,Codes!$A$53:$B$57,2,FALSE()),"Invalid ("&amp;Data!O289&amp;")"))</f>
        <v>No disease</v>
      </c>
      <c r="P289" s="22" t="str">
        <f aca="false">IF(Data!P289="","",IFERROR(VLOOKUP(Data!P289,Codes!$A$61:$B$64,2,FALSE()),"Invalid ("&amp;Data!P289&amp;")"))</f>
        <v>Cleveland Clinic</v>
      </c>
    </row>
    <row r="290" customFormat="false" ht="15" hidden="false" customHeight="false" outlineLevel="0" collapsed="false">
      <c r="A290" s="19" t="n">
        <f aca="false">Data!A290</f>
        <v>289</v>
      </c>
      <c r="B290" s="20" t="n">
        <f aca="false">IF(Data!B290="","",Data!B290)</f>
        <v>56</v>
      </c>
      <c r="C290" s="28" t="str">
        <f aca="false">IF(Data!C290="","",IFERROR(VLOOKUP(Data!C290,Codes!$A$6:$B$7,2,FALSE()),"Invalid ("&amp;Data!C290&amp;")"))</f>
        <v>Male</v>
      </c>
      <c r="D290" s="28" t="str">
        <f aca="false">IF(Data!D290="","",IFERROR(VLOOKUP(Data!D290,Codes!$A$11:$B$14,2,FALSE()),"Invalid ("&amp;Data!D290&amp;")"))</f>
        <v>Atypical angina</v>
      </c>
      <c r="E290" s="20" t="n">
        <f aca="false">IF(Data!E290="","",Data!E290)</f>
        <v>130</v>
      </c>
      <c r="F290" s="20" t="n">
        <f aca="false">IF(Data!F290="","",Data!F290)</f>
        <v>221</v>
      </c>
      <c r="G290" s="28" t="str">
        <f aca="false">IF(Data!G290="","",IFERROR(VLOOKUP(Data!G290,Codes!$A$18:$B$19,2,FALSE()),"Invalid ("&amp;Data!G290&amp;")"))</f>
        <v>No</v>
      </c>
      <c r="H290" s="28" t="str">
        <f aca="false">IF(Data!H290="","",IFERROR(VLOOKUP(Data!H290,Codes!$A$23:$B$25,2,FALSE()),"Invalid ("&amp;Data!H290&amp;")"))</f>
        <v>Left ventricular hypertrophy</v>
      </c>
      <c r="I290" s="20" t="n">
        <f aca="false">IF(Data!I290="","",Data!I290)</f>
        <v>163</v>
      </c>
      <c r="J290" s="28" t="str">
        <f aca="false">IF(Data!J290="","",IFERROR(VLOOKUP(Data!J290,Codes!$A$29:$B$30,2,FALSE()),"Invalid ("&amp;Data!J290&amp;")"))</f>
        <v>No</v>
      </c>
      <c r="K290" s="21" t="n">
        <f aca="false">IF(Data!K290="","",Data!K290)</f>
        <v>0</v>
      </c>
      <c r="L290" s="28" t="str">
        <f aca="false">IF(Data!L290="","",IFERROR(VLOOKUP(Data!L290,Codes!$A$34:$B$36,2,FALSE()),"Invalid ("&amp;Data!L290&amp;")"))</f>
        <v>Upsloping</v>
      </c>
      <c r="M290" s="20" t="n">
        <f aca="false">IF(Data!M290="","",Data!M290)</f>
        <v>0</v>
      </c>
      <c r="N290" s="28" t="str">
        <f aca="false">IF(Data!N290="","",IFERROR(VLOOKUP(Data!N290,Codes!$A$47:$B$49,2,FALSE()),"Invalid ("&amp;Data!N290&amp;")"))</f>
        <v>Reversible defect</v>
      </c>
      <c r="O290" s="28" t="str">
        <f aca="false">IF(Data!O290="","",IFERROR(VLOOKUP(Data!O290,Codes!$A$53:$B$57,2,FALSE()),"Invalid ("&amp;Data!O290&amp;")"))</f>
        <v>No disease</v>
      </c>
      <c r="P290" s="22" t="str">
        <f aca="false">IF(Data!P290="","",IFERROR(VLOOKUP(Data!P290,Codes!$A$61:$B$64,2,FALSE()),"Invalid ("&amp;Data!P290&amp;")"))</f>
        <v>Cleveland Clinic</v>
      </c>
    </row>
    <row r="291" customFormat="false" ht="15" hidden="false" customHeight="false" outlineLevel="0" collapsed="false">
      <c r="A291" s="19" t="n">
        <f aca="false">Data!A291</f>
        <v>290</v>
      </c>
      <c r="B291" s="20" t="n">
        <f aca="false">IF(Data!B291="","",Data!B291)</f>
        <v>56</v>
      </c>
      <c r="C291" s="28" t="str">
        <f aca="false">IF(Data!C291="","",IFERROR(VLOOKUP(Data!C291,Codes!$A$6:$B$7,2,FALSE()),"Invalid ("&amp;Data!C291&amp;")"))</f>
        <v>Male</v>
      </c>
      <c r="D291" s="28" t="str">
        <f aca="false">IF(Data!D291="","",IFERROR(VLOOKUP(Data!D291,Codes!$A$11:$B$14,2,FALSE()),"Invalid ("&amp;Data!D291&amp;")"))</f>
        <v>Atypical angina</v>
      </c>
      <c r="E291" s="20" t="n">
        <f aca="false">IF(Data!E291="","",Data!E291)</f>
        <v>120</v>
      </c>
      <c r="F291" s="20" t="n">
        <f aca="false">IF(Data!F291="","",Data!F291)</f>
        <v>240</v>
      </c>
      <c r="G291" s="28" t="str">
        <f aca="false">IF(Data!G291="","",IFERROR(VLOOKUP(Data!G291,Codes!$A$18:$B$19,2,FALSE()),"Invalid ("&amp;Data!G291&amp;")"))</f>
        <v>No</v>
      </c>
      <c r="H291" s="28" t="str">
        <f aca="false">IF(Data!H291="","",IFERROR(VLOOKUP(Data!H291,Codes!$A$23:$B$25,2,FALSE()),"Invalid ("&amp;Data!H291&amp;")"))</f>
        <v>Normal</v>
      </c>
      <c r="I291" s="20" t="n">
        <f aca="false">IF(Data!I291="","",Data!I291)</f>
        <v>169</v>
      </c>
      <c r="J291" s="28" t="str">
        <f aca="false">IF(Data!J291="","",IFERROR(VLOOKUP(Data!J291,Codes!$A$29:$B$30,2,FALSE()),"Invalid ("&amp;Data!J291&amp;")"))</f>
        <v>No</v>
      </c>
      <c r="K291" s="21" t="n">
        <f aca="false">IF(Data!K291="","",Data!K291)</f>
        <v>0</v>
      </c>
      <c r="L291" s="28" t="str">
        <f aca="false">IF(Data!L291="","",IFERROR(VLOOKUP(Data!L291,Codes!$A$34:$B$36,2,FALSE()),"Invalid ("&amp;Data!L291&amp;")"))</f>
        <v>Downsloping</v>
      </c>
      <c r="M291" s="20" t="n">
        <f aca="false">IF(Data!M291="","",Data!M291)</f>
        <v>0</v>
      </c>
      <c r="N291" s="28" t="str">
        <f aca="false">IF(Data!N291="","",IFERROR(VLOOKUP(Data!N291,Codes!$A$47:$B$49,2,FALSE()),"Invalid ("&amp;Data!N291&amp;")"))</f>
        <v>Normal</v>
      </c>
      <c r="O291" s="28" t="str">
        <f aca="false">IF(Data!O291="","",IFERROR(VLOOKUP(Data!O291,Codes!$A$53:$B$57,2,FALSE()),"Invalid ("&amp;Data!O291&amp;")"))</f>
        <v>No disease</v>
      </c>
      <c r="P291" s="22" t="str">
        <f aca="false">IF(Data!P291="","",IFERROR(VLOOKUP(Data!P291,Codes!$A$61:$B$64,2,FALSE()),"Invalid ("&amp;Data!P291&amp;")"))</f>
        <v>Cleveland Clinic</v>
      </c>
    </row>
    <row r="292" customFormat="false" ht="15" hidden="false" customHeight="false" outlineLevel="0" collapsed="false">
      <c r="A292" s="19" t="n">
        <f aca="false">Data!A292</f>
        <v>291</v>
      </c>
      <c r="B292" s="20" t="n">
        <f aca="false">IF(Data!B292="","",Data!B292)</f>
        <v>67</v>
      </c>
      <c r="C292" s="28" t="str">
        <f aca="false">IF(Data!C292="","",IFERROR(VLOOKUP(Data!C292,Codes!$A$6:$B$7,2,FALSE()),"Invalid ("&amp;Data!C292&amp;")"))</f>
        <v>Male</v>
      </c>
      <c r="D292" s="28" t="str">
        <f aca="false">IF(Data!D292="","",IFERROR(VLOOKUP(Data!D292,Codes!$A$11:$B$14,2,FALSE()),"Invalid ("&amp;Data!D292&amp;")"))</f>
        <v>Non-anginal pain</v>
      </c>
      <c r="E292" s="20" t="n">
        <f aca="false">IF(Data!E292="","",Data!E292)</f>
        <v>152</v>
      </c>
      <c r="F292" s="20" t="n">
        <f aca="false">IF(Data!F292="","",Data!F292)</f>
        <v>212</v>
      </c>
      <c r="G292" s="28" t="str">
        <f aca="false">IF(Data!G292="","",IFERROR(VLOOKUP(Data!G292,Codes!$A$18:$B$19,2,FALSE()),"Invalid ("&amp;Data!G292&amp;")"))</f>
        <v>No</v>
      </c>
      <c r="H292" s="28" t="str">
        <f aca="false">IF(Data!H292="","",IFERROR(VLOOKUP(Data!H292,Codes!$A$23:$B$25,2,FALSE()),"Invalid ("&amp;Data!H292&amp;")"))</f>
        <v>Left ventricular hypertrophy</v>
      </c>
      <c r="I292" s="20" t="n">
        <f aca="false">IF(Data!I292="","",Data!I292)</f>
        <v>150</v>
      </c>
      <c r="J292" s="28" t="str">
        <f aca="false">IF(Data!J292="","",IFERROR(VLOOKUP(Data!J292,Codes!$A$29:$B$30,2,FALSE()),"Invalid ("&amp;Data!J292&amp;")"))</f>
        <v>No</v>
      </c>
      <c r="K292" s="21" t="n">
        <f aca="false">IF(Data!K292="","",Data!K292)</f>
        <v>0.8</v>
      </c>
      <c r="L292" s="28" t="str">
        <f aca="false">IF(Data!L292="","",IFERROR(VLOOKUP(Data!L292,Codes!$A$34:$B$36,2,FALSE()),"Invalid ("&amp;Data!L292&amp;")"))</f>
        <v>Flat</v>
      </c>
      <c r="M292" s="20" t="n">
        <f aca="false">IF(Data!M292="","",Data!M292)</f>
        <v>0</v>
      </c>
      <c r="N292" s="28" t="str">
        <f aca="false">IF(Data!N292="","",IFERROR(VLOOKUP(Data!N292,Codes!$A$47:$B$49,2,FALSE()),"Invalid ("&amp;Data!N292&amp;")"))</f>
        <v>Reversible defect</v>
      </c>
      <c r="O292" s="28" t="str">
        <f aca="false">IF(Data!O292="","",IFERROR(VLOOKUP(Data!O292,Codes!$A$53:$B$57,2,FALSE()),"Invalid ("&amp;Data!O292&amp;")"))</f>
        <v>Disease (1)</v>
      </c>
      <c r="P292" s="22" t="str">
        <f aca="false">IF(Data!P292="","",IFERROR(VLOOKUP(Data!P292,Codes!$A$61:$B$64,2,FALSE()),"Invalid ("&amp;Data!P292&amp;")"))</f>
        <v>Cleveland Clinic</v>
      </c>
    </row>
    <row r="293" customFormat="false" ht="15" hidden="false" customHeight="false" outlineLevel="0" collapsed="false">
      <c r="A293" s="19" t="n">
        <f aca="false">Data!A293</f>
        <v>292</v>
      </c>
      <c r="B293" s="20" t="n">
        <f aca="false">IF(Data!B293="","",Data!B293)</f>
        <v>55</v>
      </c>
      <c r="C293" s="28" t="str">
        <f aca="false">IF(Data!C293="","",IFERROR(VLOOKUP(Data!C293,Codes!$A$6:$B$7,2,FALSE()),"Invalid ("&amp;Data!C293&amp;")"))</f>
        <v>Female</v>
      </c>
      <c r="D293" s="28" t="str">
        <f aca="false">IF(Data!D293="","",IFERROR(VLOOKUP(Data!D293,Codes!$A$11:$B$14,2,FALSE()),"Invalid ("&amp;Data!D293&amp;")"))</f>
        <v>Atypical angina</v>
      </c>
      <c r="E293" s="20" t="n">
        <f aca="false">IF(Data!E293="","",Data!E293)</f>
        <v>132</v>
      </c>
      <c r="F293" s="20" t="n">
        <f aca="false">IF(Data!F293="","",Data!F293)</f>
        <v>342</v>
      </c>
      <c r="G293" s="28" t="str">
        <f aca="false">IF(Data!G293="","",IFERROR(VLOOKUP(Data!G293,Codes!$A$18:$B$19,2,FALSE()),"Invalid ("&amp;Data!G293&amp;")"))</f>
        <v>No</v>
      </c>
      <c r="H293" s="28" t="str">
        <f aca="false">IF(Data!H293="","",IFERROR(VLOOKUP(Data!H293,Codes!$A$23:$B$25,2,FALSE()),"Invalid ("&amp;Data!H293&amp;")"))</f>
        <v>Normal</v>
      </c>
      <c r="I293" s="20" t="n">
        <f aca="false">IF(Data!I293="","",Data!I293)</f>
        <v>166</v>
      </c>
      <c r="J293" s="28" t="str">
        <f aca="false">IF(Data!J293="","",IFERROR(VLOOKUP(Data!J293,Codes!$A$29:$B$30,2,FALSE()),"Invalid ("&amp;Data!J293&amp;")"))</f>
        <v>No</v>
      </c>
      <c r="K293" s="21" t="n">
        <f aca="false">IF(Data!K293="","",Data!K293)</f>
        <v>1.2</v>
      </c>
      <c r="L293" s="28" t="str">
        <f aca="false">IF(Data!L293="","",IFERROR(VLOOKUP(Data!L293,Codes!$A$34:$B$36,2,FALSE()),"Invalid ("&amp;Data!L293&amp;")"))</f>
        <v>Upsloping</v>
      </c>
      <c r="M293" s="20" t="n">
        <f aca="false">IF(Data!M293="","",Data!M293)</f>
        <v>0</v>
      </c>
      <c r="N293" s="28" t="str">
        <f aca="false">IF(Data!N293="","",IFERROR(VLOOKUP(Data!N293,Codes!$A$47:$B$49,2,FALSE()),"Invalid ("&amp;Data!N293&amp;")"))</f>
        <v>Normal</v>
      </c>
      <c r="O293" s="28" t="str">
        <f aca="false">IF(Data!O293="","",IFERROR(VLOOKUP(Data!O293,Codes!$A$53:$B$57,2,FALSE()),"Invalid ("&amp;Data!O293&amp;")"))</f>
        <v>No disease</v>
      </c>
      <c r="P293" s="22" t="str">
        <f aca="false">IF(Data!P293="","",IFERROR(VLOOKUP(Data!P293,Codes!$A$61:$B$64,2,FALSE()),"Invalid ("&amp;Data!P293&amp;")"))</f>
        <v>Cleveland Clinic</v>
      </c>
    </row>
    <row r="294" customFormat="false" ht="15" hidden="false" customHeight="false" outlineLevel="0" collapsed="false">
      <c r="A294" s="19" t="n">
        <f aca="false">Data!A294</f>
        <v>293</v>
      </c>
      <c r="B294" s="20" t="n">
        <f aca="false">IF(Data!B294="","",Data!B294)</f>
        <v>44</v>
      </c>
      <c r="C294" s="28" t="str">
        <f aca="false">IF(Data!C294="","",IFERROR(VLOOKUP(Data!C294,Codes!$A$6:$B$7,2,FALSE()),"Invalid ("&amp;Data!C294&amp;")"))</f>
        <v>Male</v>
      </c>
      <c r="D294" s="28" t="str">
        <f aca="false">IF(Data!D294="","",IFERROR(VLOOKUP(Data!D294,Codes!$A$11:$B$14,2,FALSE()),"Invalid ("&amp;Data!D294&amp;")"))</f>
        <v>Asymptomatic</v>
      </c>
      <c r="E294" s="20" t="n">
        <f aca="false">IF(Data!E294="","",Data!E294)</f>
        <v>120</v>
      </c>
      <c r="F294" s="20" t="n">
        <f aca="false">IF(Data!F294="","",Data!F294)</f>
        <v>169</v>
      </c>
      <c r="G294" s="28" t="str">
        <f aca="false">IF(Data!G294="","",IFERROR(VLOOKUP(Data!G294,Codes!$A$18:$B$19,2,FALSE()),"Invalid ("&amp;Data!G294&amp;")"))</f>
        <v>No</v>
      </c>
      <c r="H294" s="28" t="str">
        <f aca="false">IF(Data!H294="","",IFERROR(VLOOKUP(Data!H294,Codes!$A$23:$B$25,2,FALSE()),"Invalid ("&amp;Data!H294&amp;")"))</f>
        <v>Normal</v>
      </c>
      <c r="I294" s="20" t="n">
        <f aca="false">IF(Data!I294="","",Data!I294)</f>
        <v>144</v>
      </c>
      <c r="J294" s="28" t="str">
        <f aca="false">IF(Data!J294="","",IFERROR(VLOOKUP(Data!J294,Codes!$A$29:$B$30,2,FALSE()),"Invalid ("&amp;Data!J294&amp;")"))</f>
        <v>Yes</v>
      </c>
      <c r="K294" s="21" t="n">
        <f aca="false">IF(Data!K294="","",Data!K294)</f>
        <v>2.8</v>
      </c>
      <c r="L294" s="28" t="str">
        <f aca="false">IF(Data!L294="","",IFERROR(VLOOKUP(Data!L294,Codes!$A$34:$B$36,2,FALSE()),"Invalid ("&amp;Data!L294&amp;")"))</f>
        <v>Downsloping</v>
      </c>
      <c r="M294" s="20" t="n">
        <f aca="false">IF(Data!M294="","",Data!M294)</f>
        <v>0</v>
      </c>
      <c r="N294" s="28" t="str">
        <f aca="false">IF(Data!N294="","",IFERROR(VLOOKUP(Data!N294,Codes!$A$47:$B$49,2,FALSE()),"Invalid ("&amp;Data!N294&amp;")"))</f>
        <v>Fixed defect</v>
      </c>
      <c r="O294" s="28" t="str">
        <f aca="false">IF(Data!O294="","",IFERROR(VLOOKUP(Data!O294,Codes!$A$53:$B$57,2,FALSE()),"Invalid ("&amp;Data!O294&amp;")"))</f>
        <v>Disease (2)</v>
      </c>
      <c r="P294" s="22" t="str">
        <f aca="false">IF(Data!P294="","",IFERROR(VLOOKUP(Data!P294,Codes!$A$61:$B$64,2,FALSE()),"Invalid ("&amp;Data!P294&amp;")"))</f>
        <v>Cleveland Clinic</v>
      </c>
    </row>
    <row r="295" customFormat="false" ht="15" hidden="false" customHeight="false" outlineLevel="0" collapsed="false">
      <c r="A295" s="19" t="n">
        <f aca="false">Data!A295</f>
        <v>294</v>
      </c>
      <c r="B295" s="20" t="n">
        <f aca="false">IF(Data!B295="","",Data!B295)</f>
        <v>63</v>
      </c>
      <c r="C295" s="28" t="str">
        <f aca="false">IF(Data!C295="","",IFERROR(VLOOKUP(Data!C295,Codes!$A$6:$B$7,2,FALSE()),"Invalid ("&amp;Data!C295&amp;")"))</f>
        <v>Male</v>
      </c>
      <c r="D295" s="28" t="str">
        <f aca="false">IF(Data!D295="","",IFERROR(VLOOKUP(Data!D295,Codes!$A$11:$B$14,2,FALSE()),"Invalid ("&amp;Data!D295&amp;")"))</f>
        <v>Asymptomatic</v>
      </c>
      <c r="E295" s="20" t="n">
        <f aca="false">IF(Data!E295="","",Data!E295)</f>
        <v>140</v>
      </c>
      <c r="F295" s="20" t="n">
        <f aca="false">IF(Data!F295="","",Data!F295)</f>
        <v>187</v>
      </c>
      <c r="G295" s="28" t="str">
        <f aca="false">IF(Data!G295="","",IFERROR(VLOOKUP(Data!G295,Codes!$A$18:$B$19,2,FALSE()),"Invalid ("&amp;Data!G295&amp;")"))</f>
        <v>No</v>
      </c>
      <c r="H295" s="28" t="str">
        <f aca="false">IF(Data!H295="","",IFERROR(VLOOKUP(Data!H295,Codes!$A$23:$B$25,2,FALSE()),"Invalid ("&amp;Data!H295&amp;")"))</f>
        <v>Left ventricular hypertrophy</v>
      </c>
      <c r="I295" s="20" t="n">
        <f aca="false">IF(Data!I295="","",Data!I295)</f>
        <v>144</v>
      </c>
      <c r="J295" s="28" t="str">
        <f aca="false">IF(Data!J295="","",IFERROR(VLOOKUP(Data!J295,Codes!$A$29:$B$30,2,FALSE()),"Invalid ("&amp;Data!J295&amp;")"))</f>
        <v>Yes</v>
      </c>
      <c r="K295" s="21" t="n">
        <f aca="false">IF(Data!K295="","",Data!K295)</f>
        <v>4</v>
      </c>
      <c r="L295" s="28" t="str">
        <f aca="false">IF(Data!L295="","",IFERROR(VLOOKUP(Data!L295,Codes!$A$34:$B$36,2,FALSE()),"Invalid ("&amp;Data!L295&amp;")"))</f>
        <v>Upsloping</v>
      </c>
      <c r="M295" s="20" t="n">
        <f aca="false">IF(Data!M295="","",Data!M295)</f>
        <v>2</v>
      </c>
      <c r="N295" s="28" t="str">
        <f aca="false">IF(Data!N295="","",IFERROR(VLOOKUP(Data!N295,Codes!$A$47:$B$49,2,FALSE()),"Invalid ("&amp;Data!N295&amp;")"))</f>
        <v>Reversible defect</v>
      </c>
      <c r="O295" s="28" t="str">
        <f aca="false">IF(Data!O295="","",IFERROR(VLOOKUP(Data!O295,Codes!$A$53:$B$57,2,FALSE()),"Invalid ("&amp;Data!O295&amp;")"))</f>
        <v>Disease (2)</v>
      </c>
      <c r="P295" s="22" t="str">
        <f aca="false">IF(Data!P295="","",IFERROR(VLOOKUP(Data!P295,Codes!$A$61:$B$64,2,FALSE()),"Invalid ("&amp;Data!P295&amp;")"))</f>
        <v>Cleveland Clinic</v>
      </c>
    </row>
    <row r="296" customFormat="false" ht="15" hidden="false" customHeight="false" outlineLevel="0" collapsed="false">
      <c r="A296" s="19" t="n">
        <f aca="false">Data!A296</f>
        <v>295</v>
      </c>
      <c r="B296" s="20" t="n">
        <f aca="false">IF(Data!B296="","",Data!B296)</f>
        <v>63</v>
      </c>
      <c r="C296" s="28" t="str">
        <f aca="false">IF(Data!C296="","",IFERROR(VLOOKUP(Data!C296,Codes!$A$6:$B$7,2,FALSE()),"Invalid ("&amp;Data!C296&amp;")"))</f>
        <v>Female</v>
      </c>
      <c r="D296" s="28" t="str">
        <f aca="false">IF(Data!D296="","",IFERROR(VLOOKUP(Data!D296,Codes!$A$11:$B$14,2,FALSE()),"Invalid ("&amp;Data!D296&amp;")"))</f>
        <v>Asymptomatic</v>
      </c>
      <c r="E296" s="20" t="n">
        <f aca="false">IF(Data!E296="","",Data!E296)</f>
        <v>124</v>
      </c>
      <c r="F296" s="20" t="n">
        <f aca="false">IF(Data!F296="","",Data!F296)</f>
        <v>197</v>
      </c>
      <c r="G296" s="28" t="str">
        <f aca="false">IF(Data!G296="","",IFERROR(VLOOKUP(Data!G296,Codes!$A$18:$B$19,2,FALSE()),"Invalid ("&amp;Data!G296&amp;")"))</f>
        <v>No</v>
      </c>
      <c r="H296" s="28" t="str">
        <f aca="false">IF(Data!H296="","",IFERROR(VLOOKUP(Data!H296,Codes!$A$23:$B$25,2,FALSE()),"Invalid ("&amp;Data!H296&amp;")"))</f>
        <v>Normal</v>
      </c>
      <c r="I296" s="20" t="n">
        <f aca="false">IF(Data!I296="","",Data!I296)</f>
        <v>136</v>
      </c>
      <c r="J296" s="28" t="str">
        <f aca="false">IF(Data!J296="","",IFERROR(VLOOKUP(Data!J296,Codes!$A$29:$B$30,2,FALSE()),"Invalid ("&amp;Data!J296&amp;")"))</f>
        <v>Yes</v>
      </c>
      <c r="K296" s="21" t="n">
        <f aca="false">IF(Data!K296="","",Data!K296)</f>
        <v>0</v>
      </c>
      <c r="L296" s="28" t="str">
        <f aca="false">IF(Data!L296="","",IFERROR(VLOOKUP(Data!L296,Codes!$A$34:$B$36,2,FALSE()),"Invalid ("&amp;Data!L296&amp;")"))</f>
        <v>Flat</v>
      </c>
      <c r="M296" s="20" t="n">
        <f aca="false">IF(Data!M296="","",Data!M296)</f>
        <v>0</v>
      </c>
      <c r="N296" s="28" t="str">
        <f aca="false">IF(Data!N296="","",IFERROR(VLOOKUP(Data!N296,Codes!$A$47:$B$49,2,FALSE()),"Invalid ("&amp;Data!N296&amp;")"))</f>
        <v>Normal</v>
      </c>
      <c r="O296" s="28" t="str">
        <f aca="false">IF(Data!O296="","",IFERROR(VLOOKUP(Data!O296,Codes!$A$53:$B$57,2,FALSE()),"Invalid ("&amp;Data!O296&amp;")"))</f>
        <v>Disease (1)</v>
      </c>
      <c r="P296" s="22" t="str">
        <f aca="false">IF(Data!P296="","",IFERROR(VLOOKUP(Data!P296,Codes!$A$61:$B$64,2,FALSE()),"Invalid ("&amp;Data!P296&amp;")"))</f>
        <v>Cleveland Clinic</v>
      </c>
    </row>
    <row r="297" customFormat="false" ht="15" hidden="false" customHeight="false" outlineLevel="0" collapsed="false">
      <c r="A297" s="19" t="n">
        <f aca="false">Data!A297</f>
        <v>296</v>
      </c>
      <c r="B297" s="20" t="n">
        <f aca="false">IF(Data!B297="","",Data!B297)</f>
        <v>41</v>
      </c>
      <c r="C297" s="28" t="str">
        <f aca="false">IF(Data!C297="","",IFERROR(VLOOKUP(Data!C297,Codes!$A$6:$B$7,2,FALSE()),"Invalid ("&amp;Data!C297&amp;")"))</f>
        <v>Male</v>
      </c>
      <c r="D297" s="28" t="str">
        <f aca="false">IF(Data!D297="","",IFERROR(VLOOKUP(Data!D297,Codes!$A$11:$B$14,2,FALSE()),"Invalid ("&amp;Data!D297&amp;")"))</f>
        <v>Atypical angina</v>
      </c>
      <c r="E297" s="20" t="n">
        <f aca="false">IF(Data!E297="","",Data!E297)</f>
        <v>120</v>
      </c>
      <c r="F297" s="20" t="n">
        <f aca="false">IF(Data!F297="","",Data!F297)</f>
        <v>157</v>
      </c>
      <c r="G297" s="28" t="str">
        <f aca="false">IF(Data!G297="","",IFERROR(VLOOKUP(Data!G297,Codes!$A$18:$B$19,2,FALSE()),"Invalid ("&amp;Data!G297&amp;")"))</f>
        <v>No</v>
      </c>
      <c r="H297" s="28" t="str">
        <f aca="false">IF(Data!H297="","",IFERROR(VLOOKUP(Data!H297,Codes!$A$23:$B$25,2,FALSE()),"Invalid ("&amp;Data!H297&amp;")"))</f>
        <v>Normal</v>
      </c>
      <c r="I297" s="20" t="n">
        <f aca="false">IF(Data!I297="","",Data!I297)</f>
        <v>182</v>
      </c>
      <c r="J297" s="28" t="str">
        <f aca="false">IF(Data!J297="","",IFERROR(VLOOKUP(Data!J297,Codes!$A$29:$B$30,2,FALSE()),"Invalid ("&amp;Data!J297&amp;")"))</f>
        <v>No</v>
      </c>
      <c r="K297" s="21" t="n">
        <f aca="false">IF(Data!K297="","",Data!K297)</f>
        <v>0</v>
      </c>
      <c r="L297" s="28" t="str">
        <f aca="false">IF(Data!L297="","",IFERROR(VLOOKUP(Data!L297,Codes!$A$34:$B$36,2,FALSE()),"Invalid ("&amp;Data!L297&amp;")"))</f>
        <v>Upsloping</v>
      </c>
      <c r="M297" s="20" t="n">
        <f aca="false">IF(Data!M297="","",Data!M297)</f>
        <v>0</v>
      </c>
      <c r="N297" s="28" t="str">
        <f aca="false">IF(Data!N297="","",IFERROR(VLOOKUP(Data!N297,Codes!$A$47:$B$49,2,FALSE()),"Invalid ("&amp;Data!N297&amp;")"))</f>
        <v>Normal</v>
      </c>
      <c r="O297" s="28" t="str">
        <f aca="false">IF(Data!O297="","",IFERROR(VLOOKUP(Data!O297,Codes!$A$53:$B$57,2,FALSE()),"Invalid ("&amp;Data!O297&amp;")"))</f>
        <v>No disease</v>
      </c>
      <c r="P297" s="22" t="str">
        <f aca="false">IF(Data!P297="","",IFERROR(VLOOKUP(Data!P297,Codes!$A$61:$B$64,2,FALSE()),"Invalid ("&amp;Data!P297&amp;")"))</f>
        <v>Cleveland Clinic</v>
      </c>
    </row>
    <row r="298" customFormat="false" ht="15" hidden="false" customHeight="false" outlineLevel="0" collapsed="false">
      <c r="A298" s="19" t="n">
        <f aca="false">Data!A298</f>
        <v>297</v>
      </c>
      <c r="B298" s="20" t="n">
        <f aca="false">IF(Data!B298="","",Data!B298)</f>
        <v>59</v>
      </c>
      <c r="C298" s="28" t="str">
        <f aca="false">IF(Data!C298="","",IFERROR(VLOOKUP(Data!C298,Codes!$A$6:$B$7,2,FALSE()),"Invalid ("&amp;Data!C298&amp;")"))</f>
        <v>Male</v>
      </c>
      <c r="D298" s="28" t="str">
        <f aca="false">IF(Data!D298="","",IFERROR(VLOOKUP(Data!D298,Codes!$A$11:$B$14,2,FALSE()),"Invalid ("&amp;Data!D298&amp;")"))</f>
        <v>Asymptomatic</v>
      </c>
      <c r="E298" s="20" t="n">
        <f aca="false">IF(Data!E298="","",Data!E298)</f>
        <v>164</v>
      </c>
      <c r="F298" s="20" t="n">
        <f aca="false">IF(Data!F298="","",Data!F298)</f>
        <v>176</v>
      </c>
      <c r="G298" s="28" t="str">
        <f aca="false">IF(Data!G298="","",IFERROR(VLOOKUP(Data!G298,Codes!$A$18:$B$19,2,FALSE()),"Invalid ("&amp;Data!G298&amp;")"))</f>
        <v>Yes</v>
      </c>
      <c r="H298" s="28" t="str">
        <f aca="false">IF(Data!H298="","",IFERROR(VLOOKUP(Data!H298,Codes!$A$23:$B$25,2,FALSE()),"Invalid ("&amp;Data!H298&amp;")"))</f>
        <v>Left ventricular hypertrophy</v>
      </c>
      <c r="I298" s="20" t="n">
        <f aca="false">IF(Data!I298="","",Data!I298)</f>
        <v>90</v>
      </c>
      <c r="J298" s="28" t="str">
        <f aca="false">IF(Data!J298="","",IFERROR(VLOOKUP(Data!J298,Codes!$A$29:$B$30,2,FALSE()),"Invalid ("&amp;Data!J298&amp;")"))</f>
        <v>No</v>
      </c>
      <c r="K298" s="21" t="n">
        <f aca="false">IF(Data!K298="","",Data!K298)</f>
        <v>1</v>
      </c>
      <c r="L298" s="28" t="str">
        <f aca="false">IF(Data!L298="","",IFERROR(VLOOKUP(Data!L298,Codes!$A$34:$B$36,2,FALSE()),"Invalid ("&amp;Data!L298&amp;")"))</f>
        <v>Flat</v>
      </c>
      <c r="M298" s="20" t="n">
        <f aca="false">IF(Data!M298="","",Data!M298)</f>
        <v>2</v>
      </c>
      <c r="N298" s="28" t="str">
        <f aca="false">IF(Data!N298="","",IFERROR(VLOOKUP(Data!N298,Codes!$A$47:$B$49,2,FALSE()),"Invalid ("&amp;Data!N298&amp;")"))</f>
        <v>Fixed defect</v>
      </c>
      <c r="O298" s="28" t="str">
        <f aca="false">IF(Data!O298="","",IFERROR(VLOOKUP(Data!O298,Codes!$A$53:$B$57,2,FALSE()),"Invalid ("&amp;Data!O298&amp;")"))</f>
        <v>Disease (3)</v>
      </c>
      <c r="P298" s="22" t="str">
        <f aca="false">IF(Data!P298="","",IFERROR(VLOOKUP(Data!P298,Codes!$A$61:$B$64,2,FALSE()),"Invalid ("&amp;Data!P298&amp;")"))</f>
        <v>Cleveland Clinic</v>
      </c>
    </row>
    <row r="299" customFormat="false" ht="15" hidden="false" customHeight="false" outlineLevel="0" collapsed="false">
      <c r="A299" s="19" t="n">
        <f aca="false">Data!A299</f>
        <v>298</v>
      </c>
      <c r="B299" s="20" t="n">
        <f aca="false">IF(Data!B299="","",Data!B299)</f>
        <v>57</v>
      </c>
      <c r="C299" s="28" t="str">
        <f aca="false">IF(Data!C299="","",IFERROR(VLOOKUP(Data!C299,Codes!$A$6:$B$7,2,FALSE()),"Invalid ("&amp;Data!C299&amp;")"))</f>
        <v>Female</v>
      </c>
      <c r="D299" s="28" t="str">
        <f aca="false">IF(Data!D299="","",IFERROR(VLOOKUP(Data!D299,Codes!$A$11:$B$14,2,FALSE()),"Invalid ("&amp;Data!D299&amp;")"))</f>
        <v>Asymptomatic</v>
      </c>
      <c r="E299" s="20" t="n">
        <f aca="false">IF(Data!E299="","",Data!E299)</f>
        <v>140</v>
      </c>
      <c r="F299" s="20" t="n">
        <f aca="false">IF(Data!F299="","",Data!F299)</f>
        <v>241</v>
      </c>
      <c r="G299" s="28" t="str">
        <f aca="false">IF(Data!G299="","",IFERROR(VLOOKUP(Data!G299,Codes!$A$18:$B$19,2,FALSE()),"Invalid ("&amp;Data!G299&amp;")"))</f>
        <v>No</v>
      </c>
      <c r="H299" s="28" t="str">
        <f aca="false">IF(Data!H299="","",IFERROR(VLOOKUP(Data!H299,Codes!$A$23:$B$25,2,FALSE()),"Invalid ("&amp;Data!H299&amp;")"))</f>
        <v>Normal</v>
      </c>
      <c r="I299" s="20" t="n">
        <f aca="false">IF(Data!I299="","",Data!I299)</f>
        <v>123</v>
      </c>
      <c r="J299" s="28" t="str">
        <f aca="false">IF(Data!J299="","",IFERROR(VLOOKUP(Data!J299,Codes!$A$29:$B$30,2,FALSE()),"Invalid ("&amp;Data!J299&amp;")"))</f>
        <v>Yes</v>
      </c>
      <c r="K299" s="21" t="n">
        <f aca="false">IF(Data!K299="","",Data!K299)</f>
        <v>0.2</v>
      </c>
      <c r="L299" s="28" t="str">
        <f aca="false">IF(Data!L299="","",IFERROR(VLOOKUP(Data!L299,Codes!$A$34:$B$36,2,FALSE()),"Invalid ("&amp;Data!L299&amp;")"))</f>
        <v>Flat</v>
      </c>
      <c r="M299" s="20" t="n">
        <f aca="false">IF(Data!M299="","",Data!M299)</f>
        <v>0</v>
      </c>
      <c r="N299" s="28" t="str">
        <f aca="false">IF(Data!N299="","",IFERROR(VLOOKUP(Data!N299,Codes!$A$47:$B$49,2,FALSE()),"Invalid ("&amp;Data!N299&amp;")"))</f>
        <v>Reversible defect</v>
      </c>
      <c r="O299" s="28" t="str">
        <f aca="false">IF(Data!O299="","",IFERROR(VLOOKUP(Data!O299,Codes!$A$53:$B$57,2,FALSE()),"Invalid ("&amp;Data!O299&amp;")"))</f>
        <v>Disease (1)</v>
      </c>
      <c r="P299" s="22" t="str">
        <f aca="false">IF(Data!P299="","",IFERROR(VLOOKUP(Data!P299,Codes!$A$61:$B$64,2,FALSE()),"Invalid ("&amp;Data!P299&amp;")"))</f>
        <v>Cleveland Clinic</v>
      </c>
    </row>
    <row r="300" customFormat="false" ht="15" hidden="false" customHeight="false" outlineLevel="0" collapsed="false">
      <c r="A300" s="19" t="n">
        <f aca="false">Data!A300</f>
        <v>299</v>
      </c>
      <c r="B300" s="20" t="n">
        <f aca="false">IF(Data!B300="","",Data!B300)</f>
        <v>45</v>
      </c>
      <c r="C300" s="28" t="str">
        <f aca="false">IF(Data!C300="","",IFERROR(VLOOKUP(Data!C300,Codes!$A$6:$B$7,2,FALSE()),"Invalid ("&amp;Data!C300&amp;")"))</f>
        <v>Male</v>
      </c>
      <c r="D300" s="28" t="str">
        <f aca="false">IF(Data!D300="","",IFERROR(VLOOKUP(Data!D300,Codes!$A$11:$B$14,2,FALSE()),"Invalid ("&amp;Data!D300&amp;")"))</f>
        <v>Typical angina</v>
      </c>
      <c r="E300" s="20" t="n">
        <f aca="false">IF(Data!E300="","",Data!E300)</f>
        <v>110</v>
      </c>
      <c r="F300" s="20" t="n">
        <f aca="false">IF(Data!F300="","",Data!F300)</f>
        <v>264</v>
      </c>
      <c r="G300" s="28" t="str">
        <f aca="false">IF(Data!G300="","",IFERROR(VLOOKUP(Data!G300,Codes!$A$18:$B$19,2,FALSE()),"Invalid ("&amp;Data!G300&amp;")"))</f>
        <v>No</v>
      </c>
      <c r="H300" s="28" t="str">
        <f aca="false">IF(Data!H300="","",IFERROR(VLOOKUP(Data!H300,Codes!$A$23:$B$25,2,FALSE()),"Invalid ("&amp;Data!H300&amp;")"))</f>
        <v>Normal</v>
      </c>
      <c r="I300" s="20" t="n">
        <f aca="false">IF(Data!I300="","",Data!I300)</f>
        <v>132</v>
      </c>
      <c r="J300" s="28" t="str">
        <f aca="false">IF(Data!J300="","",IFERROR(VLOOKUP(Data!J300,Codes!$A$29:$B$30,2,FALSE()),"Invalid ("&amp;Data!J300&amp;")"))</f>
        <v>No</v>
      </c>
      <c r="K300" s="21" t="n">
        <f aca="false">IF(Data!K300="","",Data!K300)</f>
        <v>1.2</v>
      </c>
      <c r="L300" s="28" t="str">
        <f aca="false">IF(Data!L300="","",IFERROR(VLOOKUP(Data!L300,Codes!$A$34:$B$36,2,FALSE()),"Invalid ("&amp;Data!L300&amp;")"))</f>
        <v>Flat</v>
      </c>
      <c r="M300" s="20" t="n">
        <f aca="false">IF(Data!M300="","",Data!M300)</f>
        <v>0</v>
      </c>
      <c r="N300" s="28" t="str">
        <f aca="false">IF(Data!N300="","",IFERROR(VLOOKUP(Data!N300,Codes!$A$47:$B$49,2,FALSE()),"Invalid ("&amp;Data!N300&amp;")"))</f>
        <v>Reversible defect</v>
      </c>
      <c r="O300" s="28" t="str">
        <f aca="false">IF(Data!O300="","",IFERROR(VLOOKUP(Data!O300,Codes!$A$53:$B$57,2,FALSE()),"Invalid ("&amp;Data!O300&amp;")"))</f>
        <v>Disease (1)</v>
      </c>
      <c r="P300" s="22" t="str">
        <f aca="false">IF(Data!P300="","",IFERROR(VLOOKUP(Data!P300,Codes!$A$61:$B$64,2,FALSE()),"Invalid ("&amp;Data!P300&amp;")"))</f>
        <v>Cleveland Clinic</v>
      </c>
    </row>
    <row r="301" customFormat="false" ht="15" hidden="false" customHeight="false" outlineLevel="0" collapsed="false">
      <c r="A301" s="19" t="n">
        <f aca="false">Data!A301</f>
        <v>300</v>
      </c>
      <c r="B301" s="20" t="n">
        <f aca="false">IF(Data!B301="","",Data!B301)</f>
        <v>68</v>
      </c>
      <c r="C301" s="28" t="str">
        <f aca="false">IF(Data!C301="","",IFERROR(VLOOKUP(Data!C301,Codes!$A$6:$B$7,2,FALSE()),"Invalid ("&amp;Data!C301&amp;")"))</f>
        <v>Male</v>
      </c>
      <c r="D301" s="28" t="str">
        <f aca="false">IF(Data!D301="","",IFERROR(VLOOKUP(Data!D301,Codes!$A$11:$B$14,2,FALSE()),"Invalid ("&amp;Data!D301&amp;")"))</f>
        <v>Asymptomatic</v>
      </c>
      <c r="E301" s="20" t="n">
        <f aca="false">IF(Data!E301="","",Data!E301)</f>
        <v>144</v>
      </c>
      <c r="F301" s="20" t="n">
        <f aca="false">IF(Data!F301="","",Data!F301)</f>
        <v>193</v>
      </c>
      <c r="G301" s="28" t="str">
        <f aca="false">IF(Data!G301="","",IFERROR(VLOOKUP(Data!G301,Codes!$A$18:$B$19,2,FALSE()),"Invalid ("&amp;Data!G301&amp;")"))</f>
        <v>Yes</v>
      </c>
      <c r="H301" s="28" t="str">
        <f aca="false">IF(Data!H301="","",IFERROR(VLOOKUP(Data!H301,Codes!$A$23:$B$25,2,FALSE()),"Invalid ("&amp;Data!H301&amp;")"))</f>
        <v>Normal</v>
      </c>
      <c r="I301" s="20" t="n">
        <f aca="false">IF(Data!I301="","",Data!I301)</f>
        <v>141</v>
      </c>
      <c r="J301" s="28" t="str">
        <f aca="false">IF(Data!J301="","",IFERROR(VLOOKUP(Data!J301,Codes!$A$29:$B$30,2,FALSE()),"Invalid ("&amp;Data!J301&amp;")"))</f>
        <v>No</v>
      </c>
      <c r="K301" s="21" t="n">
        <f aca="false">IF(Data!K301="","",Data!K301)</f>
        <v>3.4</v>
      </c>
      <c r="L301" s="28" t="str">
        <f aca="false">IF(Data!L301="","",IFERROR(VLOOKUP(Data!L301,Codes!$A$34:$B$36,2,FALSE()),"Invalid ("&amp;Data!L301&amp;")"))</f>
        <v>Flat</v>
      </c>
      <c r="M301" s="20" t="n">
        <f aca="false">IF(Data!M301="","",Data!M301)</f>
        <v>2</v>
      </c>
      <c r="N301" s="28" t="str">
        <f aca="false">IF(Data!N301="","",IFERROR(VLOOKUP(Data!N301,Codes!$A$47:$B$49,2,FALSE()),"Invalid ("&amp;Data!N301&amp;")"))</f>
        <v>Reversible defect</v>
      </c>
      <c r="O301" s="28" t="str">
        <f aca="false">IF(Data!O301="","",IFERROR(VLOOKUP(Data!O301,Codes!$A$53:$B$57,2,FALSE()),"Invalid ("&amp;Data!O301&amp;")"))</f>
        <v>Disease (2)</v>
      </c>
      <c r="P301" s="22" t="str">
        <f aca="false">IF(Data!P301="","",IFERROR(VLOOKUP(Data!P301,Codes!$A$61:$B$64,2,FALSE()),"Invalid ("&amp;Data!P301&amp;")"))</f>
        <v>Cleveland Clinic</v>
      </c>
    </row>
    <row r="302" customFormat="false" ht="15" hidden="false" customHeight="false" outlineLevel="0" collapsed="false">
      <c r="A302" s="19" t="n">
        <f aca="false">Data!A302</f>
        <v>301</v>
      </c>
      <c r="B302" s="20" t="n">
        <f aca="false">IF(Data!B302="","",Data!B302)</f>
        <v>57</v>
      </c>
      <c r="C302" s="28" t="str">
        <f aca="false">IF(Data!C302="","",IFERROR(VLOOKUP(Data!C302,Codes!$A$6:$B$7,2,FALSE()),"Invalid ("&amp;Data!C302&amp;")"))</f>
        <v>Male</v>
      </c>
      <c r="D302" s="28" t="str">
        <f aca="false">IF(Data!D302="","",IFERROR(VLOOKUP(Data!D302,Codes!$A$11:$B$14,2,FALSE()),"Invalid ("&amp;Data!D302&amp;")"))</f>
        <v>Asymptomatic</v>
      </c>
      <c r="E302" s="20" t="n">
        <f aca="false">IF(Data!E302="","",Data!E302)</f>
        <v>130</v>
      </c>
      <c r="F302" s="20" t="n">
        <f aca="false">IF(Data!F302="","",Data!F302)</f>
        <v>131</v>
      </c>
      <c r="G302" s="28" t="str">
        <f aca="false">IF(Data!G302="","",IFERROR(VLOOKUP(Data!G302,Codes!$A$18:$B$19,2,FALSE()),"Invalid ("&amp;Data!G302&amp;")"))</f>
        <v>No</v>
      </c>
      <c r="H302" s="28" t="str">
        <f aca="false">IF(Data!H302="","",IFERROR(VLOOKUP(Data!H302,Codes!$A$23:$B$25,2,FALSE()),"Invalid ("&amp;Data!H302&amp;")"))</f>
        <v>Normal</v>
      </c>
      <c r="I302" s="20" t="n">
        <f aca="false">IF(Data!I302="","",Data!I302)</f>
        <v>115</v>
      </c>
      <c r="J302" s="28" t="str">
        <f aca="false">IF(Data!J302="","",IFERROR(VLOOKUP(Data!J302,Codes!$A$29:$B$30,2,FALSE()),"Invalid ("&amp;Data!J302&amp;")"))</f>
        <v>Yes</v>
      </c>
      <c r="K302" s="21" t="n">
        <f aca="false">IF(Data!K302="","",Data!K302)</f>
        <v>1.2</v>
      </c>
      <c r="L302" s="28" t="str">
        <f aca="false">IF(Data!L302="","",IFERROR(VLOOKUP(Data!L302,Codes!$A$34:$B$36,2,FALSE()),"Invalid ("&amp;Data!L302&amp;")"))</f>
        <v>Flat</v>
      </c>
      <c r="M302" s="20" t="n">
        <f aca="false">IF(Data!M302="","",Data!M302)</f>
        <v>1</v>
      </c>
      <c r="N302" s="28" t="str">
        <f aca="false">IF(Data!N302="","",IFERROR(VLOOKUP(Data!N302,Codes!$A$47:$B$49,2,FALSE()),"Invalid ("&amp;Data!N302&amp;")"))</f>
        <v>Reversible defect</v>
      </c>
      <c r="O302" s="28" t="str">
        <f aca="false">IF(Data!O302="","",IFERROR(VLOOKUP(Data!O302,Codes!$A$53:$B$57,2,FALSE()),"Invalid ("&amp;Data!O302&amp;")"))</f>
        <v>Disease (3)</v>
      </c>
      <c r="P302" s="22" t="str">
        <f aca="false">IF(Data!P302="","",IFERROR(VLOOKUP(Data!P302,Codes!$A$61:$B$64,2,FALSE()),"Invalid ("&amp;Data!P302&amp;")"))</f>
        <v>Cleveland Clinic</v>
      </c>
    </row>
    <row r="303" customFormat="false" ht="15" hidden="false" customHeight="false" outlineLevel="0" collapsed="false">
      <c r="A303" s="19" t="n">
        <f aca="false">Data!A303</f>
        <v>302</v>
      </c>
      <c r="B303" s="20" t="n">
        <f aca="false">IF(Data!B303="","",Data!B303)</f>
        <v>57</v>
      </c>
      <c r="C303" s="28" t="str">
        <f aca="false">IF(Data!C303="","",IFERROR(VLOOKUP(Data!C303,Codes!$A$6:$B$7,2,FALSE()),"Invalid ("&amp;Data!C303&amp;")"))</f>
        <v>Female</v>
      </c>
      <c r="D303" s="28" t="str">
        <f aca="false">IF(Data!D303="","",IFERROR(VLOOKUP(Data!D303,Codes!$A$11:$B$14,2,FALSE()),"Invalid ("&amp;Data!D303&amp;")"))</f>
        <v>Atypical angina</v>
      </c>
      <c r="E303" s="20" t="n">
        <f aca="false">IF(Data!E303="","",Data!E303)</f>
        <v>130</v>
      </c>
      <c r="F303" s="20" t="n">
        <f aca="false">IF(Data!F303="","",Data!F303)</f>
        <v>236</v>
      </c>
      <c r="G303" s="28" t="str">
        <f aca="false">IF(Data!G303="","",IFERROR(VLOOKUP(Data!G303,Codes!$A$18:$B$19,2,FALSE()),"Invalid ("&amp;Data!G303&amp;")"))</f>
        <v>No</v>
      </c>
      <c r="H303" s="28" t="str">
        <f aca="false">IF(Data!H303="","",IFERROR(VLOOKUP(Data!H303,Codes!$A$23:$B$25,2,FALSE()),"Invalid ("&amp;Data!H303&amp;")"))</f>
        <v>Left ventricular hypertrophy</v>
      </c>
      <c r="I303" s="20" t="n">
        <f aca="false">IF(Data!I303="","",Data!I303)</f>
        <v>174</v>
      </c>
      <c r="J303" s="28" t="str">
        <f aca="false">IF(Data!J303="","",IFERROR(VLOOKUP(Data!J303,Codes!$A$29:$B$30,2,FALSE()),"Invalid ("&amp;Data!J303&amp;")"))</f>
        <v>No</v>
      </c>
      <c r="K303" s="21" t="n">
        <f aca="false">IF(Data!K303="","",Data!K303)</f>
        <v>0</v>
      </c>
      <c r="L303" s="28" t="str">
        <f aca="false">IF(Data!L303="","",IFERROR(VLOOKUP(Data!L303,Codes!$A$34:$B$36,2,FALSE()),"Invalid ("&amp;Data!L303&amp;")"))</f>
        <v>Flat</v>
      </c>
      <c r="M303" s="20" t="n">
        <f aca="false">IF(Data!M303="","",Data!M303)</f>
        <v>1</v>
      </c>
      <c r="N303" s="28" t="str">
        <f aca="false">IF(Data!N303="","",IFERROR(VLOOKUP(Data!N303,Codes!$A$47:$B$49,2,FALSE()),"Invalid ("&amp;Data!N303&amp;")"))</f>
        <v>Normal</v>
      </c>
      <c r="O303" s="28" t="str">
        <f aca="false">IF(Data!O303="","",IFERROR(VLOOKUP(Data!O303,Codes!$A$53:$B$57,2,FALSE()),"Invalid ("&amp;Data!O303&amp;")"))</f>
        <v>Disease (1)</v>
      </c>
      <c r="P303" s="22" t="str">
        <f aca="false">IF(Data!P303="","",IFERROR(VLOOKUP(Data!P303,Codes!$A$61:$B$64,2,FALSE()),"Invalid ("&amp;Data!P303&amp;")"))</f>
        <v>Cleveland Clinic</v>
      </c>
    </row>
    <row r="304" customFormat="false" ht="15" hidden="false" customHeight="false" outlineLevel="0" collapsed="false">
      <c r="A304" s="19" t="n">
        <f aca="false">Data!A304</f>
        <v>303</v>
      </c>
      <c r="B304" s="20" t="n">
        <f aca="false">IF(Data!B304="","",Data!B304)</f>
        <v>38</v>
      </c>
      <c r="C304" s="28" t="str">
        <f aca="false">IF(Data!C304="","",IFERROR(VLOOKUP(Data!C304,Codes!$A$6:$B$7,2,FALSE()),"Invalid ("&amp;Data!C304&amp;")"))</f>
        <v>Male</v>
      </c>
      <c r="D304" s="28" t="str">
        <f aca="false">IF(Data!D304="","",IFERROR(VLOOKUP(Data!D304,Codes!$A$11:$B$14,2,FALSE()),"Invalid ("&amp;Data!D304&amp;")"))</f>
        <v>Non-anginal pain</v>
      </c>
      <c r="E304" s="20" t="n">
        <f aca="false">IF(Data!E304="","",Data!E304)</f>
        <v>138</v>
      </c>
      <c r="F304" s="20" t="n">
        <f aca="false">IF(Data!F304="","",Data!F304)</f>
        <v>175</v>
      </c>
      <c r="G304" s="28" t="str">
        <f aca="false">IF(Data!G304="","",IFERROR(VLOOKUP(Data!G304,Codes!$A$18:$B$19,2,FALSE()),"Invalid ("&amp;Data!G304&amp;")"))</f>
        <v>No</v>
      </c>
      <c r="H304" s="28" t="str">
        <f aca="false">IF(Data!H304="","",IFERROR(VLOOKUP(Data!H304,Codes!$A$23:$B$25,2,FALSE()),"Invalid ("&amp;Data!H304&amp;")"))</f>
        <v>Normal</v>
      </c>
      <c r="I304" s="20" t="n">
        <f aca="false">IF(Data!I304="","",Data!I304)</f>
        <v>173</v>
      </c>
      <c r="J304" s="28" t="str">
        <f aca="false">IF(Data!J304="","",IFERROR(VLOOKUP(Data!J304,Codes!$A$29:$B$30,2,FALSE()),"Invalid ("&amp;Data!J304&amp;")"))</f>
        <v>No</v>
      </c>
      <c r="K304" s="21" t="n">
        <f aca="false">IF(Data!K304="","",Data!K304)</f>
        <v>0</v>
      </c>
      <c r="L304" s="28" t="str">
        <f aca="false">IF(Data!L304="","",IFERROR(VLOOKUP(Data!L304,Codes!$A$34:$B$36,2,FALSE()),"Invalid ("&amp;Data!L304&amp;")"))</f>
        <v>Upsloping</v>
      </c>
      <c r="M304" s="20" t="str">
        <f aca="false">IF(Data!M304="","",Data!M304)</f>
        <v/>
      </c>
      <c r="N304" s="28" t="str">
        <f aca="false">IF(Data!N304="","",IFERROR(VLOOKUP(Data!N304,Codes!$A$47:$B$49,2,FALSE()),"Invalid ("&amp;Data!N304&amp;")"))</f>
        <v>Normal</v>
      </c>
      <c r="O304" s="28" t="str">
        <f aca="false">IF(Data!O304="","",IFERROR(VLOOKUP(Data!O304,Codes!$A$53:$B$57,2,FALSE()),"Invalid ("&amp;Data!O304&amp;")"))</f>
        <v>No disease</v>
      </c>
      <c r="P304" s="22" t="str">
        <f aca="false">IF(Data!P304="","",IFERROR(VLOOKUP(Data!P304,Codes!$A$61:$B$64,2,FALSE()),"Invalid ("&amp;Data!P304&amp;")"))</f>
        <v>Cleveland Clinic</v>
      </c>
    </row>
    <row r="305" customFormat="false" ht="15" hidden="false" customHeight="false" outlineLevel="0" collapsed="false">
      <c r="A305" s="19" t="n">
        <f aca="false">Data!A305</f>
        <v>304</v>
      </c>
      <c r="B305" s="20" t="n">
        <f aca="false">IF(Data!B305="","",Data!B305)</f>
        <v>40</v>
      </c>
      <c r="C305" s="28" t="str">
        <f aca="false">IF(Data!C305="","",IFERROR(VLOOKUP(Data!C305,Codes!$A$6:$B$7,2,FALSE()),"Invalid ("&amp;Data!C305&amp;")"))</f>
        <v>Male</v>
      </c>
      <c r="D305" s="28" t="str">
        <f aca="false">IF(Data!D305="","",IFERROR(VLOOKUP(Data!D305,Codes!$A$11:$B$14,2,FALSE()),"Invalid ("&amp;Data!D305&amp;")"))</f>
        <v>Atypical angina</v>
      </c>
      <c r="E305" s="20" t="n">
        <f aca="false">IF(Data!E305="","",Data!E305)</f>
        <v>140</v>
      </c>
      <c r="F305" s="20" t="n">
        <f aca="false">IF(Data!F305="","",Data!F305)</f>
        <v>289</v>
      </c>
      <c r="G305" s="28" t="str">
        <f aca="false">IF(Data!G305="","",IFERROR(VLOOKUP(Data!G305,Codes!$A$18:$B$19,2,FALSE()),"Invalid ("&amp;Data!G305&amp;")"))</f>
        <v>No</v>
      </c>
      <c r="H305" s="28" t="str">
        <f aca="false">IF(Data!H305="","",IFERROR(VLOOKUP(Data!H305,Codes!$A$23:$B$25,2,FALSE()),"Invalid ("&amp;Data!H305&amp;")"))</f>
        <v>Normal</v>
      </c>
      <c r="I305" s="20" t="n">
        <f aca="false">IF(Data!I305="","",Data!I305)</f>
        <v>172</v>
      </c>
      <c r="J305" s="28" t="str">
        <f aca="false">IF(Data!J305="","",IFERROR(VLOOKUP(Data!J305,Codes!$A$29:$B$30,2,FALSE()),"Invalid ("&amp;Data!J305&amp;")"))</f>
        <v>No</v>
      </c>
      <c r="K305" s="21" t="n">
        <f aca="false">IF(Data!K305="","",Data!K305)</f>
        <v>0</v>
      </c>
      <c r="L305" s="28" t="str">
        <f aca="false">IF(Data!L305="","",IFERROR(VLOOKUP(Data!L305,Codes!$A$34:$B$36,2,FALSE()),"Invalid ("&amp;Data!L305&amp;")"))</f>
        <v/>
      </c>
      <c r="M305" s="20" t="str">
        <f aca="false">IF(Data!M305="","",Data!M305)</f>
        <v/>
      </c>
      <c r="N305" s="28" t="str">
        <f aca="false">IF(Data!N305="","",IFERROR(VLOOKUP(Data!N305,Codes!$A$47:$B$49,2,FALSE()),"Invalid ("&amp;Data!N305&amp;")"))</f>
        <v/>
      </c>
      <c r="O305" s="28" t="str">
        <f aca="false">IF(Data!O305="","",IFERROR(VLOOKUP(Data!O305,Codes!$A$53:$B$57,2,FALSE()),"Invalid ("&amp;Data!O305&amp;")"))</f>
        <v>No disease</v>
      </c>
      <c r="P305" s="22" t="str">
        <f aca="false">IF(Data!P305="","",IFERROR(VLOOKUP(Data!P305,Codes!$A$61:$B$64,2,FALSE()),"Invalid ("&amp;Data!P305&amp;")"))</f>
        <v>Hungarian Inst. of Cardiology, Budapest</v>
      </c>
    </row>
    <row r="306" customFormat="false" ht="15" hidden="false" customHeight="false" outlineLevel="0" collapsed="false">
      <c r="A306" s="19" t="n">
        <f aca="false">Data!A306</f>
        <v>305</v>
      </c>
      <c r="B306" s="20" t="n">
        <f aca="false">IF(Data!B306="","",Data!B306)</f>
        <v>49</v>
      </c>
      <c r="C306" s="28" t="str">
        <f aca="false">IF(Data!C306="","",IFERROR(VLOOKUP(Data!C306,Codes!$A$6:$B$7,2,FALSE()),"Invalid ("&amp;Data!C306&amp;")"))</f>
        <v>Female</v>
      </c>
      <c r="D306" s="28" t="str">
        <f aca="false">IF(Data!D306="","",IFERROR(VLOOKUP(Data!D306,Codes!$A$11:$B$14,2,FALSE()),"Invalid ("&amp;Data!D306&amp;")"))</f>
        <v>Non-anginal pain</v>
      </c>
      <c r="E306" s="20" t="n">
        <f aca="false">IF(Data!E306="","",Data!E306)</f>
        <v>160</v>
      </c>
      <c r="F306" s="20" t="n">
        <f aca="false">IF(Data!F306="","",Data!F306)</f>
        <v>180</v>
      </c>
      <c r="G306" s="28" t="str">
        <f aca="false">IF(Data!G306="","",IFERROR(VLOOKUP(Data!G306,Codes!$A$18:$B$19,2,FALSE()),"Invalid ("&amp;Data!G306&amp;")"))</f>
        <v>No</v>
      </c>
      <c r="H306" s="28" t="str">
        <f aca="false">IF(Data!H306="","",IFERROR(VLOOKUP(Data!H306,Codes!$A$23:$B$25,2,FALSE()),"Invalid ("&amp;Data!H306&amp;")"))</f>
        <v>Normal</v>
      </c>
      <c r="I306" s="20" t="n">
        <f aca="false">IF(Data!I306="","",Data!I306)</f>
        <v>156</v>
      </c>
      <c r="J306" s="28" t="str">
        <f aca="false">IF(Data!J306="","",IFERROR(VLOOKUP(Data!J306,Codes!$A$29:$B$30,2,FALSE()),"Invalid ("&amp;Data!J306&amp;")"))</f>
        <v>No</v>
      </c>
      <c r="K306" s="21" t="n">
        <f aca="false">IF(Data!K306="","",Data!K306)</f>
        <v>1</v>
      </c>
      <c r="L306" s="28" t="str">
        <f aca="false">IF(Data!L306="","",IFERROR(VLOOKUP(Data!L306,Codes!$A$34:$B$36,2,FALSE()),"Invalid ("&amp;Data!L306&amp;")"))</f>
        <v>Flat</v>
      </c>
      <c r="M306" s="20" t="str">
        <f aca="false">IF(Data!M306="","",Data!M306)</f>
        <v/>
      </c>
      <c r="N306" s="28" t="str">
        <f aca="false">IF(Data!N306="","",IFERROR(VLOOKUP(Data!N306,Codes!$A$47:$B$49,2,FALSE()),"Invalid ("&amp;Data!N306&amp;")"))</f>
        <v/>
      </c>
      <c r="O306" s="28" t="str">
        <f aca="false">IF(Data!O306="","",IFERROR(VLOOKUP(Data!O306,Codes!$A$53:$B$57,2,FALSE()),"Invalid ("&amp;Data!O306&amp;")"))</f>
        <v>Disease (1)</v>
      </c>
      <c r="P306" s="22" t="str">
        <f aca="false">IF(Data!P306="","",IFERROR(VLOOKUP(Data!P306,Codes!$A$61:$B$64,2,FALSE()),"Invalid ("&amp;Data!P306&amp;")"))</f>
        <v>Hungarian Inst. of Cardiology, Budapest</v>
      </c>
    </row>
    <row r="307" customFormat="false" ht="15" hidden="false" customHeight="false" outlineLevel="0" collapsed="false">
      <c r="A307" s="19" t="n">
        <f aca="false">Data!A307</f>
        <v>306</v>
      </c>
      <c r="B307" s="20" t="n">
        <f aca="false">IF(Data!B307="","",Data!B307)</f>
        <v>37</v>
      </c>
      <c r="C307" s="28" t="str">
        <f aca="false">IF(Data!C307="","",IFERROR(VLOOKUP(Data!C307,Codes!$A$6:$B$7,2,FALSE()),"Invalid ("&amp;Data!C307&amp;")"))</f>
        <v>Male</v>
      </c>
      <c r="D307" s="28" t="str">
        <f aca="false">IF(Data!D307="","",IFERROR(VLOOKUP(Data!D307,Codes!$A$11:$B$14,2,FALSE()),"Invalid ("&amp;Data!D307&amp;")"))</f>
        <v>Atypical angina</v>
      </c>
      <c r="E307" s="20" t="n">
        <f aca="false">IF(Data!E307="","",Data!E307)</f>
        <v>130</v>
      </c>
      <c r="F307" s="20" t="n">
        <f aca="false">IF(Data!F307="","",Data!F307)</f>
        <v>283</v>
      </c>
      <c r="G307" s="28" t="str">
        <f aca="false">IF(Data!G307="","",IFERROR(VLOOKUP(Data!G307,Codes!$A$18:$B$19,2,FALSE()),"Invalid ("&amp;Data!G307&amp;")"))</f>
        <v>No</v>
      </c>
      <c r="H307" s="28" t="str">
        <f aca="false">IF(Data!H307="","",IFERROR(VLOOKUP(Data!H307,Codes!$A$23:$B$25,2,FALSE()),"Invalid ("&amp;Data!H307&amp;")"))</f>
        <v>ST-T wave abnormality</v>
      </c>
      <c r="I307" s="20" t="n">
        <f aca="false">IF(Data!I307="","",Data!I307)</f>
        <v>98</v>
      </c>
      <c r="J307" s="28" t="str">
        <f aca="false">IF(Data!J307="","",IFERROR(VLOOKUP(Data!J307,Codes!$A$29:$B$30,2,FALSE()),"Invalid ("&amp;Data!J307&amp;")"))</f>
        <v>No</v>
      </c>
      <c r="K307" s="21" t="n">
        <f aca="false">IF(Data!K307="","",Data!K307)</f>
        <v>0</v>
      </c>
      <c r="L307" s="28" t="str">
        <f aca="false">IF(Data!L307="","",IFERROR(VLOOKUP(Data!L307,Codes!$A$34:$B$36,2,FALSE()),"Invalid ("&amp;Data!L307&amp;")"))</f>
        <v/>
      </c>
      <c r="M307" s="20" t="str">
        <f aca="false">IF(Data!M307="","",Data!M307)</f>
        <v/>
      </c>
      <c r="N307" s="28" t="str">
        <f aca="false">IF(Data!N307="","",IFERROR(VLOOKUP(Data!N307,Codes!$A$47:$B$49,2,FALSE()),"Invalid ("&amp;Data!N307&amp;")"))</f>
        <v/>
      </c>
      <c r="O307" s="28" t="str">
        <f aca="false">IF(Data!O307="","",IFERROR(VLOOKUP(Data!O307,Codes!$A$53:$B$57,2,FALSE()),"Invalid ("&amp;Data!O307&amp;")"))</f>
        <v>No disease</v>
      </c>
      <c r="P307" s="22" t="str">
        <f aca="false">IF(Data!P307="","",IFERROR(VLOOKUP(Data!P307,Codes!$A$61:$B$64,2,FALSE()),"Invalid ("&amp;Data!P307&amp;")"))</f>
        <v>Hungarian Inst. of Cardiology, Budapest</v>
      </c>
    </row>
    <row r="308" customFormat="false" ht="15" hidden="false" customHeight="false" outlineLevel="0" collapsed="false">
      <c r="A308" s="19" t="n">
        <f aca="false">Data!A308</f>
        <v>307</v>
      </c>
      <c r="B308" s="20" t="n">
        <f aca="false">IF(Data!B308="","",Data!B308)</f>
        <v>48</v>
      </c>
      <c r="C308" s="28" t="str">
        <f aca="false">IF(Data!C308="","",IFERROR(VLOOKUP(Data!C308,Codes!$A$6:$B$7,2,FALSE()),"Invalid ("&amp;Data!C308&amp;")"))</f>
        <v>Female</v>
      </c>
      <c r="D308" s="28" t="str">
        <f aca="false">IF(Data!D308="","",IFERROR(VLOOKUP(Data!D308,Codes!$A$11:$B$14,2,FALSE()),"Invalid ("&amp;Data!D308&amp;")"))</f>
        <v>Asymptomatic</v>
      </c>
      <c r="E308" s="20" t="n">
        <f aca="false">IF(Data!E308="","",Data!E308)</f>
        <v>138</v>
      </c>
      <c r="F308" s="20" t="n">
        <f aca="false">IF(Data!F308="","",Data!F308)</f>
        <v>214</v>
      </c>
      <c r="G308" s="28" t="str">
        <f aca="false">IF(Data!G308="","",IFERROR(VLOOKUP(Data!G308,Codes!$A$18:$B$19,2,FALSE()),"Invalid ("&amp;Data!G308&amp;")"))</f>
        <v>No</v>
      </c>
      <c r="H308" s="28" t="str">
        <f aca="false">IF(Data!H308="","",IFERROR(VLOOKUP(Data!H308,Codes!$A$23:$B$25,2,FALSE()),"Invalid ("&amp;Data!H308&amp;")"))</f>
        <v>Normal</v>
      </c>
      <c r="I308" s="20" t="n">
        <f aca="false">IF(Data!I308="","",Data!I308)</f>
        <v>108</v>
      </c>
      <c r="J308" s="28" t="str">
        <f aca="false">IF(Data!J308="","",IFERROR(VLOOKUP(Data!J308,Codes!$A$29:$B$30,2,FALSE()),"Invalid ("&amp;Data!J308&amp;")"))</f>
        <v>Yes</v>
      </c>
      <c r="K308" s="21" t="n">
        <f aca="false">IF(Data!K308="","",Data!K308)</f>
        <v>1.5</v>
      </c>
      <c r="L308" s="28" t="str">
        <f aca="false">IF(Data!L308="","",IFERROR(VLOOKUP(Data!L308,Codes!$A$34:$B$36,2,FALSE()),"Invalid ("&amp;Data!L308&amp;")"))</f>
        <v>Flat</v>
      </c>
      <c r="M308" s="20" t="str">
        <f aca="false">IF(Data!M308="","",Data!M308)</f>
        <v/>
      </c>
      <c r="N308" s="28" t="str">
        <f aca="false">IF(Data!N308="","",IFERROR(VLOOKUP(Data!N308,Codes!$A$47:$B$49,2,FALSE()),"Invalid ("&amp;Data!N308&amp;")"))</f>
        <v/>
      </c>
      <c r="O308" s="28" t="str">
        <f aca="false">IF(Data!O308="","",IFERROR(VLOOKUP(Data!O308,Codes!$A$53:$B$57,2,FALSE()),"Invalid ("&amp;Data!O308&amp;")"))</f>
        <v>Disease (3)</v>
      </c>
      <c r="P308" s="22" t="str">
        <f aca="false">IF(Data!P308="","",IFERROR(VLOOKUP(Data!P308,Codes!$A$61:$B$64,2,FALSE()),"Invalid ("&amp;Data!P308&amp;")"))</f>
        <v>Hungarian Inst. of Cardiology, Budapest</v>
      </c>
    </row>
    <row r="309" customFormat="false" ht="15" hidden="false" customHeight="false" outlineLevel="0" collapsed="false">
      <c r="A309" s="19" t="n">
        <f aca="false">Data!A309</f>
        <v>308</v>
      </c>
      <c r="B309" s="20" t="n">
        <f aca="false">IF(Data!B309="","",Data!B309)</f>
        <v>54</v>
      </c>
      <c r="C309" s="28" t="str">
        <f aca="false">IF(Data!C309="","",IFERROR(VLOOKUP(Data!C309,Codes!$A$6:$B$7,2,FALSE()),"Invalid ("&amp;Data!C309&amp;")"))</f>
        <v>Male</v>
      </c>
      <c r="D309" s="28" t="str">
        <f aca="false">IF(Data!D309="","",IFERROR(VLOOKUP(Data!D309,Codes!$A$11:$B$14,2,FALSE()),"Invalid ("&amp;Data!D309&amp;")"))</f>
        <v>Non-anginal pain</v>
      </c>
      <c r="E309" s="20" t="n">
        <f aca="false">IF(Data!E309="","",Data!E309)</f>
        <v>150</v>
      </c>
      <c r="F309" s="20" t="str">
        <f aca="false">IF(Data!F309="","",Data!F309)</f>
        <v/>
      </c>
      <c r="G309" s="28" t="str">
        <f aca="false">IF(Data!G309="","",IFERROR(VLOOKUP(Data!G309,Codes!$A$18:$B$19,2,FALSE()),"Invalid ("&amp;Data!G309&amp;")"))</f>
        <v>No</v>
      </c>
      <c r="H309" s="28" t="str">
        <f aca="false">IF(Data!H309="","",IFERROR(VLOOKUP(Data!H309,Codes!$A$23:$B$25,2,FALSE()),"Invalid ("&amp;Data!H309&amp;")"))</f>
        <v>Normal</v>
      </c>
      <c r="I309" s="20" t="n">
        <f aca="false">IF(Data!I309="","",Data!I309)</f>
        <v>122</v>
      </c>
      <c r="J309" s="28" t="str">
        <f aca="false">IF(Data!J309="","",IFERROR(VLOOKUP(Data!J309,Codes!$A$29:$B$30,2,FALSE()),"Invalid ("&amp;Data!J309&amp;")"))</f>
        <v>No</v>
      </c>
      <c r="K309" s="21" t="n">
        <f aca="false">IF(Data!K309="","",Data!K309)</f>
        <v>0</v>
      </c>
      <c r="L309" s="28" t="str">
        <f aca="false">IF(Data!L309="","",IFERROR(VLOOKUP(Data!L309,Codes!$A$34:$B$36,2,FALSE()),"Invalid ("&amp;Data!L309&amp;")"))</f>
        <v/>
      </c>
      <c r="M309" s="20" t="str">
        <f aca="false">IF(Data!M309="","",Data!M309)</f>
        <v/>
      </c>
      <c r="N309" s="28" t="str">
        <f aca="false">IF(Data!N309="","",IFERROR(VLOOKUP(Data!N309,Codes!$A$47:$B$49,2,FALSE()),"Invalid ("&amp;Data!N309&amp;")"))</f>
        <v/>
      </c>
      <c r="O309" s="28" t="str">
        <f aca="false">IF(Data!O309="","",IFERROR(VLOOKUP(Data!O309,Codes!$A$53:$B$57,2,FALSE()),"Invalid ("&amp;Data!O309&amp;")"))</f>
        <v>No disease</v>
      </c>
      <c r="P309" s="22" t="str">
        <f aca="false">IF(Data!P309="","",IFERROR(VLOOKUP(Data!P309,Codes!$A$61:$B$64,2,FALSE()),"Invalid ("&amp;Data!P309&amp;")"))</f>
        <v>Hungarian Inst. of Cardiology, Budapest</v>
      </c>
    </row>
    <row r="310" customFormat="false" ht="15" hidden="false" customHeight="false" outlineLevel="0" collapsed="false">
      <c r="A310" s="19" t="n">
        <f aca="false">Data!A310</f>
        <v>309</v>
      </c>
      <c r="B310" s="20" t="n">
        <f aca="false">IF(Data!B310="","",Data!B310)</f>
        <v>39</v>
      </c>
      <c r="C310" s="28" t="str">
        <f aca="false">IF(Data!C310="","",IFERROR(VLOOKUP(Data!C310,Codes!$A$6:$B$7,2,FALSE()),"Invalid ("&amp;Data!C310&amp;")"))</f>
        <v>Male</v>
      </c>
      <c r="D310" s="28" t="str">
        <f aca="false">IF(Data!D310="","",IFERROR(VLOOKUP(Data!D310,Codes!$A$11:$B$14,2,FALSE()),"Invalid ("&amp;Data!D310&amp;")"))</f>
        <v>Non-anginal pain</v>
      </c>
      <c r="E310" s="20" t="n">
        <f aca="false">IF(Data!E310="","",Data!E310)</f>
        <v>120</v>
      </c>
      <c r="F310" s="20" t="n">
        <f aca="false">IF(Data!F310="","",Data!F310)</f>
        <v>339</v>
      </c>
      <c r="G310" s="28" t="str">
        <f aca="false">IF(Data!G310="","",IFERROR(VLOOKUP(Data!G310,Codes!$A$18:$B$19,2,FALSE()),"Invalid ("&amp;Data!G310&amp;")"))</f>
        <v>No</v>
      </c>
      <c r="H310" s="28" t="str">
        <f aca="false">IF(Data!H310="","",IFERROR(VLOOKUP(Data!H310,Codes!$A$23:$B$25,2,FALSE()),"Invalid ("&amp;Data!H310&amp;")"))</f>
        <v>Normal</v>
      </c>
      <c r="I310" s="20" t="n">
        <f aca="false">IF(Data!I310="","",Data!I310)</f>
        <v>170</v>
      </c>
      <c r="J310" s="28" t="str">
        <f aca="false">IF(Data!J310="","",IFERROR(VLOOKUP(Data!J310,Codes!$A$29:$B$30,2,FALSE()),"Invalid ("&amp;Data!J310&amp;")"))</f>
        <v>No</v>
      </c>
      <c r="K310" s="21" t="n">
        <f aca="false">IF(Data!K310="","",Data!K310)</f>
        <v>0</v>
      </c>
      <c r="L310" s="28" t="str">
        <f aca="false">IF(Data!L310="","",IFERROR(VLOOKUP(Data!L310,Codes!$A$34:$B$36,2,FALSE()),"Invalid ("&amp;Data!L310&amp;")"))</f>
        <v/>
      </c>
      <c r="M310" s="20" t="str">
        <f aca="false">IF(Data!M310="","",Data!M310)</f>
        <v/>
      </c>
      <c r="N310" s="28" t="str">
        <f aca="false">IF(Data!N310="","",IFERROR(VLOOKUP(Data!N310,Codes!$A$47:$B$49,2,FALSE()),"Invalid ("&amp;Data!N310&amp;")"))</f>
        <v/>
      </c>
      <c r="O310" s="28" t="str">
        <f aca="false">IF(Data!O310="","",IFERROR(VLOOKUP(Data!O310,Codes!$A$53:$B$57,2,FALSE()),"Invalid ("&amp;Data!O310&amp;")"))</f>
        <v>No disease</v>
      </c>
      <c r="P310" s="22" t="str">
        <f aca="false">IF(Data!P310="","",IFERROR(VLOOKUP(Data!P310,Codes!$A$61:$B$64,2,FALSE()),"Invalid ("&amp;Data!P310&amp;")"))</f>
        <v>Hungarian Inst. of Cardiology, Budapest</v>
      </c>
    </row>
    <row r="311" customFormat="false" ht="15" hidden="false" customHeight="false" outlineLevel="0" collapsed="false">
      <c r="A311" s="19" t="n">
        <f aca="false">Data!A311</f>
        <v>310</v>
      </c>
      <c r="B311" s="20" t="n">
        <f aca="false">IF(Data!B311="","",Data!B311)</f>
        <v>45</v>
      </c>
      <c r="C311" s="28" t="str">
        <f aca="false">IF(Data!C311="","",IFERROR(VLOOKUP(Data!C311,Codes!$A$6:$B$7,2,FALSE()),"Invalid ("&amp;Data!C311&amp;")"))</f>
        <v>Female</v>
      </c>
      <c r="D311" s="28" t="str">
        <f aca="false">IF(Data!D311="","",IFERROR(VLOOKUP(Data!D311,Codes!$A$11:$B$14,2,FALSE()),"Invalid ("&amp;Data!D311&amp;")"))</f>
        <v>Atypical angina</v>
      </c>
      <c r="E311" s="20" t="n">
        <f aca="false">IF(Data!E311="","",Data!E311)</f>
        <v>130</v>
      </c>
      <c r="F311" s="20" t="n">
        <f aca="false">IF(Data!F311="","",Data!F311)</f>
        <v>237</v>
      </c>
      <c r="G311" s="28" t="str">
        <f aca="false">IF(Data!G311="","",IFERROR(VLOOKUP(Data!G311,Codes!$A$18:$B$19,2,FALSE()),"Invalid ("&amp;Data!G311&amp;")"))</f>
        <v>No</v>
      </c>
      <c r="H311" s="28" t="str">
        <f aca="false">IF(Data!H311="","",IFERROR(VLOOKUP(Data!H311,Codes!$A$23:$B$25,2,FALSE()),"Invalid ("&amp;Data!H311&amp;")"))</f>
        <v>Normal</v>
      </c>
      <c r="I311" s="20" t="n">
        <f aca="false">IF(Data!I311="","",Data!I311)</f>
        <v>170</v>
      </c>
      <c r="J311" s="28" t="str">
        <f aca="false">IF(Data!J311="","",IFERROR(VLOOKUP(Data!J311,Codes!$A$29:$B$30,2,FALSE()),"Invalid ("&amp;Data!J311&amp;")"))</f>
        <v>No</v>
      </c>
      <c r="K311" s="21" t="n">
        <f aca="false">IF(Data!K311="","",Data!K311)</f>
        <v>0</v>
      </c>
      <c r="L311" s="28" t="str">
        <f aca="false">IF(Data!L311="","",IFERROR(VLOOKUP(Data!L311,Codes!$A$34:$B$36,2,FALSE()),"Invalid ("&amp;Data!L311&amp;")"))</f>
        <v/>
      </c>
      <c r="M311" s="20" t="str">
        <f aca="false">IF(Data!M311="","",Data!M311)</f>
        <v/>
      </c>
      <c r="N311" s="28" t="str">
        <f aca="false">IF(Data!N311="","",IFERROR(VLOOKUP(Data!N311,Codes!$A$47:$B$49,2,FALSE()),"Invalid ("&amp;Data!N311&amp;")"))</f>
        <v/>
      </c>
      <c r="O311" s="28" t="str">
        <f aca="false">IF(Data!O311="","",IFERROR(VLOOKUP(Data!O311,Codes!$A$53:$B$57,2,FALSE()),"Invalid ("&amp;Data!O311&amp;")"))</f>
        <v>No disease</v>
      </c>
      <c r="P311" s="22" t="str">
        <f aca="false">IF(Data!P311="","",IFERROR(VLOOKUP(Data!P311,Codes!$A$61:$B$64,2,FALSE()),"Invalid ("&amp;Data!P311&amp;")"))</f>
        <v>Hungarian Inst. of Cardiology, Budapest</v>
      </c>
    </row>
    <row r="312" customFormat="false" ht="15" hidden="false" customHeight="false" outlineLevel="0" collapsed="false">
      <c r="A312" s="19" t="n">
        <f aca="false">Data!A312</f>
        <v>311</v>
      </c>
      <c r="B312" s="20" t="n">
        <f aca="false">IF(Data!B312="","",Data!B312)</f>
        <v>54</v>
      </c>
      <c r="C312" s="28" t="str">
        <f aca="false">IF(Data!C312="","",IFERROR(VLOOKUP(Data!C312,Codes!$A$6:$B$7,2,FALSE()),"Invalid ("&amp;Data!C312&amp;")"))</f>
        <v>Male</v>
      </c>
      <c r="D312" s="28" t="str">
        <f aca="false">IF(Data!D312="","",IFERROR(VLOOKUP(Data!D312,Codes!$A$11:$B$14,2,FALSE()),"Invalid ("&amp;Data!D312&amp;")"))</f>
        <v>Atypical angina</v>
      </c>
      <c r="E312" s="20" t="n">
        <f aca="false">IF(Data!E312="","",Data!E312)</f>
        <v>110</v>
      </c>
      <c r="F312" s="20" t="n">
        <f aca="false">IF(Data!F312="","",Data!F312)</f>
        <v>208</v>
      </c>
      <c r="G312" s="28" t="str">
        <f aca="false">IF(Data!G312="","",IFERROR(VLOOKUP(Data!G312,Codes!$A$18:$B$19,2,FALSE()),"Invalid ("&amp;Data!G312&amp;")"))</f>
        <v>No</v>
      </c>
      <c r="H312" s="28" t="str">
        <f aca="false">IF(Data!H312="","",IFERROR(VLOOKUP(Data!H312,Codes!$A$23:$B$25,2,FALSE()),"Invalid ("&amp;Data!H312&amp;")"))</f>
        <v>Normal</v>
      </c>
      <c r="I312" s="20" t="n">
        <f aca="false">IF(Data!I312="","",Data!I312)</f>
        <v>142</v>
      </c>
      <c r="J312" s="28" t="str">
        <f aca="false">IF(Data!J312="","",IFERROR(VLOOKUP(Data!J312,Codes!$A$29:$B$30,2,FALSE()),"Invalid ("&amp;Data!J312&amp;")"))</f>
        <v>No</v>
      </c>
      <c r="K312" s="21" t="n">
        <f aca="false">IF(Data!K312="","",Data!K312)</f>
        <v>0</v>
      </c>
      <c r="L312" s="28" t="str">
        <f aca="false">IF(Data!L312="","",IFERROR(VLOOKUP(Data!L312,Codes!$A$34:$B$36,2,FALSE()),"Invalid ("&amp;Data!L312&amp;")"))</f>
        <v/>
      </c>
      <c r="M312" s="20" t="str">
        <f aca="false">IF(Data!M312="","",Data!M312)</f>
        <v/>
      </c>
      <c r="N312" s="28" t="str">
        <f aca="false">IF(Data!N312="","",IFERROR(VLOOKUP(Data!N312,Codes!$A$47:$B$49,2,FALSE()),"Invalid ("&amp;Data!N312&amp;")"))</f>
        <v/>
      </c>
      <c r="O312" s="28" t="str">
        <f aca="false">IF(Data!O312="","",IFERROR(VLOOKUP(Data!O312,Codes!$A$53:$B$57,2,FALSE()),"Invalid ("&amp;Data!O312&amp;")"))</f>
        <v>No disease</v>
      </c>
      <c r="P312" s="22" t="str">
        <f aca="false">IF(Data!P312="","",IFERROR(VLOOKUP(Data!P312,Codes!$A$61:$B$64,2,FALSE()),"Invalid ("&amp;Data!P312&amp;")"))</f>
        <v>Hungarian Inst. of Cardiology, Budapest</v>
      </c>
    </row>
    <row r="313" customFormat="false" ht="15" hidden="false" customHeight="false" outlineLevel="0" collapsed="false">
      <c r="A313" s="19" t="n">
        <f aca="false">Data!A313</f>
        <v>312</v>
      </c>
      <c r="B313" s="20" t="n">
        <f aca="false">IF(Data!B313="","",Data!B313)</f>
        <v>37</v>
      </c>
      <c r="C313" s="28" t="str">
        <f aca="false">IF(Data!C313="","",IFERROR(VLOOKUP(Data!C313,Codes!$A$6:$B$7,2,FALSE()),"Invalid ("&amp;Data!C313&amp;")"))</f>
        <v>Male</v>
      </c>
      <c r="D313" s="28" t="str">
        <f aca="false">IF(Data!D313="","",IFERROR(VLOOKUP(Data!D313,Codes!$A$11:$B$14,2,FALSE()),"Invalid ("&amp;Data!D313&amp;")"))</f>
        <v>Asymptomatic</v>
      </c>
      <c r="E313" s="20" t="n">
        <f aca="false">IF(Data!E313="","",Data!E313)</f>
        <v>140</v>
      </c>
      <c r="F313" s="20" t="n">
        <f aca="false">IF(Data!F313="","",Data!F313)</f>
        <v>207</v>
      </c>
      <c r="G313" s="28" t="str">
        <f aca="false">IF(Data!G313="","",IFERROR(VLOOKUP(Data!G313,Codes!$A$18:$B$19,2,FALSE()),"Invalid ("&amp;Data!G313&amp;")"))</f>
        <v>No</v>
      </c>
      <c r="H313" s="28" t="str">
        <f aca="false">IF(Data!H313="","",IFERROR(VLOOKUP(Data!H313,Codes!$A$23:$B$25,2,FALSE()),"Invalid ("&amp;Data!H313&amp;")"))</f>
        <v>Normal</v>
      </c>
      <c r="I313" s="20" t="n">
        <f aca="false">IF(Data!I313="","",Data!I313)</f>
        <v>130</v>
      </c>
      <c r="J313" s="28" t="str">
        <f aca="false">IF(Data!J313="","",IFERROR(VLOOKUP(Data!J313,Codes!$A$29:$B$30,2,FALSE()),"Invalid ("&amp;Data!J313&amp;")"))</f>
        <v>Yes</v>
      </c>
      <c r="K313" s="21" t="n">
        <f aca="false">IF(Data!K313="","",Data!K313)</f>
        <v>1.5</v>
      </c>
      <c r="L313" s="28" t="str">
        <f aca="false">IF(Data!L313="","",IFERROR(VLOOKUP(Data!L313,Codes!$A$34:$B$36,2,FALSE()),"Invalid ("&amp;Data!L313&amp;")"))</f>
        <v>Flat</v>
      </c>
      <c r="M313" s="20" t="str">
        <f aca="false">IF(Data!M313="","",Data!M313)</f>
        <v/>
      </c>
      <c r="N313" s="28" t="str">
        <f aca="false">IF(Data!N313="","",IFERROR(VLOOKUP(Data!N313,Codes!$A$47:$B$49,2,FALSE()),"Invalid ("&amp;Data!N313&amp;")"))</f>
        <v/>
      </c>
      <c r="O313" s="28" t="str">
        <f aca="false">IF(Data!O313="","",IFERROR(VLOOKUP(Data!O313,Codes!$A$53:$B$57,2,FALSE()),"Invalid ("&amp;Data!O313&amp;")"))</f>
        <v>Disease (1)</v>
      </c>
      <c r="P313" s="22" t="str">
        <f aca="false">IF(Data!P313="","",IFERROR(VLOOKUP(Data!P313,Codes!$A$61:$B$64,2,FALSE()),"Invalid ("&amp;Data!P313&amp;")"))</f>
        <v>Hungarian Inst. of Cardiology, Budapest</v>
      </c>
    </row>
    <row r="314" customFormat="false" ht="15" hidden="false" customHeight="false" outlineLevel="0" collapsed="false">
      <c r="A314" s="19" t="n">
        <f aca="false">Data!A314</f>
        <v>313</v>
      </c>
      <c r="B314" s="20" t="n">
        <f aca="false">IF(Data!B314="","",Data!B314)</f>
        <v>48</v>
      </c>
      <c r="C314" s="28" t="str">
        <f aca="false">IF(Data!C314="","",IFERROR(VLOOKUP(Data!C314,Codes!$A$6:$B$7,2,FALSE()),"Invalid ("&amp;Data!C314&amp;")"))</f>
        <v>Female</v>
      </c>
      <c r="D314" s="28" t="str">
        <f aca="false">IF(Data!D314="","",IFERROR(VLOOKUP(Data!D314,Codes!$A$11:$B$14,2,FALSE()),"Invalid ("&amp;Data!D314&amp;")"))</f>
        <v>Atypical angina</v>
      </c>
      <c r="E314" s="20" t="n">
        <f aca="false">IF(Data!E314="","",Data!E314)</f>
        <v>120</v>
      </c>
      <c r="F314" s="20" t="n">
        <f aca="false">IF(Data!F314="","",Data!F314)</f>
        <v>284</v>
      </c>
      <c r="G314" s="28" t="str">
        <f aca="false">IF(Data!G314="","",IFERROR(VLOOKUP(Data!G314,Codes!$A$18:$B$19,2,FALSE()),"Invalid ("&amp;Data!G314&amp;")"))</f>
        <v>No</v>
      </c>
      <c r="H314" s="28" t="str">
        <f aca="false">IF(Data!H314="","",IFERROR(VLOOKUP(Data!H314,Codes!$A$23:$B$25,2,FALSE()),"Invalid ("&amp;Data!H314&amp;")"))</f>
        <v>Normal</v>
      </c>
      <c r="I314" s="20" t="n">
        <f aca="false">IF(Data!I314="","",Data!I314)</f>
        <v>120</v>
      </c>
      <c r="J314" s="28" t="str">
        <f aca="false">IF(Data!J314="","",IFERROR(VLOOKUP(Data!J314,Codes!$A$29:$B$30,2,FALSE()),"Invalid ("&amp;Data!J314&amp;")"))</f>
        <v>No</v>
      </c>
      <c r="K314" s="21" t="n">
        <f aca="false">IF(Data!K314="","",Data!K314)</f>
        <v>0</v>
      </c>
      <c r="L314" s="28" t="str">
        <f aca="false">IF(Data!L314="","",IFERROR(VLOOKUP(Data!L314,Codes!$A$34:$B$36,2,FALSE()),"Invalid ("&amp;Data!L314&amp;")"))</f>
        <v/>
      </c>
      <c r="M314" s="20" t="str">
        <f aca="false">IF(Data!M314="","",Data!M314)</f>
        <v/>
      </c>
      <c r="N314" s="28" t="str">
        <f aca="false">IF(Data!N314="","",IFERROR(VLOOKUP(Data!N314,Codes!$A$47:$B$49,2,FALSE()),"Invalid ("&amp;Data!N314&amp;")"))</f>
        <v/>
      </c>
      <c r="O314" s="28" t="str">
        <f aca="false">IF(Data!O314="","",IFERROR(VLOOKUP(Data!O314,Codes!$A$53:$B$57,2,FALSE()),"Invalid ("&amp;Data!O314&amp;")"))</f>
        <v>No disease</v>
      </c>
      <c r="P314" s="22" t="str">
        <f aca="false">IF(Data!P314="","",IFERROR(VLOOKUP(Data!P314,Codes!$A$61:$B$64,2,FALSE()),"Invalid ("&amp;Data!P314&amp;")"))</f>
        <v>Hungarian Inst. of Cardiology, Budapest</v>
      </c>
    </row>
    <row r="315" customFormat="false" ht="15" hidden="false" customHeight="false" outlineLevel="0" collapsed="false">
      <c r="A315" s="19" t="n">
        <f aca="false">Data!A315</f>
        <v>314</v>
      </c>
      <c r="B315" s="20" t="n">
        <f aca="false">IF(Data!B315="","",Data!B315)</f>
        <v>37</v>
      </c>
      <c r="C315" s="28" t="str">
        <f aca="false">IF(Data!C315="","",IFERROR(VLOOKUP(Data!C315,Codes!$A$6:$B$7,2,FALSE()),"Invalid ("&amp;Data!C315&amp;")"))</f>
        <v>Female</v>
      </c>
      <c r="D315" s="28" t="str">
        <f aca="false">IF(Data!D315="","",IFERROR(VLOOKUP(Data!D315,Codes!$A$11:$B$14,2,FALSE()),"Invalid ("&amp;Data!D315&amp;")"))</f>
        <v>Non-anginal pain</v>
      </c>
      <c r="E315" s="20" t="n">
        <f aca="false">IF(Data!E315="","",Data!E315)</f>
        <v>130</v>
      </c>
      <c r="F315" s="20" t="n">
        <f aca="false">IF(Data!F315="","",Data!F315)</f>
        <v>211</v>
      </c>
      <c r="G315" s="28" t="str">
        <f aca="false">IF(Data!G315="","",IFERROR(VLOOKUP(Data!G315,Codes!$A$18:$B$19,2,FALSE()),"Invalid ("&amp;Data!G315&amp;")"))</f>
        <v>No</v>
      </c>
      <c r="H315" s="28" t="str">
        <f aca="false">IF(Data!H315="","",IFERROR(VLOOKUP(Data!H315,Codes!$A$23:$B$25,2,FALSE()),"Invalid ("&amp;Data!H315&amp;")"))</f>
        <v>Normal</v>
      </c>
      <c r="I315" s="20" t="n">
        <f aca="false">IF(Data!I315="","",Data!I315)</f>
        <v>142</v>
      </c>
      <c r="J315" s="28" t="str">
        <f aca="false">IF(Data!J315="","",IFERROR(VLOOKUP(Data!J315,Codes!$A$29:$B$30,2,FALSE()),"Invalid ("&amp;Data!J315&amp;")"))</f>
        <v>No</v>
      </c>
      <c r="K315" s="21" t="n">
        <f aca="false">IF(Data!K315="","",Data!K315)</f>
        <v>0</v>
      </c>
      <c r="L315" s="28" t="str">
        <f aca="false">IF(Data!L315="","",IFERROR(VLOOKUP(Data!L315,Codes!$A$34:$B$36,2,FALSE()),"Invalid ("&amp;Data!L315&amp;")"))</f>
        <v/>
      </c>
      <c r="M315" s="20" t="str">
        <f aca="false">IF(Data!M315="","",Data!M315)</f>
        <v/>
      </c>
      <c r="N315" s="28" t="str">
        <f aca="false">IF(Data!N315="","",IFERROR(VLOOKUP(Data!N315,Codes!$A$47:$B$49,2,FALSE()),"Invalid ("&amp;Data!N315&amp;")"))</f>
        <v/>
      </c>
      <c r="O315" s="28" t="str">
        <f aca="false">IF(Data!O315="","",IFERROR(VLOOKUP(Data!O315,Codes!$A$53:$B$57,2,FALSE()),"Invalid ("&amp;Data!O315&amp;")"))</f>
        <v>No disease</v>
      </c>
      <c r="P315" s="22" t="str">
        <f aca="false">IF(Data!P315="","",IFERROR(VLOOKUP(Data!P315,Codes!$A$61:$B$64,2,FALSE()),"Invalid ("&amp;Data!P315&amp;")"))</f>
        <v>Hungarian Inst. of Cardiology, Budapest</v>
      </c>
    </row>
    <row r="316" customFormat="false" ht="15" hidden="false" customHeight="false" outlineLevel="0" collapsed="false">
      <c r="A316" s="19" t="n">
        <f aca="false">Data!A316</f>
        <v>315</v>
      </c>
      <c r="B316" s="20" t="n">
        <f aca="false">IF(Data!B316="","",Data!B316)</f>
        <v>58</v>
      </c>
      <c r="C316" s="28" t="str">
        <f aca="false">IF(Data!C316="","",IFERROR(VLOOKUP(Data!C316,Codes!$A$6:$B$7,2,FALSE()),"Invalid ("&amp;Data!C316&amp;")"))</f>
        <v>Male</v>
      </c>
      <c r="D316" s="28" t="str">
        <f aca="false">IF(Data!D316="","",IFERROR(VLOOKUP(Data!D316,Codes!$A$11:$B$14,2,FALSE()),"Invalid ("&amp;Data!D316&amp;")"))</f>
        <v>Atypical angina</v>
      </c>
      <c r="E316" s="20" t="n">
        <f aca="false">IF(Data!E316="","",Data!E316)</f>
        <v>136</v>
      </c>
      <c r="F316" s="20" t="n">
        <f aca="false">IF(Data!F316="","",Data!F316)</f>
        <v>164</v>
      </c>
      <c r="G316" s="28" t="str">
        <f aca="false">IF(Data!G316="","",IFERROR(VLOOKUP(Data!G316,Codes!$A$18:$B$19,2,FALSE()),"Invalid ("&amp;Data!G316&amp;")"))</f>
        <v>No</v>
      </c>
      <c r="H316" s="28" t="str">
        <f aca="false">IF(Data!H316="","",IFERROR(VLOOKUP(Data!H316,Codes!$A$23:$B$25,2,FALSE()),"Invalid ("&amp;Data!H316&amp;")"))</f>
        <v>ST-T wave abnormality</v>
      </c>
      <c r="I316" s="20" t="n">
        <f aca="false">IF(Data!I316="","",Data!I316)</f>
        <v>99</v>
      </c>
      <c r="J316" s="28" t="str">
        <f aca="false">IF(Data!J316="","",IFERROR(VLOOKUP(Data!J316,Codes!$A$29:$B$30,2,FALSE()),"Invalid ("&amp;Data!J316&amp;")"))</f>
        <v>Yes</v>
      </c>
      <c r="K316" s="21" t="n">
        <f aca="false">IF(Data!K316="","",Data!K316)</f>
        <v>2</v>
      </c>
      <c r="L316" s="28" t="str">
        <f aca="false">IF(Data!L316="","",IFERROR(VLOOKUP(Data!L316,Codes!$A$34:$B$36,2,FALSE()),"Invalid ("&amp;Data!L316&amp;")"))</f>
        <v>Flat</v>
      </c>
      <c r="M316" s="20" t="str">
        <f aca="false">IF(Data!M316="","",Data!M316)</f>
        <v/>
      </c>
      <c r="N316" s="28" t="str">
        <f aca="false">IF(Data!N316="","",IFERROR(VLOOKUP(Data!N316,Codes!$A$47:$B$49,2,FALSE()),"Invalid ("&amp;Data!N316&amp;")"))</f>
        <v/>
      </c>
      <c r="O316" s="28" t="str">
        <f aca="false">IF(Data!O316="","",IFERROR(VLOOKUP(Data!O316,Codes!$A$53:$B$57,2,FALSE()),"Invalid ("&amp;Data!O316&amp;")"))</f>
        <v>Disease (3)</v>
      </c>
      <c r="P316" s="22" t="str">
        <f aca="false">IF(Data!P316="","",IFERROR(VLOOKUP(Data!P316,Codes!$A$61:$B$64,2,FALSE()),"Invalid ("&amp;Data!P316&amp;")"))</f>
        <v>Hungarian Inst. of Cardiology, Budapest</v>
      </c>
    </row>
    <row r="317" customFormat="false" ht="15" hidden="false" customHeight="false" outlineLevel="0" collapsed="false">
      <c r="A317" s="19" t="n">
        <f aca="false">Data!A317</f>
        <v>316</v>
      </c>
      <c r="B317" s="20" t="n">
        <f aca="false">IF(Data!B317="","",Data!B317)</f>
        <v>39</v>
      </c>
      <c r="C317" s="28" t="str">
        <f aca="false">IF(Data!C317="","",IFERROR(VLOOKUP(Data!C317,Codes!$A$6:$B$7,2,FALSE()),"Invalid ("&amp;Data!C317&amp;")"))</f>
        <v>Male</v>
      </c>
      <c r="D317" s="28" t="str">
        <f aca="false">IF(Data!D317="","",IFERROR(VLOOKUP(Data!D317,Codes!$A$11:$B$14,2,FALSE()),"Invalid ("&amp;Data!D317&amp;")"))</f>
        <v>Atypical angina</v>
      </c>
      <c r="E317" s="20" t="n">
        <f aca="false">IF(Data!E317="","",Data!E317)</f>
        <v>120</v>
      </c>
      <c r="F317" s="20" t="n">
        <f aca="false">IF(Data!F317="","",Data!F317)</f>
        <v>204</v>
      </c>
      <c r="G317" s="28" t="str">
        <f aca="false">IF(Data!G317="","",IFERROR(VLOOKUP(Data!G317,Codes!$A$18:$B$19,2,FALSE()),"Invalid ("&amp;Data!G317&amp;")"))</f>
        <v>No</v>
      </c>
      <c r="H317" s="28" t="str">
        <f aca="false">IF(Data!H317="","",IFERROR(VLOOKUP(Data!H317,Codes!$A$23:$B$25,2,FALSE()),"Invalid ("&amp;Data!H317&amp;")"))</f>
        <v>Normal</v>
      </c>
      <c r="I317" s="20" t="n">
        <f aca="false">IF(Data!I317="","",Data!I317)</f>
        <v>145</v>
      </c>
      <c r="J317" s="28" t="str">
        <f aca="false">IF(Data!J317="","",IFERROR(VLOOKUP(Data!J317,Codes!$A$29:$B$30,2,FALSE()),"Invalid ("&amp;Data!J317&amp;")"))</f>
        <v>No</v>
      </c>
      <c r="K317" s="21" t="n">
        <f aca="false">IF(Data!K317="","",Data!K317)</f>
        <v>0</v>
      </c>
      <c r="L317" s="28" t="str">
        <f aca="false">IF(Data!L317="","",IFERROR(VLOOKUP(Data!L317,Codes!$A$34:$B$36,2,FALSE()),"Invalid ("&amp;Data!L317&amp;")"))</f>
        <v/>
      </c>
      <c r="M317" s="20" t="str">
        <f aca="false">IF(Data!M317="","",Data!M317)</f>
        <v/>
      </c>
      <c r="N317" s="28" t="str">
        <f aca="false">IF(Data!N317="","",IFERROR(VLOOKUP(Data!N317,Codes!$A$47:$B$49,2,FALSE()),"Invalid ("&amp;Data!N317&amp;")"))</f>
        <v/>
      </c>
      <c r="O317" s="28" t="str">
        <f aca="false">IF(Data!O317="","",IFERROR(VLOOKUP(Data!O317,Codes!$A$53:$B$57,2,FALSE()),"Invalid ("&amp;Data!O317&amp;")"))</f>
        <v>No disease</v>
      </c>
      <c r="P317" s="22" t="str">
        <f aca="false">IF(Data!P317="","",IFERROR(VLOOKUP(Data!P317,Codes!$A$61:$B$64,2,FALSE()),"Invalid ("&amp;Data!P317&amp;")"))</f>
        <v>Hungarian Inst. of Cardiology, Budapest</v>
      </c>
    </row>
    <row r="318" customFormat="false" ht="15" hidden="false" customHeight="false" outlineLevel="0" collapsed="false">
      <c r="A318" s="19" t="n">
        <f aca="false">Data!A318</f>
        <v>317</v>
      </c>
      <c r="B318" s="20" t="n">
        <f aca="false">IF(Data!B318="","",Data!B318)</f>
        <v>49</v>
      </c>
      <c r="C318" s="28" t="str">
        <f aca="false">IF(Data!C318="","",IFERROR(VLOOKUP(Data!C318,Codes!$A$6:$B$7,2,FALSE()),"Invalid ("&amp;Data!C318&amp;")"))</f>
        <v>Male</v>
      </c>
      <c r="D318" s="28" t="str">
        <f aca="false">IF(Data!D318="","",IFERROR(VLOOKUP(Data!D318,Codes!$A$11:$B$14,2,FALSE()),"Invalid ("&amp;Data!D318&amp;")"))</f>
        <v>Asymptomatic</v>
      </c>
      <c r="E318" s="20" t="n">
        <f aca="false">IF(Data!E318="","",Data!E318)</f>
        <v>140</v>
      </c>
      <c r="F318" s="20" t="n">
        <f aca="false">IF(Data!F318="","",Data!F318)</f>
        <v>234</v>
      </c>
      <c r="G318" s="28" t="str">
        <f aca="false">IF(Data!G318="","",IFERROR(VLOOKUP(Data!G318,Codes!$A$18:$B$19,2,FALSE()),"Invalid ("&amp;Data!G318&amp;")"))</f>
        <v>No</v>
      </c>
      <c r="H318" s="28" t="str">
        <f aca="false">IF(Data!H318="","",IFERROR(VLOOKUP(Data!H318,Codes!$A$23:$B$25,2,FALSE()),"Invalid ("&amp;Data!H318&amp;")"))</f>
        <v>Normal</v>
      </c>
      <c r="I318" s="20" t="n">
        <f aca="false">IF(Data!I318="","",Data!I318)</f>
        <v>140</v>
      </c>
      <c r="J318" s="28" t="str">
        <f aca="false">IF(Data!J318="","",IFERROR(VLOOKUP(Data!J318,Codes!$A$29:$B$30,2,FALSE()),"Invalid ("&amp;Data!J318&amp;")"))</f>
        <v>Yes</v>
      </c>
      <c r="K318" s="21" t="n">
        <f aca="false">IF(Data!K318="","",Data!K318)</f>
        <v>1</v>
      </c>
      <c r="L318" s="28" t="str">
        <f aca="false">IF(Data!L318="","",IFERROR(VLOOKUP(Data!L318,Codes!$A$34:$B$36,2,FALSE()),"Invalid ("&amp;Data!L318&amp;")"))</f>
        <v>Flat</v>
      </c>
      <c r="M318" s="20" t="str">
        <f aca="false">IF(Data!M318="","",Data!M318)</f>
        <v/>
      </c>
      <c r="N318" s="28" t="str">
        <f aca="false">IF(Data!N318="","",IFERROR(VLOOKUP(Data!N318,Codes!$A$47:$B$49,2,FALSE()),"Invalid ("&amp;Data!N318&amp;")"))</f>
        <v/>
      </c>
      <c r="O318" s="28" t="str">
        <f aca="false">IF(Data!O318="","",IFERROR(VLOOKUP(Data!O318,Codes!$A$53:$B$57,2,FALSE()),"Invalid ("&amp;Data!O318&amp;")"))</f>
        <v>Disease (3)</v>
      </c>
      <c r="P318" s="22" t="str">
        <f aca="false">IF(Data!P318="","",IFERROR(VLOOKUP(Data!P318,Codes!$A$61:$B$64,2,FALSE()),"Invalid ("&amp;Data!P318&amp;")"))</f>
        <v>Hungarian Inst. of Cardiology, Budapest</v>
      </c>
    </row>
    <row r="319" customFormat="false" ht="15" hidden="false" customHeight="false" outlineLevel="0" collapsed="false">
      <c r="A319" s="19" t="n">
        <f aca="false">Data!A319</f>
        <v>318</v>
      </c>
      <c r="B319" s="20" t="n">
        <f aca="false">IF(Data!B319="","",Data!B319)</f>
        <v>42</v>
      </c>
      <c r="C319" s="28" t="str">
        <f aca="false">IF(Data!C319="","",IFERROR(VLOOKUP(Data!C319,Codes!$A$6:$B$7,2,FALSE()),"Invalid ("&amp;Data!C319&amp;")"))</f>
        <v>Female</v>
      </c>
      <c r="D319" s="28" t="str">
        <f aca="false">IF(Data!D319="","",IFERROR(VLOOKUP(Data!D319,Codes!$A$11:$B$14,2,FALSE()),"Invalid ("&amp;Data!D319&amp;")"))</f>
        <v>Non-anginal pain</v>
      </c>
      <c r="E319" s="20" t="n">
        <f aca="false">IF(Data!E319="","",Data!E319)</f>
        <v>115</v>
      </c>
      <c r="F319" s="20" t="n">
        <f aca="false">IF(Data!F319="","",Data!F319)</f>
        <v>211</v>
      </c>
      <c r="G319" s="28" t="str">
        <f aca="false">IF(Data!G319="","",IFERROR(VLOOKUP(Data!G319,Codes!$A$18:$B$19,2,FALSE()),"Invalid ("&amp;Data!G319&amp;")"))</f>
        <v>No</v>
      </c>
      <c r="H319" s="28" t="str">
        <f aca="false">IF(Data!H319="","",IFERROR(VLOOKUP(Data!H319,Codes!$A$23:$B$25,2,FALSE()),"Invalid ("&amp;Data!H319&amp;")"))</f>
        <v>ST-T wave abnormality</v>
      </c>
      <c r="I319" s="20" t="n">
        <f aca="false">IF(Data!I319="","",Data!I319)</f>
        <v>137</v>
      </c>
      <c r="J319" s="28" t="str">
        <f aca="false">IF(Data!J319="","",IFERROR(VLOOKUP(Data!J319,Codes!$A$29:$B$30,2,FALSE()),"Invalid ("&amp;Data!J319&amp;")"))</f>
        <v>No</v>
      </c>
      <c r="K319" s="21" t="n">
        <f aca="false">IF(Data!K319="","",Data!K319)</f>
        <v>0</v>
      </c>
      <c r="L319" s="28" t="str">
        <f aca="false">IF(Data!L319="","",IFERROR(VLOOKUP(Data!L319,Codes!$A$34:$B$36,2,FALSE()),"Invalid ("&amp;Data!L319&amp;")"))</f>
        <v/>
      </c>
      <c r="M319" s="20" t="str">
        <f aca="false">IF(Data!M319="","",Data!M319)</f>
        <v/>
      </c>
      <c r="N319" s="28" t="str">
        <f aca="false">IF(Data!N319="","",IFERROR(VLOOKUP(Data!N319,Codes!$A$47:$B$49,2,FALSE()),"Invalid ("&amp;Data!N319&amp;")"))</f>
        <v/>
      </c>
      <c r="O319" s="28" t="str">
        <f aca="false">IF(Data!O319="","",IFERROR(VLOOKUP(Data!O319,Codes!$A$53:$B$57,2,FALSE()),"Invalid ("&amp;Data!O319&amp;")"))</f>
        <v>No disease</v>
      </c>
      <c r="P319" s="22" t="str">
        <f aca="false">IF(Data!P319="","",IFERROR(VLOOKUP(Data!P319,Codes!$A$61:$B$64,2,FALSE()),"Invalid ("&amp;Data!P319&amp;")"))</f>
        <v>Hungarian Inst. of Cardiology, Budapest</v>
      </c>
    </row>
    <row r="320" customFormat="false" ht="15" hidden="false" customHeight="false" outlineLevel="0" collapsed="false">
      <c r="A320" s="19" t="n">
        <f aca="false">Data!A320</f>
        <v>319</v>
      </c>
      <c r="B320" s="20" t="n">
        <f aca="false">IF(Data!B320="","",Data!B320)</f>
        <v>54</v>
      </c>
      <c r="C320" s="28" t="str">
        <f aca="false">IF(Data!C320="","",IFERROR(VLOOKUP(Data!C320,Codes!$A$6:$B$7,2,FALSE()),"Invalid ("&amp;Data!C320&amp;")"))</f>
        <v>Female</v>
      </c>
      <c r="D320" s="28" t="str">
        <f aca="false">IF(Data!D320="","",IFERROR(VLOOKUP(Data!D320,Codes!$A$11:$B$14,2,FALSE()),"Invalid ("&amp;Data!D320&amp;")"))</f>
        <v>Atypical angina</v>
      </c>
      <c r="E320" s="20" t="n">
        <f aca="false">IF(Data!E320="","",Data!E320)</f>
        <v>120</v>
      </c>
      <c r="F320" s="20" t="n">
        <f aca="false">IF(Data!F320="","",Data!F320)</f>
        <v>273</v>
      </c>
      <c r="G320" s="28" t="str">
        <f aca="false">IF(Data!G320="","",IFERROR(VLOOKUP(Data!G320,Codes!$A$18:$B$19,2,FALSE()),"Invalid ("&amp;Data!G320&amp;")"))</f>
        <v>No</v>
      </c>
      <c r="H320" s="28" t="str">
        <f aca="false">IF(Data!H320="","",IFERROR(VLOOKUP(Data!H320,Codes!$A$23:$B$25,2,FALSE()),"Invalid ("&amp;Data!H320&amp;")"))</f>
        <v>Normal</v>
      </c>
      <c r="I320" s="20" t="n">
        <f aca="false">IF(Data!I320="","",Data!I320)</f>
        <v>150</v>
      </c>
      <c r="J320" s="28" t="str">
        <f aca="false">IF(Data!J320="","",IFERROR(VLOOKUP(Data!J320,Codes!$A$29:$B$30,2,FALSE()),"Invalid ("&amp;Data!J320&amp;")"))</f>
        <v>No</v>
      </c>
      <c r="K320" s="21" t="n">
        <f aca="false">IF(Data!K320="","",Data!K320)</f>
        <v>1.5</v>
      </c>
      <c r="L320" s="28" t="str">
        <f aca="false">IF(Data!L320="","",IFERROR(VLOOKUP(Data!L320,Codes!$A$34:$B$36,2,FALSE()),"Invalid ("&amp;Data!L320&amp;")"))</f>
        <v>Flat</v>
      </c>
      <c r="M320" s="20" t="str">
        <f aca="false">IF(Data!M320="","",Data!M320)</f>
        <v/>
      </c>
      <c r="N320" s="28" t="str">
        <f aca="false">IF(Data!N320="","",IFERROR(VLOOKUP(Data!N320,Codes!$A$47:$B$49,2,FALSE()),"Invalid ("&amp;Data!N320&amp;")"))</f>
        <v/>
      </c>
      <c r="O320" s="28" t="str">
        <f aca="false">IF(Data!O320="","",IFERROR(VLOOKUP(Data!O320,Codes!$A$53:$B$57,2,FALSE()),"Invalid ("&amp;Data!O320&amp;")"))</f>
        <v>No disease</v>
      </c>
      <c r="P320" s="22" t="str">
        <f aca="false">IF(Data!P320="","",IFERROR(VLOOKUP(Data!P320,Codes!$A$61:$B$64,2,FALSE()),"Invalid ("&amp;Data!P320&amp;")"))</f>
        <v>Hungarian Inst. of Cardiology, Budapest</v>
      </c>
    </row>
    <row r="321" customFormat="false" ht="15" hidden="false" customHeight="false" outlineLevel="0" collapsed="false">
      <c r="A321" s="19" t="n">
        <f aca="false">Data!A321</f>
        <v>320</v>
      </c>
      <c r="B321" s="20" t="n">
        <f aca="false">IF(Data!B321="","",Data!B321)</f>
        <v>38</v>
      </c>
      <c r="C321" s="28" t="str">
        <f aca="false">IF(Data!C321="","",IFERROR(VLOOKUP(Data!C321,Codes!$A$6:$B$7,2,FALSE()),"Invalid ("&amp;Data!C321&amp;")"))</f>
        <v>Male</v>
      </c>
      <c r="D321" s="28" t="str">
        <f aca="false">IF(Data!D321="","",IFERROR(VLOOKUP(Data!D321,Codes!$A$11:$B$14,2,FALSE()),"Invalid ("&amp;Data!D321&amp;")"))</f>
        <v>Asymptomatic</v>
      </c>
      <c r="E321" s="20" t="n">
        <f aca="false">IF(Data!E321="","",Data!E321)</f>
        <v>110</v>
      </c>
      <c r="F321" s="20" t="n">
        <f aca="false">IF(Data!F321="","",Data!F321)</f>
        <v>196</v>
      </c>
      <c r="G321" s="28" t="str">
        <f aca="false">IF(Data!G321="","",IFERROR(VLOOKUP(Data!G321,Codes!$A$18:$B$19,2,FALSE()),"Invalid ("&amp;Data!G321&amp;")"))</f>
        <v>No</v>
      </c>
      <c r="H321" s="28" t="str">
        <f aca="false">IF(Data!H321="","",IFERROR(VLOOKUP(Data!H321,Codes!$A$23:$B$25,2,FALSE()),"Invalid ("&amp;Data!H321&amp;")"))</f>
        <v>Normal</v>
      </c>
      <c r="I321" s="20" t="n">
        <f aca="false">IF(Data!I321="","",Data!I321)</f>
        <v>166</v>
      </c>
      <c r="J321" s="28" t="str">
        <f aca="false">IF(Data!J321="","",IFERROR(VLOOKUP(Data!J321,Codes!$A$29:$B$30,2,FALSE()),"Invalid ("&amp;Data!J321&amp;")"))</f>
        <v>No</v>
      </c>
      <c r="K321" s="21" t="n">
        <f aca="false">IF(Data!K321="","",Data!K321)</f>
        <v>0</v>
      </c>
      <c r="L321" s="28" t="str">
        <f aca="false">IF(Data!L321="","",IFERROR(VLOOKUP(Data!L321,Codes!$A$34:$B$36,2,FALSE()),"Invalid ("&amp;Data!L321&amp;")"))</f>
        <v/>
      </c>
      <c r="M321" s="20" t="str">
        <f aca="false">IF(Data!M321="","",Data!M321)</f>
        <v/>
      </c>
      <c r="N321" s="28" t="str">
        <f aca="false">IF(Data!N321="","",IFERROR(VLOOKUP(Data!N321,Codes!$A$47:$B$49,2,FALSE()),"Invalid ("&amp;Data!N321&amp;")"))</f>
        <v/>
      </c>
      <c r="O321" s="28" t="str">
        <f aca="false">IF(Data!O321="","",IFERROR(VLOOKUP(Data!O321,Codes!$A$53:$B$57,2,FALSE()),"Invalid ("&amp;Data!O321&amp;")"))</f>
        <v>Disease (1)</v>
      </c>
      <c r="P321" s="22" t="str">
        <f aca="false">IF(Data!P321="","",IFERROR(VLOOKUP(Data!P321,Codes!$A$61:$B$64,2,FALSE()),"Invalid ("&amp;Data!P321&amp;")"))</f>
        <v>Hungarian Inst. of Cardiology, Budapest</v>
      </c>
    </row>
    <row r="322" customFormat="false" ht="15" hidden="false" customHeight="false" outlineLevel="0" collapsed="false">
      <c r="A322" s="19" t="n">
        <f aca="false">Data!A322</f>
        <v>321</v>
      </c>
      <c r="B322" s="20" t="n">
        <f aca="false">IF(Data!B322="","",Data!B322)</f>
        <v>43</v>
      </c>
      <c r="C322" s="28" t="str">
        <f aca="false">IF(Data!C322="","",IFERROR(VLOOKUP(Data!C322,Codes!$A$6:$B$7,2,FALSE()),"Invalid ("&amp;Data!C322&amp;")"))</f>
        <v>Female</v>
      </c>
      <c r="D322" s="28" t="str">
        <f aca="false">IF(Data!D322="","",IFERROR(VLOOKUP(Data!D322,Codes!$A$11:$B$14,2,FALSE()),"Invalid ("&amp;Data!D322&amp;")"))</f>
        <v>Atypical angina</v>
      </c>
      <c r="E322" s="20" t="n">
        <f aca="false">IF(Data!E322="","",Data!E322)</f>
        <v>120</v>
      </c>
      <c r="F322" s="20" t="n">
        <f aca="false">IF(Data!F322="","",Data!F322)</f>
        <v>201</v>
      </c>
      <c r="G322" s="28" t="str">
        <f aca="false">IF(Data!G322="","",IFERROR(VLOOKUP(Data!G322,Codes!$A$18:$B$19,2,FALSE()),"Invalid ("&amp;Data!G322&amp;")"))</f>
        <v>No</v>
      </c>
      <c r="H322" s="28" t="str">
        <f aca="false">IF(Data!H322="","",IFERROR(VLOOKUP(Data!H322,Codes!$A$23:$B$25,2,FALSE()),"Invalid ("&amp;Data!H322&amp;")"))</f>
        <v>Normal</v>
      </c>
      <c r="I322" s="20" t="n">
        <f aca="false">IF(Data!I322="","",Data!I322)</f>
        <v>165</v>
      </c>
      <c r="J322" s="28" t="str">
        <f aca="false">IF(Data!J322="","",IFERROR(VLOOKUP(Data!J322,Codes!$A$29:$B$30,2,FALSE()),"Invalid ("&amp;Data!J322&amp;")"))</f>
        <v>No</v>
      </c>
      <c r="K322" s="21" t="n">
        <f aca="false">IF(Data!K322="","",Data!K322)</f>
        <v>0</v>
      </c>
      <c r="L322" s="28" t="str">
        <f aca="false">IF(Data!L322="","",IFERROR(VLOOKUP(Data!L322,Codes!$A$34:$B$36,2,FALSE()),"Invalid ("&amp;Data!L322&amp;")"))</f>
        <v/>
      </c>
      <c r="M322" s="20" t="str">
        <f aca="false">IF(Data!M322="","",Data!M322)</f>
        <v/>
      </c>
      <c r="N322" s="28" t="str">
        <f aca="false">IF(Data!N322="","",IFERROR(VLOOKUP(Data!N322,Codes!$A$47:$B$49,2,FALSE()),"Invalid ("&amp;Data!N322&amp;")"))</f>
        <v/>
      </c>
      <c r="O322" s="28" t="str">
        <f aca="false">IF(Data!O322="","",IFERROR(VLOOKUP(Data!O322,Codes!$A$53:$B$57,2,FALSE()),"Invalid ("&amp;Data!O322&amp;")"))</f>
        <v>No disease</v>
      </c>
      <c r="P322" s="22" t="str">
        <f aca="false">IF(Data!P322="","",IFERROR(VLOOKUP(Data!P322,Codes!$A$61:$B$64,2,FALSE()),"Invalid ("&amp;Data!P322&amp;")"))</f>
        <v>Hungarian Inst. of Cardiology, Budapest</v>
      </c>
    </row>
    <row r="323" customFormat="false" ht="15" hidden="false" customHeight="false" outlineLevel="0" collapsed="false">
      <c r="A323" s="19" t="n">
        <f aca="false">Data!A323</f>
        <v>322</v>
      </c>
      <c r="B323" s="20" t="n">
        <f aca="false">IF(Data!B323="","",Data!B323)</f>
        <v>60</v>
      </c>
      <c r="C323" s="28" t="str">
        <f aca="false">IF(Data!C323="","",IFERROR(VLOOKUP(Data!C323,Codes!$A$6:$B$7,2,FALSE()),"Invalid ("&amp;Data!C323&amp;")"))</f>
        <v>Male</v>
      </c>
      <c r="D323" s="28" t="str">
        <f aca="false">IF(Data!D323="","",IFERROR(VLOOKUP(Data!D323,Codes!$A$11:$B$14,2,FALSE()),"Invalid ("&amp;Data!D323&amp;")"))</f>
        <v>Asymptomatic</v>
      </c>
      <c r="E323" s="20" t="n">
        <f aca="false">IF(Data!E323="","",Data!E323)</f>
        <v>100</v>
      </c>
      <c r="F323" s="20" t="n">
        <f aca="false">IF(Data!F323="","",Data!F323)</f>
        <v>248</v>
      </c>
      <c r="G323" s="28" t="str">
        <f aca="false">IF(Data!G323="","",IFERROR(VLOOKUP(Data!G323,Codes!$A$18:$B$19,2,FALSE()),"Invalid ("&amp;Data!G323&amp;")"))</f>
        <v>No</v>
      </c>
      <c r="H323" s="28" t="str">
        <f aca="false">IF(Data!H323="","",IFERROR(VLOOKUP(Data!H323,Codes!$A$23:$B$25,2,FALSE()),"Invalid ("&amp;Data!H323&amp;")"))</f>
        <v>Normal</v>
      </c>
      <c r="I323" s="20" t="n">
        <f aca="false">IF(Data!I323="","",Data!I323)</f>
        <v>125</v>
      </c>
      <c r="J323" s="28" t="str">
        <f aca="false">IF(Data!J323="","",IFERROR(VLOOKUP(Data!J323,Codes!$A$29:$B$30,2,FALSE()),"Invalid ("&amp;Data!J323&amp;")"))</f>
        <v>No</v>
      </c>
      <c r="K323" s="21" t="n">
        <f aca="false">IF(Data!K323="","",Data!K323)</f>
        <v>1</v>
      </c>
      <c r="L323" s="28" t="str">
        <f aca="false">IF(Data!L323="","",IFERROR(VLOOKUP(Data!L323,Codes!$A$34:$B$36,2,FALSE()),"Invalid ("&amp;Data!L323&amp;")"))</f>
        <v>Flat</v>
      </c>
      <c r="M323" s="20" t="str">
        <f aca="false">IF(Data!M323="","",Data!M323)</f>
        <v/>
      </c>
      <c r="N323" s="28" t="str">
        <f aca="false">IF(Data!N323="","",IFERROR(VLOOKUP(Data!N323,Codes!$A$47:$B$49,2,FALSE()),"Invalid ("&amp;Data!N323&amp;")"))</f>
        <v/>
      </c>
      <c r="O323" s="28" t="str">
        <f aca="false">IF(Data!O323="","",IFERROR(VLOOKUP(Data!O323,Codes!$A$53:$B$57,2,FALSE()),"Invalid ("&amp;Data!O323&amp;")"))</f>
        <v>Disease (1)</v>
      </c>
      <c r="P323" s="22" t="str">
        <f aca="false">IF(Data!P323="","",IFERROR(VLOOKUP(Data!P323,Codes!$A$61:$B$64,2,FALSE()),"Invalid ("&amp;Data!P323&amp;")"))</f>
        <v>Hungarian Inst. of Cardiology, Budapest</v>
      </c>
    </row>
    <row r="324" customFormat="false" ht="15" hidden="false" customHeight="false" outlineLevel="0" collapsed="false">
      <c r="A324" s="19" t="n">
        <f aca="false">Data!A324</f>
        <v>323</v>
      </c>
      <c r="B324" s="20" t="n">
        <f aca="false">IF(Data!B324="","",Data!B324)</f>
        <v>36</v>
      </c>
      <c r="C324" s="28" t="str">
        <f aca="false">IF(Data!C324="","",IFERROR(VLOOKUP(Data!C324,Codes!$A$6:$B$7,2,FALSE()),"Invalid ("&amp;Data!C324&amp;")"))</f>
        <v>Male</v>
      </c>
      <c r="D324" s="28" t="str">
        <f aca="false">IF(Data!D324="","",IFERROR(VLOOKUP(Data!D324,Codes!$A$11:$B$14,2,FALSE()),"Invalid ("&amp;Data!D324&amp;")"))</f>
        <v>Atypical angina</v>
      </c>
      <c r="E324" s="20" t="n">
        <f aca="false">IF(Data!E324="","",Data!E324)</f>
        <v>120</v>
      </c>
      <c r="F324" s="20" t="n">
        <f aca="false">IF(Data!F324="","",Data!F324)</f>
        <v>267</v>
      </c>
      <c r="G324" s="28" t="str">
        <f aca="false">IF(Data!G324="","",IFERROR(VLOOKUP(Data!G324,Codes!$A$18:$B$19,2,FALSE()),"Invalid ("&amp;Data!G324&amp;")"))</f>
        <v>No</v>
      </c>
      <c r="H324" s="28" t="str">
        <f aca="false">IF(Data!H324="","",IFERROR(VLOOKUP(Data!H324,Codes!$A$23:$B$25,2,FALSE()),"Invalid ("&amp;Data!H324&amp;")"))</f>
        <v>Normal</v>
      </c>
      <c r="I324" s="20" t="n">
        <f aca="false">IF(Data!I324="","",Data!I324)</f>
        <v>160</v>
      </c>
      <c r="J324" s="28" t="str">
        <f aca="false">IF(Data!J324="","",IFERROR(VLOOKUP(Data!J324,Codes!$A$29:$B$30,2,FALSE()),"Invalid ("&amp;Data!J324&amp;")"))</f>
        <v>No</v>
      </c>
      <c r="K324" s="21" t="n">
        <f aca="false">IF(Data!K324="","",Data!K324)</f>
        <v>3</v>
      </c>
      <c r="L324" s="28" t="str">
        <f aca="false">IF(Data!L324="","",IFERROR(VLOOKUP(Data!L324,Codes!$A$34:$B$36,2,FALSE()),"Invalid ("&amp;Data!L324&amp;")"))</f>
        <v>Flat</v>
      </c>
      <c r="M324" s="20" t="str">
        <f aca="false">IF(Data!M324="","",Data!M324)</f>
        <v/>
      </c>
      <c r="N324" s="28" t="str">
        <f aca="false">IF(Data!N324="","",IFERROR(VLOOKUP(Data!N324,Codes!$A$47:$B$49,2,FALSE()),"Invalid ("&amp;Data!N324&amp;")"))</f>
        <v/>
      </c>
      <c r="O324" s="28" t="str">
        <f aca="false">IF(Data!O324="","",IFERROR(VLOOKUP(Data!O324,Codes!$A$53:$B$57,2,FALSE()),"Invalid ("&amp;Data!O324&amp;")"))</f>
        <v>Disease (1)</v>
      </c>
      <c r="P324" s="22" t="str">
        <f aca="false">IF(Data!P324="","",IFERROR(VLOOKUP(Data!P324,Codes!$A$61:$B$64,2,FALSE()),"Invalid ("&amp;Data!P324&amp;")"))</f>
        <v>Hungarian Inst. of Cardiology, Budapest</v>
      </c>
    </row>
    <row r="325" customFormat="false" ht="15" hidden="false" customHeight="false" outlineLevel="0" collapsed="false">
      <c r="A325" s="19" t="n">
        <f aca="false">Data!A325</f>
        <v>324</v>
      </c>
      <c r="B325" s="20" t="n">
        <f aca="false">IF(Data!B325="","",Data!B325)</f>
        <v>43</v>
      </c>
      <c r="C325" s="28" t="str">
        <f aca="false">IF(Data!C325="","",IFERROR(VLOOKUP(Data!C325,Codes!$A$6:$B$7,2,FALSE()),"Invalid ("&amp;Data!C325&amp;")"))</f>
        <v>Female</v>
      </c>
      <c r="D325" s="28" t="str">
        <f aca="false">IF(Data!D325="","",IFERROR(VLOOKUP(Data!D325,Codes!$A$11:$B$14,2,FALSE()),"Invalid ("&amp;Data!D325&amp;")"))</f>
        <v>Typical angina</v>
      </c>
      <c r="E325" s="20" t="n">
        <f aca="false">IF(Data!E325="","",Data!E325)</f>
        <v>100</v>
      </c>
      <c r="F325" s="20" t="n">
        <f aca="false">IF(Data!F325="","",Data!F325)</f>
        <v>223</v>
      </c>
      <c r="G325" s="28" t="str">
        <f aca="false">IF(Data!G325="","",IFERROR(VLOOKUP(Data!G325,Codes!$A$18:$B$19,2,FALSE()),"Invalid ("&amp;Data!G325&amp;")"))</f>
        <v>No</v>
      </c>
      <c r="H325" s="28" t="str">
        <f aca="false">IF(Data!H325="","",IFERROR(VLOOKUP(Data!H325,Codes!$A$23:$B$25,2,FALSE()),"Invalid ("&amp;Data!H325&amp;")"))</f>
        <v>Normal</v>
      </c>
      <c r="I325" s="20" t="n">
        <f aca="false">IF(Data!I325="","",Data!I325)</f>
        <v>142</v>
      </c>
      <c r="J325" s="28" t="str">
        <f aca="false">IF(Data!J325="","",IFERROR(VLOOKUP(Data!J325,Codes!$A$29:$B$30,2,FALSE()),"Invalid ("&amp;Data!J325&amp;")"))</f>
        <v>No</v>
      </c>
      <c r="K325" s="21" t="n">
        <f aca="false">IF(Data!K325="","",Data!K325)</f>
        <v>0</v>
      </c>
      <c r="L325" s="28" t="str">
        <f aca="false">IF(Data!L325="","",IFERROR(VLOOKUP(Data!L325,Codes!$A$34:$B$36,2,FALSE()),"Invalid ("&amp;Data!L325&amp;")"))</f>
        <v/>
      </c>
      <c r="M325" s="20" t="str">
        <f aca="false">IF(Data!M325="","",Data!M325)</f>
        <v/>
      </c>
      <c r="N325" s="28" t="str">
        <f aca="false">IF(Data!N325="","",IFERROR(VLOOKUP(Data!N325,Codes!$A$47:$B$49,2,FALSE()),"Invalid ("&amp;Data!N325&amp;")"))</f>
        <v/>
      </c>
      <c r="O325" s="28" t="str">
        <f aca="false">IF(Data!O325="","",IFERROR(VLOOKUP(Data!O325,Codes!$A$53:$B$57,2,FALSE()),"Invalid ("&amp;Data!O325&amp;")"))</f>
        <v>No disease</v>
      </c>
      <c r="P325" s="22" t="str">
        <f aca="false">IF(Data!P325="","",IFERROR(VLOOKUP(Data!P325,Codes!$A$61:$B$64,2,FALSE()),"Invalid ("&amp;Data!P325&amp;")"))</f>
        <v>Hungarian Inst. of Cardiology, Budapest</v>
      </c>
    </row>
    <row r="326" customFormat="false" ht="15" hidden="false" customHeight="false" outlineLevel="0" collapsed="false">
      <c r="A326" s="19" t="n">
        <f aca="false">Data!A326</f>
        <v>325</v>
      </c>
      <c r="B326" s="20" t="n">
        <f aca="false">IF(Data!B326="","",Data!B326)</f>
        <v>44</v>
      </c>
      <c r="C326" s="28" t="str">
        <f aca="false">IF(Data!C326="","",IFERROR(VLOOKUP(Data!C326,Codes!$A$6:$B$7,2,FALSE()),"Invalid ("&amp;Data!C326&amp;")"))</f>
        <v>Male</v>
      </c>
      <c r="D326" s="28" t="str">
        <f aca="false">IF(Data!D326="","",IFERROR(VLOOKUP(Data!D326,Codes!$A$11:$B$14,2,FALSE()),"Invalid ("&amp;Data!D326&amp;")"))</f>
        <v>Atypical angina</v>
      </c>
      <c r="E326" s="20" t="n">
        <f aca="false">IF(Data!E326="","",Data!E326)</f>
        <v>120</v>
      </c>
      <c r="F326" s="20" t="n">
        <f aca="false">IF(Data!F326="","",Data!F326)</f>
        <v>184</v>
      </c>
      <c r="G326" s="28" t="str">
        <f aca="false">IF(Data!G326="","",IFERROR(VLOOKUP(Data!G326,Codes!$A$18:$B$19,2,FALSE()),"Invalid ("&amp;Data!G326&amp;")"))</f>
        <v>No</v>
      </c>
      <c r="H326" s="28" t="str">
        <f aca="false">IF(Data!H326="","",IFERROR(VLOOKUP(Data!H326,Codes!$A$23:$B$25,2,FALSE()),"Invalid ("&amp;Data!H326&amp;")"))</f>
        <v>Normal</v>
      </c>
      <c r="I326" s="20" t="n">
        <f aca="false">IF(Data!I326="","",Data!I326)</f>
        <v>142</v>
      </c>
      <c r="J326" s="28" t="str">
        <f aca="false">IF(Data!J326="","",IFERROR(VLOOKUP(Data!J326,Codes!$A$29:$B$30,2,FALSE()),"Invalid ("&amp;Data!J326&amp;")"))</f>
        <v>No</v>
      </c>
      <c r="K326" s="21" t="n">
        <f aca="false">IF(Data!K326="","",Data!K326)</f>
        <v>1</v>
      </c>
      <c r="L326" s="28" t="str">
        <f aca="false">IF(Data!L326="","",IFERROR(VLOOKUP(Data!L326,Codes!$A$34:$B$36,2,FALSE()),"Invalid ("&amp;Data!L326&amp;")"))</f>
        <v>Flat</v>
      </c>
      <c r="M326" s="20" t="str">
        <f aca="false">IF(Data!M326="","",Data!M326)</f>
        <v/>
      </c>
      <c r="N326" s="28" t="str">
        <f aca="false">IF(Data!N326="","",IFERROR(VLOOKUP(Data!N326,Codes!$A$47:$B$49,2,FALSE()),"Invalid ("&amp;Data!N326&amp;")"))</f>
        <v/>
      </c>
      <c r="O326" s="28" t="str">
        <f aca="false">IF(Data!O326="","",IFERROR(VLOOKUP(Data!O326,Codes!$A$53:$B$57,2,FALSE()),"Invalid ("&amp;Data!O326&amp;")"))</f>
        <v>No disease</v>
      </c>
      <c r="P326" s="22" t="str">
        <f aca="false">IF(Data!P326="","",IFERROR(VLOOKUP(Data!P326,Codes!$A$61:$B$64,2,FALSE()),"Invalid ("&amp;Data!P326&amp;")"))</f>
        <v>Hungarian Inst. of Cardiology, Budapest</v>
      </c>
    </row>
    <row r="327" customFormat="false" ht="15" hidden="false" customHeight="false" outlineLevel="0" collapsed="false">
      <c r="A327" s="19" t="n">
        <f aca="false">Data!A327</f>
        <v>326</v>
      </c>
      <c r="B327" s="20" t="n">
        <f aca="false">IF(Data!B327="","",Data!B327)</f>
        <v>49</v>
      </c>
      <c r="C327" s="28" t="str">
        <f aca="false">IF(Data!C327="","",IFERROR(VLOOKUP(Data!C327,Codes!$A$6:$B$7,2,FALSE()),"Invalid ("&amp;Data!C327&amp;")"))</f>
        <v>Female</v>
      </c>
      <c r="D327" s="28" t="str">
        <f aca="false">IF(Data!D327="","",IFERROR(VLOOKUP(Data!D327,Codes!$A$11:$B$14,2,FALSE()),"Invalid ("&amp;Data!D327&amp;")"))</f>
        <v>Atypical angina</v>
      </c>
      <c r="E327" s="20" t="n">
        <f aca="false">IF(Data!E327="","",Data!E327)</f>
        <v>124</v>
      </c>
      <c r="F327" s="20" t="n">
        <f aca="false">IF(Data!F327="","",Data!F327)</f>
        <v>201</v>
      </c>
      <c r="G327" s="28" t="str">
        <f aca="false">IF(Data!G327="","",IFERROR(VLOOKUP(Data!G327,Codes!$A$18:$B$19,2,FALSE()),"Invalid ("&amp;Data!G327&amp;")"))</f>
        <v>No</v>
      </c>
      <c r="H327" s="28" t="str">
        <f aca="false">IF(Data!H327="","",IFERROR(VLOOKUP(Data!H327,Codes!$A$23:$B$25,2,FALSE()),"Invalid ("&amp;Data!H327&amp;")"))</f>
        <v>Normal</v>
      </c>
      <c r="I327" s="20" t="n">
        <f aca="false">IF(Data!I327="","",Data!I327)</f>
        <v>164</v>
      </c>
      <c r="J327" s="28" t="str">
        <f aca="false">IF(Data!J327="","",IFERROR(VLOOKUP(Data!J327,Codes!$A$29:$B$30,2,FALSE()),"Invalid ("&amp;Data!J327&amp;")"))</f>
        <v>No</v>
      </c>
      <c r="K327" s="21" t="n">
        <f aca="false">IF(Data!K327="","",Data!K327)</f>
        <v>0</v>
      </c>
      <c r="L327" s="28" t="str">
        <f aca="false">IF(Data!L327="","",IFERROR(VLOOKUP(Data!L327,Codes!$A$34:$B$36,2,FALSE()),"Invalid ("&amp;Data!L327&amp;")"))</f>
        <v/>
      </c>
      <c r="M327" s="20" t="str">
        <f aca="false">IF(Data!M327="","",Data!M327)</f>
        <v/>
      </c>
      <c r="N327" s="28" t="str">
        <f aca="false">IF(Data!N327="","",IFERROR(VLOOKUP(Data!N327,Codes!$A$47:$B$49,2,FALSE()),"Invalid ("&amp;Data!N327&amp;")"))</f>
        <v/>
      </c>
      <c r="O327" s="28" t="str">
        <f aca="false">IF(Data!O327="","",IFERROR(VLOOKUP(Data!O327,Codes!$A$53:$B$57,2,FALSE()),"Invalid ("&amp;Data!O327&amp;")"))</f>
        <v>No disease</v>
      </c>
      <c r="P327" s="22" t="str">
        <f aca="false">IF(Data!P327="","",IFERROR(VLOOKUP(Data!P327,Codes!$A$61:$B$64,2,FALSE()),"Invalid ("&amp;Data!P327&amp;")"))</f>
        <v>Hungarian Inst. of Cardiology, Budapest</v>
      </c>
    </row>
    <row r="328" customFormat="false" ht="15" hidden="false" customHeight="false" outlineLevel="0" collapsed="false">
      <c r="A328" s="19" t="n">
        <f aca="false">Data!A328</f>
        <v>327</v>
      </c>
      <c r="B328" s="20" t="n">
        <f aca="false">IF(Data!B328="","",Data!B328)</f>
        <v>44</v>
      </c>
      <c r="C328" s="28" t="str">
        <f aca="false">IF(Data!C328="","",IFERROR(VLOOKUP(Data!C328,Codes!$A$6:$B$7,2,FALSE()),"Invalid ("&amp;Data!C328&amp;")"))</f>
        <v>Male</v>
      </c>
      <c r="D328" s="28" t="str">
        <f aca="false">IF(Data!D328="","",IFERROR(VLOOKUP(Data!D328,Codes!$A$11:$B$14,2,FALSE()),"Invalid ("&amp;Data!D328&amp;")"))</f>
        <v>Atypical angina</v>
      </c>
      <c r="E328" s="20" t="n">
        <f aca="false">IF(Data!E328="","",Data!E328)</f>
        <v>150</v>
      </c>
      <c r="F328" s="20" t="n">
        <f aca="false">IF(Data!F328="","",Data!F328)</f>
        <v>288</v>
      </c>
      <c r="G328" s="28" t="str">
        <f aca="false">IF(Data!G328="","",IFERROR(VLOOKUP(Data!G328,Codes!$A$18:$B$19,2,FALSE()),"Invalid ("&amp;Data!G328&amp;")"))</f>
        <v>No</v>
      </c>
      <c r="H328" s="28" t="str">
        <f aca="false">IF(Data!H328="","",IFERROR(VLOOKUP(Data!H328,Codes!$A$23:$B$25,2,FALSE()),"Invalid ("&amp;Data!H328&amp;")"))</f>
        <v>Normal</v>
      </c>
      <c r="I328" s="20" t="n">
        <f aca="false">IF(Data!I328="","",Data!I328)</f>
        <v>150</v>
      </c>
      <c r="J328" s="28" t="str">
        <f aca="false">IF(Data!J328="","",IFERROR(VLOOKUP(Data!J328,Codes!$A$29:$B$30,2,FALSE()),"Invalid ("&amp;Data!J328&amp;")"))</f>
        <v>Yes</v>
      </c>
      <c r="K328" s="21" t="n">
        <f aca="false">IF(Data!K328="","",Data!K328)</f>
        <v>3</v>
      </c>
      <c r="L328" s="28" t="str">
        <f aca="false">IF(Data!L328="","",IFERROR(VLOOKUP(Data!L328,Codes!$A$34:$B$36,2,FALSE()),"Invalid ("&amp;Data!L328&amp;")"))</f>
        <v>Flat</v>
      </c>
      <c r="M328" s="20" t="str">
        <f aca="false">IF(Data!M328="","",Data!M328)</f>
        <v/>
      </c>
      <c r="N328" s="28" t="str">
        <f aca="false">IF(Data!N328="","",IFERROR(VLOOKUP(Data!N328,Codes!$A$47:$B$49,2,FALSE()),"Invalid ("&amp;Data!N328&amp;")"))</f>
        <v/>
      </c>
      <c r="O328" s="28" t="str">
        <f aca="false">IF(Data!O328="","",IFERROR(VLOOKUP(Data!O328,Codes!$A$53:$B$57,2,FALSE()),"Invalid ("&amp;Data!O328&amp;")"))</f>
        <v>Disease (3)</v>
      </c>
      <c r="P328" s="22" t="str">
        <f aca="false">IF(Data!P328="","",IFERROR(VLOOKUP(Data!P328,Codes!$A$61:$B$64,2,FALSE()),"Invalid ("&amp;Data!P328&amp;")"))</f>
        <v>Hungarian Inst. of Cardiology, Budapest</v>
      </c>
    </row>
    <row r="329" customFormat="false" ht="15" hidden="false" customHeight="false" outlineLevel="0" collapsed="false">
      <c r="A329" s="19" t="n">
        <f aca="false">Data!A329</f>
        <v>328</v>
      </c>
      <c r="B329" s="20" t="n">
        <f aca="false">IF(Data!B329="","",Data!B329)</f>
        <v>40</v>
      </c>
      <c r="C329" s="28" t="str">
        <f aca="false">IF(Data!C329="","",IFERROR(VLOOKUP(Data!C329,Codes!$A$6:$B$7,2,FALSE()),"Invalid ("&amp;Data!C329&amp;")"))</f>
        <v>Male</v>
      </c>
      <c r="D329" s="28" t="str">
        <f aca="false">IF(Data!D329="","",IFERROR(VLOOKUP(Data!D329,Codes!$A$11:$B$14,2,FALSE()),"Invalid ("&amp;Data!D329&amp;")"))</f>
        <v>Non-anginal pain</v>
      </c>
      <c r="E329" s="20" t="n">
        <f aca="false">IF(Data!E329="","",Data!E329)</f>
        <v>130</v>
      </c>
      <c r="F329" s="20" t="n">
        <f aca="false">IF(Data!F329="","",Data!F329)</f>
        <v>215</v>
      </c>
      <c r="G329" s="28" t="str">
        <f aca="false">IF(Data!G329="","",IFERROR(VLOOKUP(Data!G329,Codes!$A$18:$B$19,2,FALSE()),"Invalid ("&amp;Data!G329&amp;")"))</f>
        <v>No</v>
      </c>
      <c r="H329" s="28" t="str">
        <f aca="false">IF(Data!H329="","",IFERROR(VLOOKUP(Data!H329,Codes!$A$23:$B$25,2,FALSE()),"Invalid ("&amp;Data!H329&amp;")"))</f>
        <v>Normal</v>
      </c>
      <c r="I329" s="20" t="n">
        <f aca="false">IF(Data!I329="","",Data!I329)</f>
        <v>138</v>
      </c>
      <c r="J329" s="28" t="str">
        <f aca="false">IF(Data!J329="","",IFERROR(VLOOKUP(Data!J329,Codes!$A$29:$B$30,2,FALSE()),"Invalid ("&amp;Data!J329&amp;")"))</f>
        <v>No</v>
      </c>
      <c r="K329" s="21" t="n">
        <f aca="false">IF(Data!K329="","",Data!K329)</f>
        <v>0</v>
      </c>
      <c r="L329" s="28" t="str">
        <f aca="false">IF(Data!L329="","",IFERROR(VLOOKUP(Data!L329,Codes!$A$34:$B$36,2,FALSE()),"Invalid ("&amp;Data!L329&amp;")"))</f>
        <v/>
      </c>
      <c r="M329" s="20" t="str">
        <f aca="false">IF(Data!M329="","",Data!M329)</f>
        <v/>
      </c>
      <c r="N329" s="28" t="str">
        <f aca="false">IF(Data!N329="","",IFERROR(VLOOKUP(Data!N329,Codes!$A$47:$B$49,2,FALSE()),"Invalid ("&amp;Data!N329&amp;")"))</f>
        <v/>
      </c>
      <c r="O329" s="28" t="str">
        <f aca="false">IF(Data!O329="","",IFERROR(VLOOKUP(Data!O329,Codes!$A$53:$B$57,2,FALSE()),"Invalid ("&amp;Data!O329&amp;")"))</f>
        <v>No disease</v>
      </c>
      <c r="P329" s="22" t="str">
        <f aca="false">IF(Data!P329="","",IFERROR(VLOOKUP(Data!P329,Codes!$A$61:$B$64,2,FALSE()),"Invalid ("&amp;Data!P329&amp;")"))</f>
        <v>Hungarian Inst. of Cardiology, Budapest</v>
      </c>
    </row>
    <row r="330" customFormat="false" ht="15" hidden="false" customHeight="false" outlineLevel="0" collapsed="false">
      <c r="A330" s="19" t="n">
        <f aca="false">Data!A330</f>
        <v>329</v>
      </c>
      <c r="B330" s="20" t="n">
        <f aca="false">IF(Data!B330="","",Data!B330)</f>
        <v>36</v>
      </c>
      <c r="C330" s="28" t="str">
        <f aca="false">IF(Data!C330="","",IFERROR(VLOOKUP(Data!C330,Codes!$A$6:$B$7,2,FALSE()),"Invalid ("&amp;Data!C330&amp;")"))</f>
        <v>Male</v>
      </c>
      <c r="D330" s="28" t="str">
        <f aca="false">IF(Data!D330="","",IFERROR(VLOOKUP(Data!D330,Codes!$A$11:$B$14,2,FALSE()),"Invalid ("&amp;Data!D330&amp;")"))</f>
        <v>Non-anginal pain</v>
      </c>
      <c r="E330" s="20" t="n">
        <f aca="false">IF(Data!E330="","",Data!E330)</f>
        <v>130</v>
      </c>
      <c r="F330" s="20" t="n">
        <f aca="false">IF(Data!F330="","",Data!F330)</f>
        <v>209</v>
      </c>
      <c r="G330" s="28" t="str">
        <f aca="false">IF(Data!G330="","",IFERROR(VLOOKUP(Data!G330,Codes!$A$18:$B$19,2,FALSE()),"Invalid ("&amp;Data!G330&amp;")"))</f>
        <v>No</v>
      </c>
      <c r="H330" s="28" t="str">
        <f aca="false">IF(Data!H330="","",IFERROR(VLOOKUP(Data!H330,Codes!$A$23:$B$25,2,FALSE()),"Invalid ("&amp;Data!H330&amp;")"))</f>
        <v>Normal</v>
      </c>
      <c r="I330" s="20" t="n">
        <f aca="false">IF(Data!I330="","",Data!I330)</f>
        <v>178</v>
      </c>
      <c r="J330" s="28" t="str">
        <f aca="false">IF(Data!J330="","",IFERROR(VLOOKUP(Data!J330,Codes!$A$29:$B$30,2,FALSE()),"Invalid ("&amp;Data!J330&amp;")"))</f>
        <v>No</v>
      </c>
      <c r="K330" s="21" t="n">
        <f aca="false">IF(Data!K330="","",Data!K330)</f>
        <v>0</v>
      </c>
      <c r="L330" s="28" t="str">
        <f aca="false">IF(Data!L330="","",IFERROR(VLOOKUP(Data!L330,Codes!$A$34:$B$36,2,FALSE()),"Invalid ("&amp;Data!L330&amp;")"))</f>
        <v/>
      </c>
      <c r="M330" s="20" t="str">
        <f aca="false">IF(Data!M330="","",Data!M330)</f>
        <v/>
      </c>
      <c r="N330" s="28" t="str">
        <f aca="false">IF(Data!N330="","",IFERROR(VLOOKUP(Data!N330,Codes!$A$47:$B$49,2,FALSE()),"Invalid ("&amp;Data!N330&amp;")"))</f>
        <v/>
      </c>
      <c r="O330" s="28" t="str">
        <f aca="false">IF(Data!O330="","",IFERROR(VLOOKUP(Data!O330,Codes!$A$53:$B$57,2,FALSE()),"Invalid ("&amp;Data!O330&amp;")"))</f>
        <v>No disease</v>
      </c>
      <c r="P330" s="22" t="str">
        <f aca="false">IF(Data!P330="","",IFERROR(VLOOKUP(Data!P330,Codes!$A$61:$B$64,2,FALSE()),"Invalid ("&amp;Data!P330&amp;")"))</f>
        <v>Hungarian Inst. of Cardiology, Budapest</v>
      </c>
    </row>
    <row r="331" customFormat="false" ht="15" hidden="false" customHeight="false" outlineLevel="0" collapsed="false">
      <c r="A331" s="19" t="n">
        <f aca="false">Data!A331</f>
        <v>330</v>
      </c>
      <c r="B331" s="20" t="n">
        <f aca="false">IF(Data!B331="","",Data!B331)</f>
        <v>53</v>
      </c>
      <c r="C331" s="28" t="str">
        <f aca="false">IF(Data!C331="","",IFERROR(VLOOKUP(Data!C331,Codes!$A$6:$B$7,2,FALSE()),"Invalid ("&amp;Data!C331&amp;")"))</f>
        <v>Male</v>
      </c>
      <c r="D331" s="28" t="str">
        <f aca="false">IF(Data!D331="","",IFERROR(VLOOKUP(Data!D331,Codes!$A$11:$B$14,2,FALSE()),"Invalid ("&amp;Data!D331&amp;")"))</f>
        <v>Asymptomatic</v>
      </c>
      <c r="E331" s="20" t="n">
        <f aca="false">IF(Data!E331="","",Data!E331)</f>
        <v>124</v>
      </c>
      <c r="F331" s="20" t="n">
        <f aca="false">IF(Data!F331="","",Data!F331)</f>
        <v>260</v>
      </c>
      <c r="G331" s="28" t="str">
        <f aca="false">IF(Data!G331="","",IFERROR(VLOOKUP(Data!G331,Codes!$A$18:$B$19,2,FALSE()),"Invalid ("&amp;Data!G331&amp;")"))</f>
        <v>No</v>
      </c>
      <c r="H331" s="28" t="str">
        <f aca="false">IF(Data!H331="","",IFERROR(VLOOKUP(Data!H331,Codes!$A$23:$B$25,2,FALSE()),"Invalid ("&amp;Data!H331&amp;")"))</f>
        <v>ST-T wave abnormality</v>
      </c>
      <c r="I331" s="20" t="n">
        <f aca="false">IF(Data!I331="","",Data!I331)</f>
        <v>112</v>
      </c>
      <c r="J331" s="28" t="str">
        <f aca="false">IF(Data!J331="","",IFERROR(VLOOKUP(Data!J331,Codes!$A$29:$B$30,2,FALSE()),"Invalid ("&amp;Data!J331&amp;")"))</f>
        <v>Yes</v>
      </c>
      <c r="K331" s="21" t="n">
        <f aca="false">IF(Data!K331="","",Data!K331)</f>
        <v>3</v>
      </c>
      <c r="L331" s="28" t="str">
        <f aca="false">IF(Data!L331="","",IFERROR(VLOOKUP(Data!L331,Codes!$A$34:$B$36,2,FALSE()),"Invalid ("&amp;Data!L331&amp;")"))</f>
        <v>Flat</v>
      </c>
      <c r="M331" s="20" t="str">
        <f aca="false">IF(Data!M331="","",Data!M331)</f>
        <v/>
      </c>
      <c r="N331" s="28" t="str">
        <f aca="false">IF(Data!N331="","",IFERROR(VLOOKUP(Data!N331,Codes!$A$47:$B$49,2,FALSE()),"Invalid ("&amp;Data!N331&amp;")"))</f>
        <v/>
      </c>
      <c r="O331" s="28" t="str">
        <f aca="false">IF(Data!O331="","",IFERROR(VLOOKUP(Data!O331,Codes!$A$53:$B$57,2,FALSE()),"Invalid ("&amp;Data!O331&amp;")"))</f>
        <v>No disease</v>
      </c>
      <c r="P331" s="22" t="str">
        <f aca="false">IF(Data!P331="","",IFERROR(VLOOKUP(Data!P331,Codes!$A$61:$B$64,2,FALSE()),"Invalid ("&amp;Data!P331&amp;")"))</f>
        <v>Hungarian Inst. of Cardiology, Budapest</v>
      </c>
    </row>
    <row r="332" customFormat="false" ht="15" hidden="false" customHeight="false" outlineLevel="0" collapsed="false">
      <c r="A332" s="19" t="n">
        <f aca="false">Data!A332</f>
        <v>331</v>
      </c>
      <c r="B332" s="20" t="n">
        <f aca="false">IF(Data!B332="","",Data!B332)</f>
        <v>52</v>
      </c>
      <c r="C332" s="28" t="str">
        <f aca="false">IF(Data!C332="","",IFERROR(VLOOKUP(Data!C332,Codes!$A$6:$B$7,2,FALSE()),"Invalid ("&amp;Data!C332&amp;")"))</f>
        <v>Male</v>
      </c>
      <c r="D332" s="28" t="str">
        <f aca="false">IF(Data!D332="","",IFERROR(VLOOKUP(Data!D332,Codes!$A$11:$B$14,2,FALSE()),"Invalid ("&amp;Data!D332&amp;")"))</f>
        <v>Atypical angina</v>
      </c>
      <c r="E332" s="20" t="n">
        <f aca="false">IF(Data!E332="","",Data!E332)</f>
        <v>120</v>
      </c>
      <c r="F332" s="20" t="n">
        <f aca="false">IF(Data!F332="","",Data!F332)</f>
        <v>284</v>
      </c>
      <c r="G332" s="28" t="str">
        <f aca="false">IF(Data!G332="","",IFERROR(VLOOKUP(Data!G332,Codes!$A$18:$B$19,2,FALSE()),"Invalid ("&amp;Data!G332&amp;")"))</f>
        <v>No</v>
      </c>
      <c r="H332" s="28" t="str">
        <f aca="false">IF(Data!H332="","",IFERROR(VLOOKUP(Data!H332,Codes!$A$23:$B$25,2,FALSE()),"Invalid ("&amp;Data!H332&amp;")"))</f>
        <v>Normal</v>
      </c>
      <c r="I332" s="20" t="n">
        <f aca="false">IF(Data!I332="","",Data!I332)</f>
        <v>118</v>
      </c>
      <c r="J332" s="28" t="str">
        <f aca="false">IF(Data!J332="","",IFERROR(VLOOKUP(Data!J332,Codes!$A$29:$B$30,2,FALSE()),"Invalid ("&amp;Data!J332&amp;")"))</f>
        <v>No</v>
      </c>
      <c r="K332" s="21" t="n">
        <f aca="false">IF(Data!K332="","",Data!K332)</f>
        <v>0</v>
      </c>
      <c r="L332" s="28" t="str">
        <f aca="false">IF(Data!L332="","",IFERROR(VLOOKUP(Data!L332,Codes!$A$34:$B$36,2,FALSE()),"Invalid ("&amp;Data!L332&amp;")"))</f>
        <v/>
      </c>
      <c r="M332" s="20" t="str">
        <f aca="false">IF(Data!M332="","",Data!M332)</f>
        <v/>
      </c>
      <c r="N332" s="28" t="str">
        <f aca="false">IF(Data!N332="","",IFERROR(VLOOKUP(Data!N332,Codes!$A$47:$B$49,2,FALSE()),"Invalid ("&amp;Data!N332&amp;")"))</f>
        <v/>
      </c>
      <c r="O332" s="28" t="str">
        <f aca="false">IF(Data!O332="","",IFERROR(VLOOKUP(Data!O332,Codes!$A$53:$B$57,2,FALSE()),"Invalid ("&amp;Data!O332&amp;")"))</f>
        <v>No disease</v>
      </c>
      <c r="P332" s="22" t="str">
        <f aca="false">IF(Data!P332="","",IFERROR(VLOOKUP(Data!P332,Codes!$A$61:$B$64,2,FALSE()),"Invalid ("&amp;Data!P332&amp;")"))</f>
        <v>Hungarian Inst. of Cardiology, Budapest</v>
      </c>
    </row>
    <row r="333" customFormat="false" ht="15" hidden="false" customHeight="false" outlineLevel="0" collapsed="false">
      <c r="A333" s="19" t="n">
        <f aca="false">Data!A333</f>
        <v>332</v>
      </c>
      <c r="B333" s="20" t="n">
        <f aca="false">IF(Data!B333="","",Data!B333)</f>
        <v>53</v>
      </c>
      <c r="C333" s="28" t="str">
        <f aca="false">IF(Data!C333="","",IFERROR(VLOOKUP(Data!C333,Codes!$A$6:$B$7,2,FALSE()),"Invalid ("&amp;Data!C333&amp;")"))</f>
        <v>Female</v>
      </c>
      <c r="D333" s="28" t="str">
        <f aca="false">IF(Data!D333="","",IFERROR(VLOOKUP(Data!D333,Codes!$A$11:$B$14,2,FALSE()),"Invalid ("&amp;Data!D333&amp;")"))</f>
        <v>Atypical angina</v>
      </c>
      <c r="E333" s="20" t="n">
        <f aca="false">IF(Data!E333="","",Data!E333)</f>
        <v>113</v>
      </c>
      <c r="F333" s="20" t="n">
        <f aca="false">IF(Data!F333="","",Data!F333)</f>
        <v>468</v>
      </c>
      <c r="G333" s="28" t="str">
        <f aca="false">IF(Data!G333="","",IFERROR(VLOOKUP(Data!G333,Codes!$A$18:$B$19,2,FALSE()),"Invalid ("&amp;Data!G333&amp;")"))</f>
        <v/>
      </c>
      <c r="H333" s="28" t="str">
        <f aca="false">IF(Data!H333="","",IFERROR(VLOOKUP(Data!H333,Codes!$A$23:$B$25,2,FALSE()),"Invalid ("&amp;Data!H333&amp;")"))</f>
        <v>Normal</v>
      </c>
      <c r="I333" s="20" t="n">
        <f aca="false">IF(Data!I333="","",Data!I333)</f>
        <v>127</v>
      </c>
      <c r="J333" s="28" t="str">
        <f aca="false">IF(Data!J333="","",IFERROR(VLOOKUP(Data!J333,Codes!$A$29:$B$30,2,FALSE()),"Invalid ("&amp;Data!J333&amp;")"))</f>
        <v>No</v>
      </c>
      <c r="K333" s="21" t="n">
        <f aca="false">IF(Data!K333="","",Data!K333)</f>
        <v>0</v>
      </c>
      <c r="L333" s="28" t="str">
        <f aca="false">IF(Data!L333="","",IFERROR(VLOOKUP(Data!L333,Codes!$A$34:$B$36,2,FALSE()),"Invalid ("&amp;Data!L333&amp;")"))</f>
        <v/>
      </c>
      <c r="M333" s="20" t="str">
        <f aca="false">IF(Data!M333="","",Data!M333)</f>
        <v/>
      </c>
      <c r="N333" s="28" t="str">
        <f aca="false">IF(Data!N333="","",IFERROR(VLOOKUP(Data!N333,Codes!$A$47:$B$49,2,FALSE()),"Invalid ("&amp;Data!N333&amp;")"))</f>
        <v/>
      </c>
      <c r="O333" s="28" t="str">
        <f aca="false">IF(Data!O333="","",IFERROR(VLOOKUP(Data!O333,Codes!$A$53:$B$57,2,FALSE()),"Invalid ("&amp;Data!O333&amp;")"))</f>
        <v>No disease</v>
      </c>
      <c r="P333" s="22" t="str">
        <f aca="false">IF(Data!P333="","",IFERROR(VLOOKUP(Data!P333,Codes!$A$61:$B$64,2,FALSE()),"Invalid ("&amp;Data!P333&amp;")"))</f>
        <v>Hungarian Inst. of Cardiology, Budapest</v>
      </c>
    </row>
    <row r="334" customFormat="false" ht="15" hidden="false" customHeight="false" outlineLevel="0" collapsed="false">
      <c r="A334" s="19" t="n">
        <f aca="false">Data!A334</f>
        <v>333</v>
      </c>
      <c r="B334" s="20" t="n">
        <f aca="false">IF(Data!B334="","",Data!B334)</f>
        <v>51</v>
      </c>
      <c r="C334" s="28" t="str">
        <f aca="false">IF(Data!C334="","",IFERROR(VLOOKUP(Data!C334,Codes!$A$6:$B$7,2,FALSE()),"Invalid ("&amp;Data!C334&amp;")"))</f>
        <v>Male</v>
      </c>
      <c r="D334" s="28" t="str">
        <f aca="false">IF(Data!D334="","",IFERROR(VLOOKUP(Data!D334,Codes!$A$11:$B$14,2,FALSE()),"Invalid ("&amp;Data!D334&amp;")"))</f>
        <v>Atypical angina</v>
      </c>
      <c r="E334" s="20" t="n">
        <f aca="false">IF(Data!E334="","",Data!E334)</f>
        <v>125</v>
      </c>
      <c r="F334" s="20" t="n">
        <f aca="false">IF(Data!F334="","",Data!F334)</f>
        <v>188</v>
      </c>
      <c r="G334" s="28" t="str">
        <f aca="false">IF(Data!G334="","",IFERROR(VLOOKUP(Data!G334,Codes!$A$18:$B$19,2,FALSE()),"Invalid ("&amp;Data!G334&amp;")"))</f>
        <v>No</v>
      </c>
      <c r="H334" s="28" t="str">
        <f aca="false">IF(Data!H334="","",IFERROR(VLOOKUP(Data!H334,Codes!$A$23:$B$25,2,FALSE()),"Invalid ("&amp;Data!H334&amp;")"))</f>
        <v>Normal</v>
      </c>
      <c r="I334" s="20" t="n">
        <f aca="false">IF(Data!I334="","",Data!I334)</f>
        <v>145</v>
      </c>
      <c r="J334" s="28" t="str">
        <f aca="false">IF(Data!J334="","",IFERROR(VLOOKUP(Data!J334,Codes!$A$29:$B$30,2,FALSE()),"Invalid ("&amp;Data!J334&amp;")"))</f>
        <v>No</v>
      </c>
      <c r="K334" s="21" t="n">
        <f aca="false">IF(Data!K334="","",Data!K334)</f>
        <v>0</v>
      </c>
      <c r="L334" s="28" t="str">
        <f aca="false">IF(Data!L334="","",IFERROR(VLOOKUP(Data!L334,Codes!$A$34:$B$36,2,FALSE()),"Invalid ("&amp;Data!L334&amp;")"))</f>
        <v/>
      </c>
      <c r="M334" s="20" t="str">
        <f aca="false">IF(Data!M334="","",Data!M334)</f>
        <v/>
      </c>
      <c r="N334" s="28" t="str">
        <f aca="false">IF(Data!N334="","",IFERROR(VLOOKUP(Data!N334,Codes!$A$47:$B$49,2,FALSE()),"Invalid ("&amp;Data!N334&amp;")"))</f>
        <v/>
      </c>
      <c r="O334" s="28" t="str">
        <f aca="false">IF(Data!O334="","",IFERROR(VLOOKUP(Data!O334,Codes!$A$53:$B$57,2,FALSE()),"Invalid ("&amp;Data!O334&amp;")"))</f>
        <v>No disease</v>
      </c>
      <c r="P334" s="22" t="str">
        <f aca="false">IF(Data!P334="","",IFERROR(VLOOKUP(Data!P334,Codes!$A$61:$B$64,2,FALSE()),"Invalid ("&amp;Data!P334&amp;")"))</f>
        <v>Hungarian Inst. of Cardiology, Budapest</v>
      </c>
    </row>
    <row r="335" customFormat="false" ht="15" hidden="false" customHeight="false" outlineLevel="0" collapsed="false">
      <c r="A335" s="19" t="n">
        <f aca="false">Data!A335</f>
        <v>334</v>
      </c>
      <c r="B335" s="20" t="n">
        <f aca="false">IF(Data!B335="","",Data!B335)</f>
        <v>53</v>
      </c>
      <c r="C335" s="28" t="str">
        <f aca="false">IF(Data!C335="","",IFERROR(VLOOKUP(Data!C335,Codes!$A$6:$B$7,2,FALSE()),"Invalid ("&amp;Data!C335&amp;")"))</f>
        <v>Male</v>
      </c>
      <c r="D335" s="28" t="str">
        <f aca="false">IF(Data!D335="","",IFERROR(VLOOKUP(Data!D335,Codes!$A$11:$B$14,2,FALSE()),"Invalid ("&amp;Data!D335&amp;")"))</f>
        <v>Non-anginal pain</v>
      </c>
      <c r="E335" s="20" t="n">
        <f aca="false">IF(Data!E335="","",Data!E335)</f>
        <v>145</v>
      </c>
      <c r="F335" s="20" t="n">
        <f aca="false">IF(Data!F335="","",Data!F335)</f>
        <v>518</v>
      </c>
      <c r="G335" s="28" t="str">
        <f aca="false">IF(Data!G335="","",IFERROR(VLOOKUP(Data!G335,Codes!$A$18:$B$19,2,FALSE()),"Invalid ("&amp;Data!G335&amp;")"))</f>
        <v>No</v>
      </c>
      <c r="H335" s="28" t="str">
        <f aca="false">IF(Data!H335="","",IFERROR(VLOOKUP(Data!H335,Codes!$A$23:$B$25,2,FALSE()),"Invalid ("&amp;Data!H335&amp;")"))</f>
        <v>Normal</v>
      </c>
      <c r="I335" s="20" t="n">
        <f aca="false">IF(Data!I335="","",Data!I335)</f>
        <v>130</v>
      </c>
      <c r="J335" s="28" t="str">
        <f aca="false">IF(Data!J335="","",IFERROR(VLOOKUP(Data!J335,Codes!$A$29:$B$30,2,FALSE()),"Invalid ("&amp;Data!J335&amp;")"))</f>
        <v>No</v>
      </c>
      <c r="K335" s="21" t="n">
        <f aca="false">IF(Data!K335="","",Data!K335)</f>
        <v>0</v>
      </c>
      <c r="L335" s="28" t="str">
        <f aca="false">IF(Data!L335="","",IFERROR(VLOOKUP(Data!L335,Codes!$A$34:$B$36,2,FALSE()),"Invalid ("&amp;Data!L335&amp;")"))</f>
        <v/>
      </c>
      <c r="M335" s="20" t="str">
        <f aca="false">IF(Data!M335="","",Data!M335)</f>
        <v/>
      </c>
      <c r="N335" s="28" t="str">
        <f aca="false">IF(Data!N335="","",IFERROR(VLOOKUP(Data!N335,Codes!$A$47:$B$49,2,FALSE()),"Invalid ("&amp;Data!N335&amp;")"))</f>
        <v/>
      </c>
      <c r="O335" s="28" t="str">
        <f aca="false">IF(Data!O335="","",IFERROR(VLOOKUP(Data!O335,Codes!$A$53:$B$57,2,FALSE()),"Invalid ("&amp;Data!O335&amp;")"))</f>
        <v>Disease (3)</v>
      </c>
      <c r="P335" s="22" t="str">
        <f aca="false">IF(Data!P335="","",IFERROR(VLOOKUP(Data!P335,Codes!$A$61:$B$64,2,FALSE()),"Invalid ("&amp;Data!P335&amp;")"))</f>
        <v>Hungarian Inst. of Cardiology, Budapest</v>
      </c>
    </row>
    <row r="336" customFormat="false" ht="15" hidden="false" customHeight="false" outlineLevel="0" collapsed="false">
      <c r="A336" s="19" t="n">
        <f aca="false">Data!A336</f>
        <v>335</v>
      </c>
      <c r="B336" s="20" t="n">
        <f aca="false">IF(Data!B336="","",Data!B336)</f>
        <v>56</v>
      </c>
      <c r="C336" s="28" t="str">
        <f aca="false">IF(Data!C336="","",IFERROR(VLOOKUP(Data!C336,Codes!$A$6:$B$7,2,FALSE()),"Invalid ("&amp;Data!C336&amp;")"))</f>
        <v>Male</v>
      </c>
      <c r="D336" s="28" t="str">
        <f aca="false">IF(Data!D336="","",IFERROR(VLOOKUP(Data!D336,Codes!$A$11:$B$14,2,FALSE()),"Invalid ("&amp;Data!D336&amp;")"))</f>
        <v>Non-anginal pain</v>
      </c>
      <c r="E336" s="20" t="n">
        <f aca="false">IF(Data!E336="","",Data!E336)</f>
        <v>130</v>
      </c>
      <c r="F336" s="20" t="str">
        <f aca="false">IF(Data!F336="","",Data!F336)</f>
        <v/>
      </c>
      <c r="G336" s="28" t="str">
        <f aca="false">IF(Data!G336="","",IFERROR(VLOOKUP(Data!G336,Codes!$A$18:$B$19,2,FALSE()),"Invalid ("&amp;Data!G336&amp;")"))</f>
        <v>No</v>
      </c>
      <c r="H336" s="28" t="str">
        <f aca="false">IF(Data!H336="","",IFERROR(VLOOKUP(Data!H336,Codes!$A$23:$B$25,2,FALSE()),"Invalid ("&amp;Data!H336&amp;")"))</f>
        <v>Normal</v>
      </c>
      <c r="I336" s="20" t="n">
        <f aca="false">IF(Data!I336="","",Data!I336)</f>
        <v>114</v>
      </c>
      <c r="J336" s="28" t="str">
        <f aca="false">IF(Data!J336="","",IFERROR(VLOOKUP(Data!J336,Codes!$A$29:$B$30,2,FALSE()),"Invalid ("&amp;Data!J336&amp;")"))</f>
        <v>No</v>
      </c>
      <c r="K336" s="21" t="n">
        <f aca="false">IF(Data!K336="","",Data!K336)</f>
        <v>0</v>
      </c>
      <c r="L336" s="28" t="str">
        <f aca="false">IF(Data!L336="","",IFERROR(VLOOKUP(Data!L336,Codes!$A$34:$B$36,2,FALSE()),"Invalid ("&amp;Data!L336&amp;")"))</f>
        <v/>
      </c>
      <c r="M336" s="20" t="str">
        <f aca="false">IF(Data!M336="","",Data!M336)</f>
        <v/>
      </c>
      <c r="N336" s="28" t="str">
        <f aca="false">IF(Data!N336="","",IFERROR(VLOOKUP(Data!N336,Codes!$A$47:$B$49,2,FALSE()),"Invalid ("&amp;Data!N336&amp;")"))</f>
        <v/>
      </c>
      <c r="O336" s="28" t="str">
        <f aca="false">IF(Data!O336="","",IFERROR(VLOOKUP(Data!O336,Codes!$A$53:$B$57,2,FALSE()),"Invalid ("&amp;Data!O336&amp;")"))</f>
        <v>No disease</v>
      </c>
      <c r="P336" s="22" t="str">
        <f aca="false">IF(Data!P336="","",IFERROR(VLOOKUP(Data!P336,Codes!$A$61:$B$64,2,FALSE()),"Invalid ("&amp;Data!P336&amp;")"))</f>
        <v>Hungarian Inst. of Cardiology, Budapest</v>
      </c>
    </row>
    <row r="337" customFormat="false" ht="15" hidden="false" customHeight="false" outlineLevel="0" collapsed="false">
      <c r="A337" s="19" t="n">
        <f aca="false">Data!A337</f>
        <v>336</v>
      </c>
      <c r="B337" s="20" t="n">
        <f aca="false">IF(Data!B337="","",Data!B337)</f>
        <v>54</v>
      </c>
      <c r="C337" s="28" t="str">
        <f aca="false">IF(Data!C337="","",IFERROR(VLOOKUP(Data!C337,Codes!$A$6:$B$7,2,FALSE()),"Invalid ("&amp;Data!C337&amp;")"))</f>
        <v>Male</v>
      </c>
      <c r="D337" s="28" t="str">
        <f aca="false">IF(Data!D337="","",IFERROR(VLOOKUP(Data!D337,Codes!$A$11:$B$14,2,FALSE()),"Invalid ("&amp;Data!D337&amp;")"))</f>
        <v>Asymptomatic</v>
      </c>
      <c r="E337" s="20" t="n">
        <f aca="false">IF(Data!E337="","",Data!E337)</f>
        <v>125</v>
      </c>
      <c r="F337" s="20" t="n">
        <f aca="false">IF(Data!F337="","",Data!F337)</f>
        <v>224</v>
      </c>
      <c r="G337" s="28" t="str">
        <f aca="false">IF(Data!G337="","",IFERROR(VLOOKUP(Data!G337,Codes!$A$18:$B$19,2,FALSE()),"Invalid ("&amp;Data!G337&amp;")"))</f>
        <v>No</v>
      </c>
      <c r="H337" s="28" t="str">
        <f aca="false">IF(Data!H337="","",IFERROR(VLOOKUP(Data!H337,Codes!$A$23:$B$25,2,FALSE()),"Invalid ("&amp;Data!H337&amp;")"))</f>
        <v>Normal</v>
      </c>
      <c r="I337" s="20" t="n">
        <f aca="false">IF(Data!I337="","",Data!I337)</f>
        <v>122</v>
      </c>
      <c r="J337" s="28" t="str">
        <f aca="false">IF(Data!J337="","",IFERROR(VLOOKUP(Data!J337,Codes!$A$29:$B$30,2,FALSE()),"Invalid ("&amp;Data!J337&amp;")"))</f>
        <v>No</v>
      </c>
      <c r="K337" s="21" t="n">
        <f aca="false">IF(Data!K337="","",Data!K337)</f>
        <v>2</v>
      </c>
      <c r="L337" s="28" t="str">
        <f aca="false">IF(Data!L337="","",IFERROR(VLOOKUP(Data!L337,Codes!$A$34:$B$36,2,FALSE()),"Invalid ("&amp;Data!L337&amp;")"))</f>
        <v>Flat</v>
      </c>
      <c r="M337" s="20" t="str">
        <f aca="false">IF(Data!M337="","",Data!M337)</f>
        <v/>
      </c>
      <c r="N337" s="28" t="str">
        <f aca="false">IF(Data!N337="","",IFERROR(VLOOKUP(Data!N337,Codes!$A$47:$B$49,2,FALSE()),"Invalid ("&amp;Data!N337&amp;")"))</f>
        <v/>
      </c>
      <c r="O337" s="28" t="str">
        <f aca="false">IF(Data!O337="","",IFERROR(VLOOKUP(Data!O337,Codes!$A$53:$B$57,2,FALSE()),"Invalid ("&amp;Data!O337&amp;")"))</f>
        <v>Disease (1)</v>
      </c>
      <c r="P337" s="22" t="str">
        <f aca="false">IF(Data!P337="","",IFERROR(VLOOKUP(Data!P337,Codes!$A$61:$B$64,2,FALSE()),"Invalid ("&amp;Data!P337&amp;")"))</f>
        <v>Hungarian Inst. of Cardiology, Budapest</v>
      </c>
    </row>
    <row r="338" customFormat="false" ht="15" hidden="false" customHeight="false" outlineLevel="0" collapsed="false">
      <c r="A338" s="19" t="n">
        <f aca="false">Data!A338</f>
        <v>337</v>
      </c>
      <c r="B338" s="20" t="n">
        <f aca="false">IF(Data!B338="","",Data!B338)</f>
        <v>41</v>
      </c>
      <c r="C338" s="28" t="str">
        <f aca="false">IF(Data!C338="","",IFERROR(VLOOKUP(Data!C338,Codes!$A$6:$B$7,2,FALSE()),"Invalid ("&amp;Data!C338&amp;")"))</f>
        <v>Male</v>
      </c>
      <c r="D338" s="28" t="str">
        <f aca="false">IF(Data!D338="","",IFERROR(VLOOKUP(Data!D338,Codes!$A$11:$B$14,2,FALSE()),"Invalid ("&amp;Data!D338&amp;")"))</f>
        <v>Asymptomatic</v>
      </c>
      <c r="E338" s="20" t="n">
        <f aca="false">IF(Data!E338="","",Data!E338)</f>
        <v>130</v>
      </c>
      <c r="F338" s="20" t="n">
        <f aca="false">IF(Data!F338="","",Data!F338)</f>
        <v>172</v>
      </c>
      <c r="G338" s="28" t="str">
        <f aca="false">IF(Data!G338="","",IFERROR(VLOOKUP(Data!G338,Codes!$A$18:$B$19,2,FALSE()),"Invalid ("&amp;Data!G338&amp;")"))</f>
        <v>No</v>
      </c>
      <c r="H338" s="28" t="str">
        <f aca="false">IF(Data!H338="","",IFERROR(VLOOKUP(Data!H338,Codes!$A$23:$B$25,2,FALSE()),"Invalid ("&amp;Data!H338&amp;")"))</f>
        <v>ST-T wave abnormality</v>
      </c>
      <c r="I338" s="20" t="n">
        <f aca="false">IF(Data!I338="","",Data!I338)</f>
        <v>130</v>
      </c>
      <c r="J338" s="28" t="str">
        <f aca="false">IF(Data!J338="","",IFERROR(VLOOKUP(Data!J338,Codes!$A$29:$B$30,2,FALSE()),"Invalid ("&amp;Data!J338&amp;")"))</f>
        <v>No</v>
      </c>
      <c r="K338" s="21" t="n">
        <f aca="false">IF(Data!K338="","",Data!K338)</f>
        <v>2</v>
      </c>
      <c r="L338" s="28" t="str">
        <f aca="false">IF(Data!L338="","",IFERROR(VLOOKUP(Data!L338,Codes!$A$34:$B$36,2,FALSE()),"Invalid ("&amp;Data!L338&amp;")"))</f>
        <v>Flat</v>
      </c>
      <c r="M338" s="20" t="str">
        <f aca="false">IF(Data!M338="","",Data!M338)</f>
        <v/>
      </c>
      <c r="N338" s="28" t="str">
        <f aca="false">IF(Data!N338="","",IFERROR(VLOOKUP(Data!N338,Codes!$A$47:$B$49,2,FALSE()),"Invalid ("&amp;Data!N338&amp;")"))</f>
        <v/>
      </c>
      <c r="O338" s="28" t="str">
        <f aca="false">IF(Data!O338="","",IFERROR(VLOOKUP(Data!O338,Codes!$A$53:$B$57,2,FALSE()),"Invalid ("&amp;Data!O338&amp;")"))</f>
        <v>Disease (3)</v>
      </c>
      <c r="P338" s="22" t="str">
        <f aca="false">IF(Data!P338="","",IFERROR(VLOOKUP(Data!P338,Codes!$A$61:$B$64,2,FALSE()),"Invalid ("&amp;Data!P338&amp;")"))</f>
        <v>Hungarian Inst. of Cardiology, Budapest</v>
      </c>
    </row>
    <row r="339" customFormat="false" ht="15" hidden="false" customHeight="false" outlineLevel="0" collapsed="false">
      <c r="A339" s="19" t="n">
        <f aca="false">Data!A339</f>
        <v>338</v>
      </c>
      <c r="B339" s="20" t="n">
        <f aca="false">IF(Data!B339="","",Data!B339)</f>
        <v>43</v>
      </c>
      <c r="C339" s="28" t="str">
        <f aca="false">IF(Data!C339="","",IFERROR(VLOOKUP(Data!C339,Codes!$A$6:$B$7,2,FALSE()),"Invalid ("&amp;Data!C339&amp;")"))</f>
        <v>Female</v>
      </c>
      <c r="D339" s="28" t="str">
        <f aca="false">IF(Data!D339="","",IFERROR(VLOOKUP(Data!D339,Codes!$A$11:$B$14,2,FALSE()),"Invalid ("&amp;Data!D339&amp;")"))</f>
        <v>Atypical angina</v>
      </c>
      <c r="E339" s="20" t="n">
        <f aca="false">IF(Data!E339="","",Data!E339)</f>
        <v>150</v>
      </c>
      <c r="F339" s="20" t="n">
        <f aca="false">IF(Data!F339="","",Data!F339)</f>
        <v>186</v>
      </c>
      <c r="G339" s="28" t="str">
        <f aca="false">IF(Data!G339="","",IFERROR(VLOOKUP(Data!G339,Codes!$A$18:$B$19,2,FALSE()),"Invalid ("&amp;Data!G339&amp;")"))</f>
        <v>No</v>
      </c>
      <c r="H339" s="28" t="str">
        <f aca="false">IF(Data!H339="","",IFERROR(VLOOKUP(Data!H339,Codes!$A$23:$B$25,2,FALSE()),"Invalid ("&amp;Data!H339&amp;")"))</f>
        <v>Normal</v>
      </c>
      <c r="I339" s="20" t="n">
        <f aca="false">IF(Data!I339="","",Data!I339)</f>
        <v>154</v>
      </c>
      <c r="J339" s="28" t="str">
        <f aca="false">IF(Data!J339="","",IFERROR(VLOOKUP(Data!J339,Codes!$A$29:$B$30,2,FALSE()),"Invalid ("&amp;Data!J339&amp;")"))</f>
        <v>No</v>
      </c>
      <c r="K339" s="21" t="n">
        <f aca="false">IF(Data!K339="","",Data!K339)</f>
        <v>0</v>
      </c>
      <c r="L339" s="28" t="str">
        <f aca="false">IF(Data!L339="","",IFERROR(VLOOKUP(Data!L339,Codes!$A$34:$B$36,2,FALSE()),"Invalid ("&amp;Data!L339&amp;")"))</f>
        <v/>
      </c>
      <c r="M339" s="20" t="str">
        <f aca="false">IF(Data!M339="","",Data!M339)</f>
        <v/>
      </c>
      <c r="N339" s="28" t="str">
        <f aca="false">IF(Data!N339="","",IFERROR(VLOOKUP(Data!N339,Codes!$A$47:$B$49,2,FALSE()),"Invalid ("&amp;Data!N339&amp;")"))</f>
        <v/>
      </c>
      <c r="O339" s="28" t="str">
        <f aca="false">IF(Data!O339="","",IFERROR(VLOOKUP(Data!O339,Codes!$A$53:$B$57,2,FALSE()),"Invalid ("&amp;Data!O339&amp;")"))</f>
        <v>No disease</v>
      </c>
      <c r="P339" s="22" t="str">
        <f aca="false">IF(Data!P339="","",IFERROR(VLOOKUP(Data!P339,Codes!$A$61:$B$64,2,FALSE()),"Invalid ("&amp;Data!P339&amp;")"))</f>
        <v>Hungarian Inst. of Cardiology, Budapest</v>
      </c>
    </row>
    <row r="340" customFormat="false" ht="15" hidden="false" customHeight="false" outlineLevel="0" collapsed="false">
      <c r="A340" s="19" t="n">
        <f aca="false">Data!A340</f>
        <v>339</v>
      </c>
      <c r="B340" s="20" t="n">
        <f aca="false">IF(Data!B340="","",Data!B340)</f>
        <v>32</v>
      </c>
      <c r="C340" s="28" t="str">
        <f aca="false">IF(Data!C340="","",IFERROR(VLOOKUP(Data!C340,Codes!$A$6:$B$7,2,FALSE()),"Invalid ("&amp;Data!C340&amp;")"))</f>
        <v>Male</v>
      </c>
      <c r="D340" s="28" t="str">
        <f aca="false">IF(Data!D340="","",IFERROR(VLOOKUP(Data!D340,Codes!$A$11:$B$14,2,FALSE()),"Invalid ("&amp;Data!D340&amp;")"))</f>
        <v>Atypical angina</v>
      </c>
      <c r="E340" s="20" t="n">
        <f aca="false">IF(Data!E340="","",Data!E340)</f>
        <v>125</v>
      </c>
      <c r="F340" s="20" t="n">
        <f aca="false">IF(Data!F340="","",Data!F340)</f>
        <v>254</v>
      </c>
      <c r="G340" s="28" t="str">
        <f aca="false">IF(Data!G340="","",IFERROR(VLOOKUP(Data!G340,Codes!$A$18:$B$19,2,FALSE()),"Invalid ("&amp;Data!G340&amp;")"))</f>
        <v>No</v>
      </c>
      <c r="H340" s="28" t="str">
        <f aca="false">IF(Data!H340="","",IFERROR(VLOOKUP(Data!H340,Codes!$A$23:$B$25,2,FALSE()),"Invalid ("&amp;Data!H340&amp;")"))</f>
        <v>Normal</v>
      </c>
      <c r="I340" s="20" t="n">
        <f aca="false">IF(Data!I340="","",Data!I340)</f>
        <v>155</v>
      </c>
      <c r="J340" s="28" t="str">
        <f aca="false">IF(Data!J340="","",IFERROR(VLOOKUP(Data!J340,Codes!$A$29:$B$30,2,FALSE()),"Invalid ("&amp;Data!J340&amp;")"))</f>
        <v>No</v>
      </c>
      <c r="K340" s="21" t="n">
        <f aca="false">IF(Data!K340="","",Data!K340)</f>
        <v>0</v>
      </c>
      <c r="L340" s="28" t="str">
        <f aca="false">IF(Data!L340="","",IFERROR(VLOOKUP(Data!L340,Codes!$A$34:$B$36,2,FALSE()),"Invalid ("&amp;Data!L340&amp;")"))</f>
        <v/>
      </c>
      <c r="M340" s="20" t="str">
        <f aca="false">IF(Data!M340="","",Data!M340)</f>
        <v/>
      </c>
      <c r="N340" s="28" t="str">
        <f aca="false">IF(Data!N340="","",IFERROR(VLOOKUP(Data!N340,Codes!$A$47:$B$49,2,FALSE()),"Invalid ("&amp;Data!N340&amp;")"))</f>
        <v/>
      </c>
      <c r="O340" s="28" t="str">
        <f aca="false">IF(Data!O340="","",IFERROR(VLOOKUP(Data!O340,Codes!$A$53:$B$57,2,FALSE()),"Invalid ("&amp;Data!O340&amp;")"))</f>
        <v>No disease</v>
      </c>
      <c r="P340" s="22" t="str">
        <f aca="false">IF(Data!P340="","",IFERROR(VLOOKUP(Data!P340,Codes!$A$61:$B$64,2,FALSE()),"Invalid ("&amp;Data!P340&amp;")"))</f>
        <v>Hungarian Inst. of Cardiology, Budapest</v>
      </c>
    </row>
    <row r="341" customFormat="false" ht="15" hidden="false" customHeight="false" outlineLevel="0" collapsed="false">
      <c r="A341" s="19" t="n">
        <f aca="false">Data!A341</f>
        <v>340</v>
      </c>
      <c r="B341" s="20" t="n">
        <f aca="false">IF(Data!B341="","",Data!B341)</f>
        <v>65</v>
      </c>
      <c r="C341" s="28" t="str">
        <f aca="false">IF(Data!C341="","",IFERROR(VLOOKUP(Data!C341,Codes!$A$6:$B$7,2,FALSE()),"Invalid ("&amp;Data!C341&amp;")"))</f>
        <v>Male</v>
      </c>
      <c r="D341" s="28" t="str">
        <f aca="false">IF(Data!D341="","",IFERROR(VLOOKUP(Data!D341,Codes!$A$11:$B$14,2,FALSE()),"Invalid ("&amp;Data!D341&amp;")"))</f>
        <v>Asymptomatic</v>
      </c>
      <c r="E341" s="20" t="n">
        <f aca="false">IF(Data!E341="","",Data!E341)</f>
        <v>140</v>
      </c>
      <c r="F341" s="20" t="n">
        <f aca="false">IF(Data!F341="","",Data!F341)</f>
        <v>306</v>
      </c>
      <c r="G341" s="28" t="str">
        <f aca="false">IF(Data!G341="","",IFERROR(VLOOKUP(Data!G341,Codes!$A$18:$B$19,2,FALSE()),"Invalid ("&amp;Data!G341&amp;")"))</f>
        <v>Yes</v>
      </c>
      <c r="H341" s="28" t="str">
        <f aca="false">IF(Data!H341="","",IFERROR(VLOOKUP(Data!H341,Codes!$A$23:$B$25,2,FALSE()),"Invalid ("&amp;Data!H341&amp;")"))</f>
        <v>Normal</v>
      </c>
      <c r="I341" s="20" t="n">
        <f aca="false">IF(Data!I341="","",Data!I341)</f>
        <v>87</v>
      </c>
      <c r="J341" s="28" t="str">
        <f aca="false">IF(Data!J341="","",IFERROR(VLOOKUP(Data!J341,Codes!$A$29:$B$30,2,FALSE()),"Invalid ("&amp;Data!J341&amp;")"))</f>
        <v>Yes</v>
      </c>
      <c r="K341" s="21" t="n">
        <f aca="false">IF(Data!K341="","",Data!K341)</f>
        <v>1.5</v>
      </c>
      <c r="L341" s="28" t="str">
        <f aca="false">IF(Data!L341="","",IFERROR(VLOOKUP(Data!L341,Codes!$A$34:$B$36,2,FALSE()),"Invalid ("&amp;Data!L341&amp;")"))</f>
        <v>Flat</v>
      </c>
      <c r="M341" s="20" t="str">
        <f aca="false">IF(Data!M341="","",Data!M341)</f>
        <v/>
      </c>
      <c r="N341" s="28" t="str">
        <f aca="false">IF(Data!N341="","",IFERROR(VLOOKUP(Data!N341,Codes!$A$47:$B$49,2,FALSE()),"Invalid ("&amp;Data!N341&amp;")"))</f>
        <v/>
      </c>
      <c r="O341" s="28" t="str">
        <f aca="false">IF(Data!O341="","",IFERROR(VLOOKUP(Data!O341,Codes!$A$53:$B$57,2,FALSE()),"Invalid ("&amp;Data!O341&amp;")"))</f>
        <v>Disease (1)</v>
      </c>
      <c r="P341" s="22" t="str">
        <f aca="false">IF(Data!P341="","",IFERROR(VLOOKUP(Data!P341,Codes!$A$61:$B$64,2,FALSE()),"Invalid ("&amp;Data!P341&amp;")"))</f>
        <v>Hungarian Inst. of Cardiology, Budapest</v>
      </c>
    </row>
    <row r="342" customFormat="false" ht="15" hidden="false" customHeight="false" outlineLevel="0" collapsed="false">
      <c r="A342" s="19" t="n">
        <f aca="false">Data!A342</f>
        <v>341</v>
      </c>
      <c r="B342" s="20" t="n">
        <f aca="false">IF(Data!B342="","",Data!B342)</f>
        <v>41</v>
      </c>
      <c r="C342" s="28" t="str">
        <f aca="false">IF(Data!C342="","",IFERROR(VLOOKUP(Data!C342,Codes!$A$6:$B$7,2,FALSE()),"Invalid ("&amp;Data!C342&amp;")"))</f>
        <v>Female</v>
      </c>
      <c r="D342" s="28" t="str">
        <f aca="false">IF(Data!D342="","",IFERROR(VLOOKUP(Data!D342,Codes!$A$11:$B$14,2,FALSE()),"Invalid ("&amp;Data!D342&amp;")"))</f>
        <v>Atypical angina</v>
      </c>
      <c r="E342" s="20" t="n">
        <f aca="false">IF(Data!E342="","",Data!E342)</f>
        <v>110</v>
      </c>
      <c r="F342" s="20" t="n">
        <f aca="false">IF(Data!F342="","",Data!F342)</f>
        <v>250</v>
      </c>
      <c r="G342" s="28" t="str">
        <f aca="false">IF(Data!G342="","",IFERROR(VLOOKUP(Data!G342,Codes!$A$18:$B$19,2,FALSE()),"Invalid ("&amp;Data!G342&amp;")"))</f>
        <v>No</v>
      </c>
      <c r="H342" s="28" t="str">
        <f aca="false">IF(Data!H342="","",IFERROR(VLOOKUP(Data!H342,Codes!$A$23:$B$25,2,FALSE()),"Invalid ("&amp;Data!H342&amp;")"))</f>
        <v>ST-T wave abnormality</v>
      </c>
      <c r="I342" s="20" t="n">
        <f aca="false">IF(Data!I342="","",Data!I342)</f>
        <v>142</v>
      </c>
      <c r="J342" s="28" t="str">
        <f aca="false">IF(Data!J342="","",IFERROR(VLOOKUP(Data!J342,Codes!$A$29:$B$30,2,FALSE()),"Invalid ("&amp;Data!J342&amp;")"))</f>
        <v>No</v>
      </c>
      <c r="K342" s="21" t="n">
        <f aca="false">IF(Data!K342="","",Data!K342)</f>
        <v>0</v>
      </c>
      <c r="L342" s="28" t="str">
        <f aca="false">IF(Data!L342="","",IFERROR(VLOOKUP(Data!L342,Codes!$A$34:$B$36,2,FALSE()),"Invalid ("&amp;Data!L342&amp;")"))</f>
        <v/>
      </c>
      <c r="M342" s="20" t="str">
        <f aca="false">IF(Data!M342="","",Data!M342)</f>
        <v/>
      </c>
      <c r="N342" s="28" t="str">
        <f aca="false">IF(Data!N342="","",IFERROR(VLOOKUP(Data!N342,Codes!$A$47:$B$49,2,FALSE()),"Invalid ("&amp;Data!N342&amp;")"))</f>
        <v/>
      </c>
      <c r="O342" s="28" t="str">
        <f aca="false">IF(Data!O342="","",IFERROR(VLOOKUP(Data!O342,Codes!$A$53:$B$57,2,FALSE()),"Invalid ("&amp;Data!O342&amp;")"))</f>
        <v>No disease</v>
      </c>
      <c r="P342" s="22" t="str">
        <f aca="false">IF(Data!P342="","",IFERROR(VLOOKUP(Data!P342,Codes!$A$61:$B$64,2,FALSE()),"Invalid ("&amp;Data!P342&amp;")"))</f>
        <v>Hungarian Inst. of Cardiology, Budapest</v>
      </c>
    </row>
    <row r="343" customFormat="false" ht="15" hidden="false" customHeight="false" outlineLevel="0" collapsed="false">
      <c r="A343" s="19" t="n">
        <f aca="false">Data!A343</f>
        <v>342</v>
      </c>
      <c r="B343" s="20" t="n">
        <f aca="false">IF(Data!B343="","",Data!B343)</f>
        <v>48</v>
      </c>
      <c r="C343" s="28" t="str">
        <f aca="false">IF(Data!C343="","",IFERROR(VLOOKUP(Data!C343,Codes!$A$6:$B$7,2,FALSE()),"Invalid ("&amp;Data!C343&amp;")"))</f>
        <v>Female</v>
      </c>
      <c r="D343" s="28" t="str">
        <f aca="false">IF(Data!D343="","",IFERROR(VLOOKUP(Data!D343,Codes!$A$11:$B$14,2,FALSE()),"Invalid ("&amp;Data!D343&amp;")"))</f>
        <v>Atypical angina</v>
      </c>
      <c r="E343" s="20" t="n">
        <f aca="false">IF(Data!E343="","",Data!E343)</f>
        <v>120</v>
      </c>
      <c r="F343" s="20" t="str">
        <f aca="false">IF(Data!F343="","",Data!F343)</f>
        <v/>
      </c>
      <c r="G343" s="28" t="str">
        <f aca="false">IF(Data!G343="","",IFERROR(VLOOKUP(Data!G343,Codes!$A$18:$B$19,2,FALSE()),"Invalid ("&amp;Data!G343&amp;")"))</f>
        <v>Yes</v>
      </c>
      <c r="H343" s="28" t="str">
        <f aca="false">IF(Data!H343="","",IFERROR(VLOOKUP(Data!H343,Codes!$A$23:$B$25,2,FALSE()),"Invalid ("&amp;Data!H343&amp;")"))</f>
        <v>ST-T wave abnormality</v>
      </c>
      <c r="I343" s="20" t="n">
        <f aca="false">IF(Data!I343="","",Data!I343)</f>
        <v>148</v>
      </c>
      <c r="J343" s="28" t="str">
        <f aca="false">IF(Data!J343="","",IFERROR(VLOOKUP(Data!J343,Codes!$A$29:$B$30,2,FALSE()),"Invalid ("&amp;Data!J343&amp;")"))</f>
        <v>No</v>
      </c>
      <c r="K343" s="21" t="n">
        <f aca="false">IF(Data!K343="","",Data!K343)</f>
        <v>0</v>
      </c>
      <c r="L343" s="28" t="str">
        <f aca="false">IF(Data!L343="","",IFERROR(VLOOKUP(Data!L343,Codes!$A$34:$B$36,2,FALSE()),"Invalid ("&amp;Data!L343&amp;")"))</f>
        <v/>
      </c>
      <c r="M343" s="20" t="str">
        <f aca="false">IF(Data!M343="","",Data!M343)</f>
        <v/>
      </c>
      <c r="N343" s="28" t="str">
        <f aca="false">IF(Data!N343="","",IFERROR(VLOOKUP(Data!N343,Codes!$A$47:$B$49,2,FALSE()),"Invalid ("&amp;Data!N343&amp;")"))</f>
        <v/>
      </c>
      <c r="O343" s="28" t="str">
        <f aca="false">IF(Data!O343="","",IFERROR(VLOOKUP(Data!O343,Codes!$A$53:$B$57,2,FALSE()),"Invalid ("&amp;Data!O343&amp;")"))</f>
        <v>No disease</v>
      </c>
      <c r="P343" s="22" t="str">
        <f aca="false">IF(Data!P343="","",IFERROR(VLOOKUP(Data!P343,Codes!$A$61:$B$64,2,FALSE()),"Invalid ("&amp;Data!P343&amp;")"))</f>
        <v>Hungarian Inst. of Cardiology, Budapest</v>
      </c>
    </row>
    <row r="344" customFormat="false" ht="15" hidden="false" customHeight="false" outlineLevel="0" collapsed="false">
      <c r="A344" s="19" t="n">
        <f aca="false">Data!A344</f>
        <v>343</v>
      </c>
      <c r="B344" s="20" t="n">
        <f aca="false">IF(Data!B344="","",Data!B344)</f>
        <v>48</v>
      </c>
      <c r="C344" s="28" t="str">
        <f aca="false">IF(Data!C344="","",IFERROR(VLOOKUP(Data!C344,Codes!$A$6:$B$7,2,FALSE()),"Invalid ("&amp;Data!C344&amp;")"))</f>
        <v>Female</v>
      </c>
      <c r="D344" s="28" t="str">
        <f aca="false">IF(Data!D344="","",IFERROR(VLOOKUP(Data!D344,Codes!$A$11:$B$14,2,FALSE()),"Invalid ("&amp;Data!D344&amp;")"))</f>
        <v>Asymptomatic</v>
      </c>
      <c r="E344" s="20" t="n">
        <f aca="false">IF(Data!E344="","",Data!E344)</f>
        <v>150</v>
      </c>
      <c r="F344" s="20" t="n">
        <f aca="false">IF(Data!F344="","",Data!F344)</f>
        <v>227</v>
      </c>
      <c r="G344" s="28" t="str">
        <f aca="false">IF(Data!G344="","",IFERROR(VLOOKUP(Data!G344,Codes!$A$18:$B$19,2,FALSE()),"Invalid ("&amp;Data!G344&amp;")"))</f>
        <v>No</v>
      </c>
      <c r="H344" s="28" t="str">
        <f aca="false">IF(Data!H344="","",IFERROR(VLOOKUP(Data!H344,Codes!$A$23:$B$25,2,FALSE()),"Invalid ("&amp;Data!H344&amp;")"))</f>
        <v>Normal</v>
      </c>
      <c r="I344" s="20" t="n">
        <f aca="false">IF(Data!I344="","",Data!I344)</f>
        <v>130</v>
      </c>
      <c r="J344" s="28" t="str">
        <f aca="false">IF(Data!J344="","",IFERROR(VLOOKUP(Data!J344,Codes!$A$29:$B$30,2,FALSE()),"Invalid ("&amp;Data!J344&amp;")"))</f>
        <v>Yes</v>
      </c>
      <c r="K344" s="21" t="n">
        <f aca="false">IF(Data!K344="","",Data!K344)</f>
        <v>1</v>
      </c>
      <c r="L344" s="28" t="str">
        <f aca="false">IF(Data!L344="","",IFERROR(VLOOKUP(Data!L344,Codes!$A$34:$B$36,2,FALSE()),"Invalid ("&amp;Data!L344&amp;")"))</f>
        <v>Flat</v>
      </c>
      <c r="M344" s="20" t="n">
        <f aca="false">IF(Data!M344="","",Data!M344)</f>
        <v>9</v>
      </c>
      <c r="N344" s="28" t="str">
        <f aca="false">IF(Data!N344="","",IFERROR(VLOOKUP(Data!N344,Codes!$A$47:$B$49,2,FALSE()),"Invalid ("&amp;Data!N344&amp;")"))</f>
        <v/>
      </c>
      <c r="O344" s="28" t="str">
        <f aca="false">IF(Data!O344="","",IFERROR(VLOOKUP(Data!O344,Codes!$A$53:$B$57,2,FALSE()),"Invalid ("&amp;Data!O344&amp;")"))</f>
        <v>No disease</v>
      </c>
      <c r="P344" s="22" t="str">
        <f aca="false">IF(Data!P344="","",IFERROR(VLOOKUP(Data!P344,Codes!$A$61:$B$64,2,FALSE()),"Invalid ("&amp;Data!P344&amp;")"))</f>
        <v>Hungarian Inst. of Cardiology, Budapest</v>
      </c>
    </row>
    <row r="345" customFormat="false" ht="15" hidden="false" customHeight="false" outlineLevel="0" collapsed="false">
      <c r="A345" s="19" t="n">
        <f aca="false">Data!A345</f>
        <v>344</v>
      </c>
      <c r="B345" s="20" t="n">
        <f aca="false">IF(Data!B345="","",Data!B345)</f>
        <v>54</v>
      </c>
      <c r="C345" s="28" t="str">
        <f aca="false">IF(Data!C345="","",IFERROR(VLOOKUP(Data!C345,Codes!$A$6:$B$7,2,FALSE()),"Invalid ("&amp;Data!C345&amp;")"))</f>
        <v>Female</v>
      </c>
      <c r="D345" s="28" t="str">
        <f aca="false">IF(Data!D345="","",IFERROR(VLOOKUP(Data!D345,Codes!$A$11:$B$14,2,FALSE()),"Invalid ("&amp;Data!D345&amp;")"))</f>
        <v>Atypical angina</v>
      </c>
      <c r="E345" s="20" t="n">
        <f aca="false">IF(Data!E345="","",Data!E345)</f>
        <v>150</v>
      </c>
      <c r="F345" s="20" t="n">
        <f aca="false">IF(Data!F345="","",Data!F345)</f>
        <v>230</v>
      </c>
      <c r="G345" s="28" t="str">
        <f aca="false">IF(Data!G345="","",IFERROR(VLOOKUP(Data!G345,Codes!$A$18:$B$19,2,FALSE()),"Invalid ("&amp;Data!G345&amp;")"))</f>
        <v>No</v>
      </c>
      <c r="H345" s="28" t="str">
        <f aca="false">IF(Data!H345="","",IFERROR(VLOOKUP(Data!H345,Codes!$A$23:$B$25,2,FALSE()),"Invalid ("&amp;Data!H345&amp;")"))</f>
        <v>Normal</v>
      </c>
      <c r="I345" s="20" t="n">
        <f aca="false">IF(Data!I345="","",Data!I345)</f>
        <v>130</v>
      </c>
      <c r="J345" s="28" t="str">
        <f aca="false">IF(Data!J345="","",IFERROR(VLOOKUP(Data!J345,Codes!$A$29:$B$30,2,FALSE()),"Invalid ("&amp;Data!J345&amp;")"))</f>
        <v>No</v>
      </c>
      <c r="K345" s="21" t="n">
        <f aca="false">IF(Data!K345="","",Data!K345)</f>
        <v>0</v>
      </c>
      <c r="L345" s="28" t="str">
        <f aca="false">IF(Data!L345="","",IFERROR(VLOOKUP(Data!L345,Codes!$A$34:$B$36,2,FALSE()),"Invalid ("&amp;Data!L345&amp;")"))</f>
        <v/>
      </c>
      <c r="M345" s="20" t="str">
        <f aca="false">IF(Data!M345="","",Data!M345)</f>
        <v/>
      </c>
      <c r="N345" s="28" t="str">
        <f aca="false">IF(Data!N345="","",IFERROR(VLOOKUP(Data!N345,Codes!$A$47:$B$49,2,FALSE()),"Invalid ("&amp;Data!N345&amp;")"))</f>
        <v/>
      </c>
      <c r="O345" s="28" t="str">
        <f aca="false">IF(Data!O345="","",IFERROR(VLOOKUP(Data!O345,Codes!$A$53:$B$57,2,FALSE()),"Invalid ("&amp;Data!O345&amp;")"))</f>
        <v>No disease</v>
      </c>
      <c r="P345" s="22" t="str">
        <f aca="false">IF(Data!P345="","",IFERROR(VLOOKUP(Data!P345,Codes!$A$61:$B$64,2,FALSE()),"Invalid ("&amp;Data!P345&amp;")"))</f>
        <v>Hungarian Inst. of Cardiology, Budapest</v>
      </c>
    </row>
    <row r="346" customFormat="false" ht="15" hidden="false" customHeight="false" outlineLevel="0" collapsed="false">
      <c r="A346" s="19" t="n">
        <f aca="false">Data!A346</f>
        <v>345</v>
      </c>
      <c r="B346" s="20" t="n">
        <f aca="false">IF(Data!B346="","",Data!B346)</f>
        <v>54</v>
      </c>
      <c r="C346" s="28" t="str">
        <f aca="false">IF(Data!C346="","",IFERROR(VLOOKUP(Data!C346,Codes!$A$6:$B$7,2,FALSE()),"Invalid ("&amp;Data!C346&amp;")"))</f>
        <v>Female</v>
      </c>
      <c r="D346" s="28" t="str">
        <f aca="false">IF(Data!D346="","",IFERROR(VLOOKUP(Data!D346,Codes!$A$11:$B$14,2,FALSE()),"Invalid ("&amp;Data!D346&amp;")"))</f>
        <v>Non-anginal pain</v>
      </c>
      <c r="E346" s="20" t="n">
        <f aca="false">IF(Data!E346="","",Data!E346)</f>
        <v>130</v>
      </c>
      <c r="F346" s="20" t="n">
        <f aca="false">IF(Data!F346="","",Data!F346)</f>
        <v>294</v>
      </c>
      <c r="G346" s="28" t="str">
        <f aca="false">IF(Data!G346="","",IFERROR(VLOOKUP(Data!G346,Codes!$A$18:$B$19,2,FALSE()),"Invalid ("&amp;Data!G346&amp;")"))</f>
        <v>No</v>
      </c>
      <c r="H346" s="28" t="str">
        <f aca="false">IF(Data!H346="","",IFERROR(VLOOKUP(Data!H346,Codes!$A$23:$B$25,2,FALSE()),"Invalid ("&amp;Data!H346&amp;")"))</f>
        <v>ST-T wave abnormality</v>
      </c>
      <c r="I346" s="20" t="n">
        <f aca="false">IF(Data!I346="","",Data!I346)</f>
        <v>100</v>
      </c>
      <c r="J346" s="28" t="str">
        <f aca="false">IF(Data!J346="","",IFERROR(VLOOKUP(Data!J346,Codes!$A$29:$B$30,2,FALSE()),"Invalid ("&amp;Data!J346&amp;")"))</f>
        <v>Yes</v>
      </c>
      <c r="K346" s="21" t="n">
        <f aca="false">IF(Data!K346="","",Data!K346)</f>
        <v>0</v>
      </c>
      <c r="L346" s="28" t="str">
        <f aca="false">IF(Data!L346="","",IFERROR(VLOOKUP(Data!L346,Codes!$A$34:$B$36,2,FALSE()),"Invalid ("&amp;Data!L346&amp;")"))</f>
        <v>Flat</v>
      </c>
      <c r="M346" s="20" t="str">
        <f aca="false">IF(Data!M346="","",Data!M346)</f>
        <v/>
      </c>
      <c r="N346" s="28" t="str">
        <f aca="false">IF(Data!N346="","",IFERROR(VLOOKUP(Data!N346,Codes!$A$47:$B$49,2,FALSE()),"Invalid ("&amp;Data!N346&amp;")"))</f>
        <v/>
      </c>
      <c r="O346" s="28" t="str">
        <f aca="false">IF(Data!O346="","",IFERROR(VLOOKUP(Data!O346,Codes!$A$53:$B$57,2,FALSE()),"Invalid ("&amp;Data!O346&amp;")"))</f>
        <v>Disease (4)</v>
      </c>
      <c r="P346" s="22" t="str">
        <f aca="false">IF(Data!P346="","",IFERROR(VLOOKUP(Data!P346,Codes!$A$61:$B$64,2,FALSE()),"Invalid ("&amp;Data!P346&amp;")"))</f>
        <v>Hungarian Inst. of Cardiology, Budapest</v>
      </c>
    </row>
    <row r="347" customFormat="false" ht="15" hidden="false" customHeight="false" outlineLevel="0" collapsed="false">
      <c r="A347" s="19" t="n">
        <f aca="false">Data!A347</f>
        <v>346</v>
      </c>
      <c r="B347" s="20" t="n">
        <f aca="false">IF(Data!B347="","",Data!B347)</f>
        <v>35</v>
      </c>
      <c r="C347" s="28" t="str">
        <f aca="false">IF(Data!C347="","",IFERROR(VLOOKUP(Data!C347,Codes!$A$6:$B$7,2,FALSE()),"Invalid ("&amp;Data!C347&amp;")"))</f>
        <v>Male</v>
      </c>
      <c r="D347" s="28" t="str">
        <f aca="false">IF(Data!D347="","",IFERROR(VLOOKUP(Data!D347,Codes!$A$11:$B$14,2,FALSE()),"Invalid ("&amp;Data!D347&amp;")"))</f>
        <v>Atypical angina</v>
      </c>
      <c r="E347" s="20" t="n">
        <f aca="false">IF(Data!E347="","",Data!E347)</f>
        <v>150</v>
      </c>
      <c r="F347" s="20" t="n">
        <f aca="false">IF(Data!F347="","",Data!F347)</f>
        <v>264</v>
      </c>
      <c r="G347" s="28" t="str">
        <f aca="false">IF(Data!G347="","",IFERROR(VLOOKUP(Data!G347,Codes!$A$18:$B$19,2,FALSE()),"Invalid ("&amp;Data!G347&amp;")"))</f>
        <v>No</v>
      </c>
      <c r="H347" s="28" t="str">
        <f aca="false">IF(Data!H347="","",IFERROR(VLOOKUP(Data!H347,Codes!$A$23:$B$25,2,FALSE()),"Invalid ("&amp;Data!H347&amp;")"))</f>
        <v>Normal</v>
      </c>
      <c r="I347" s="20" t="n">
        <f aca="false">IF(Data!I347="","",Data!I347)</f>
        <v>168</v>
      </c>
      <c r="J347" s="28" t="str">
        <f aca="false">IF(Data!J347="","",IFERROR(VLOOKUP(Data!J347,Codes!$A$29:$B$30,2,FALSE()),"Invalid ("&amp;Data!J347&amp;")"))</f>
        <v>No</v>
      </c>
      <c r="K347" s="21" t="n">
        <f aca="false">IF(Data!K347="","",Data!K347)</f>
        <v>0</v>
      </c>
      <c r="L347" s="28" t="str">
        <f aca="false">IF(Data!L347="","",IFERROR(VLOOKUP(Data!L347,Codes!$A$34:$B$36,2,FALSE()),"Invalid ("&amp;Data!L347&amp;")"))</f>
        <v/>
      </c>
      <c r="M347" s="20" t="str">
        <f aca="false">IF(Data!M347="","",Data!M347)</f>
        <v/>
      </c>
      <c r="N347" s="28" t="str">
        <f aca="false">IF(Data!N347="","",IFERROR(VLOOKUP(Data!N347,Codes!$A$47:$B$49,2,FALSE()),"Invalid ("&amp;Data!N347&amp;")"))</f>
        <v/>
      </c>
      <c r="O347" s="28" t="str">
        <f aca="false">IF(Data!O347="","",IFERROR(VLOOKUP(Data!O347,Codes!$A$53:$B$57,2,FALSE()),"Invalid ("&amp;Data!O347&amp;")"))</f>
        <v>No disease</v>
      </c>
      <c r="P347" s="22" t="str">
        <f aca="false">IF(Data!P347="","",IFERROR(VLOOKUP(Data!P347,Codes!$A$61:$B$64,2,FALSE()),"Invalid ("&amp;Data!P347&amp;")"))</f>
        <v>Hungarian Inst. of Cardiology, Budapest</v>
      </c>
    </row>
    <row r="348" customFormat="false" ht="15" hidden="false" customHeight="false" outlineLevel="0" collapsed="false">
      <c r="A348" s="19" t="n">
        <f aca="false">Data!A348</f>
        <v>347</v>
      </c>
      <c r="B348" s="20" t="n">
        <f aca="false">IF(Data!B348="","",Data!B348)</f>
        <v>52</v>
      </c>
      <c r="C348" s="28" t="str">
        <f aca="false">IF(Data!C348="","",IFERROR(VLOOKUP(Data!C348,Codes!$A$6:$B$7,2,FALSE()),"Invalid ("&amp;Data!C348&amp;")"))</f>
        <v>Male</v>
      </c>
      <c r="D348" s="28" t="str">
        <f aca="false">IF(Data!D348="","",IFERROR(VLOOKUP(Data!D348,Codes!$A$11:$B$14,2,FALSE()),"Invalid ("&amp;Data!D348&amp;")"))</f>
        <v>Non-anginal pain</v>
      </c>
      <c r="E348" s="20" t="n">
        <f aca="false">IF(Data!E348="","",Data!E348)</f>
        <v>140</v>
      </c>
      <c r="F348" s="20" t="n">
        <f aca="false">IF(Data!F348="","",Data!F348)</f>
        <v>259</v>
      </c>
      <c r="G348" s="28" t="str">
        <f aca="false">IF(Data!G348="","",IFERROR(VLOOKUP(Data!G348,Codes!$A$18:$B$19,2,FALSE()),"Invalid ("&amp;Data!G348&amp;")"))</f>
        <v>No</v>
      </c>
      <c r="H348" s="28" t="str">
        <f aca="false">IF(Data!H348="","",IFERROR(VLOOKUP(Data!H348,Codes!$A$23:$B$25,2,FALSE()),"Invalid ("&amp;Data!H348&amp;")"))</f>
        <v>ST-T wave abnormality</v>
      </c>
      <c r="I348" s="20" t="n">
        <f aca="false">IF(Data!I348="","",Data!I348)</f>
        <v>170</v>
      </c>
      <c r="J348" s="28" t="str">
        <f aca="false">IF(Data!J348="","",IFERROR(VLOOKUP(Data!J348,Codes!$A$29:$B$30,2,FALSE()),"Invalid ("&amp;Data!J348&amp;")"))</f>
        <v>No</v>
      </c>
      <c r="K348" s="21" t="n">
        <f aca="false">IF(Data!K348="","",Data!K348)</f>
        <v>0</v>
      </c>
      <c r="L348" s="28" t="str">
        <f aca="false">IF(Data!L348="","",IFERROR(VLOOKUP(Data!L348,Codes!$A$34:$B$36,2,FALSE()),"Invalid ("&amp;Data!L348&amp;")"))</f>
        <v/>
      </c>
      <c r="M348" s="20" t="str">
        <f aca="false">IF(Data!M348="","",Data!M348)</f>
        <v/>
      </c>
      <c r="N348" s="28" t="str">
        <f aca="false">IF(Data!N348="","",IFERROR(VLOOKUP(Data!N348,Codes!$A$47:$B$49,2,FALSE()),"Invalid ("&amp;Data!N348&amp;")"))</f>
        <v/>
      </c>
      <c r="O348" s="28" t="str">
        <f aca="false">IF(Data!O348="","",IFERROR(VLOOKUP(Data!O348,Codes!$A$53:$B$57,2,FALSE()),"Invalid ("&amp;Data!O348&amp;")"))</f>
        <v>No disease</v>
      </c>
      <c r="P348" s="22" t="str">
        <f aca="false">IF(Data!P348="","",IFERROR(VLOOKUP(Data!P348,Codes!$A$61:$B$64,2,FALSE()),"Invalid ("&amp;Data!P348&amp;")"))</f>
        <v>Hungarian Inst. of Cardiology, Budapest</v>
      </c>
    </row>
    <row r="349" customFormat="false" ht="15" hidden="false" customHeight="false" outlineLevel="0" collapsed="false">
      <c r="A349" s="19" t="n">
        <f aca="false">Data!A349</f>
        <v>348</v>
      </c>
      <c r="B349" s="20" t="n">
        <f aca="false">IF(Data!B349="","",Data!B349)</f>
        <v>43</v>
      </c>
      <c r="C349" s="28" t="str">
        <f aca="false">IF(Data!C349="","",IFERROR(VLOOKUP(Data!C349,Codes!$A$6:$B$7,2,FALSE()),"Invalid ("&amp;Data!C349&amp;")"))</f>
        <v>Male</v>
      </c>
      <c r="D349" s="28" t="str">
        <f aca="false">IF(Data!D349="","",IFERROR(VLOOKUP(Data!D349,Codes!$A$11:$B$14,2,FALSE()),"Invalid ("&amp;Data!D349&amp;")"))</f>
        <v>Asymptomatic</v>
      </c>
      <c r="E349" s="20" t="n">
        <f aca="false">IF(Data!E349="","",Data!E349)</f>
        <v>120</v>
      </c>
      <c r="F349" s="20" t="n">
        <f aca="false">IF(Data!F349="","",Data!F349)</f>
        <v>175</v>
      </c>
      <c r="G349" s="28" t="str">
        <f aca="false">IF(Data!G349="","",IFERROR(VLOOKUP(Data!G349,Codes!$A$18:$B$19,2,FALSE()),"Invalid ("&amp;Data!G349&amp;")"))</f>
        <v>No</v>
      </c>
      <c r="H349" s="28" t="str">
        <f aca="false">IF(Data!H349="","",IFERROR(VLOOKUP(Data!H349,Codes!$A$23:$B$25,2,FALSE()),"Invalid ("&amp;Data!H349&amp;")"))</f>
        <v>Normal</v>
      </c>
      <c r="I349" s="20" t="n">
        <f aca="false">IF(Data!I349="","",Data!I349)</f>
        <v>120</v>
      </c>
      <c r="J349" s="28" t="str">
        <f aca="false">IF(Data!J349="","",IFERROR(VLOOKUP(Data!J349,Codes!$A$29:$B$30,2,FALSE()),"Invalid ("&amp;Data!J349&amp;")"))</f>
        <v>Yes</v>
      </c>
      <c r="K349" s="21" t="n">
        <f aca="false">IF(Data!K349="","",Data!K349)</f>
        <v>1</v>
      </c>
      <c r="L349" s="28" t="str">
        <f aca="false">IF(Data!L349="","",IFERROR(VLOOKUP(Data!L349,Codes!$A$34:$B$36,2,FALSE()),"Invalid ("&amp;Data!L349&amp;")"))</f>
        <v>Flat</v>
      </c>
      <c r="M349" s="20" t="str">
        <f aca="false">IF(Data!M349="","",Data!M349)</f>
        <v/>
      </c>
      <c r="N349" s="28" t="str">
        <f aca="false">IF(Data!N349="","",IFERROR(VLOOKUP(Data!N349,Codes!$A$47:$B$49,2,FALSE()),"Invalid ("&amp;Data!N349&amp;")"))</f>
        <v>Reversible defect</v>
      </c>
      <c r="O349" s="28" t="str">
        <f aca="false">IF(Data!O349="","",IFERROR(VLOOKUP(Data!O349,Codes!$A$53:$B$57,2,FALSE()),"Invalid ("&amp;Data!O349&amp;")"))</f>
        <v>Disease (3)</v>
      </c>
      <c r="P349" s="22" t="str">
        <f aca="false">IF(Data!P349="","",IFERROR(VLOOKUP(Data!P349,Codes!$A$61:$B$64,2,FALSE()),"Invalid ("&amp;Data!P349&amp;")"))</f>
        <v>Hungarian Inst. of Cardiology, Budapest</v>
      </c>
    </row>
    <row r="350" customFormat="false" ht="15" hidden="false" customHeight="false" outlineLevel="0" collapsed="false">
      <c r="A350" s="19" t="n">
        <f aca="false">Data!A350</f>
        <v>349</v>
      </c>
      <c r="B350" s="20" t="n">
        <f aca="false">IF(Data!B350="","",Data!B350)</f>
        <v>59</v>
      </c>
      <c r="C350" s="28" t="str">
        <f aca="false">IF(Data!C350="","",IFERROR(VLOOKUP(Data!C350,Codes!$A$6:$B$7,2,FALSE()),"Invalid ("&amp;Data!C350&amp;")"))</f>
        <v>Male</v>
      </c>
      <c r="D350" s="28" t="str">
        <f aca="false">IF(Data!D350="","",IFERROR(VLOOKUP(Data!D350,Codes!$A$11:$B$14,2,FALSE()),"Invalid ("&amp;Data!D350&amp;")"))</f>
        <v>Non-anginal pain</v>
      </c>
      <c r="E350" s="20" t="n">
        <f aca="false">IF(Data!E350="","",Data!E350)</f>
        <v>130</v>
      </c>
      <c r="F350" s="20" t="n">
        <f aca="false">IF(Data!F350="","",Data!F350)</f>
        <v>318</v>
      </c>
      <c r="G350" s="28" t="str">
        <f aca="false">IF(Data!G350="","",IFERROR(VLOOKUP(Data!G350,Codes!$A$18:$B$19,2,FALSE()),"Invalid ("&amp;Data!G350&amp;")"))</f>
        <v>No</v>
      </c>
      <c r="H350" s="28" t="str">
        <f aca="false">IF(Data!H350="","",IFERROR(VLOOKUP(Data!H350,Codes!$A$23:$B$25,2,FALSE()),"Invalid ("&amp;Data!H350&amp;")"))</f>
        <v>Normal</v>
      </c>
      <c r="I350" s="20" t="n">
        <f aca="false">IF(Data!I350="","",Data!I350)</f>
        <v>120</v>
      </c>
      <c r="J350" s="28" t="str">
        <f aca="false">IF(Data!J350="","",IFERROR(VLOOKUP(Data!J350,Codes!$A$29:$B$30,2,FALSE()),"Invalid ("&amp;Data!J350&amp;")"))</f>
        <v>Yes</v>
      </c>
      <c r="K350" s="21" t="n">
        <f aca="false">IF(Data!K350="","",Data!K350)</f>
        <v>1</v>
      </c>
      <c r="L350" s="28" t="str">
        <f aca="false">IF(Data!L350="","",IFERROR(VLOOKUP(Data!L350,Codes!$A$34:$B$36,2,FALSE()),"Invalid ("&amp;Data!L350&amp;")"))</f>
        <v>Flat</v>
      </c>
      <c r="M350" s="20" t="str">
        <f aca="false">IF(Data!M350="","",Data!M350)</f>
        <v/>
      </c>
      <c r="N350" s="28" t="str">
        <f aca="false">IF(Data!N350="","",IFERROR(VLOOKUP(Data!N350,Codes!$A$47:$B$49,2,FALSE()),"Invalid ("&amp;Data!N350&amp;")"))</f>
        <v>Normal</v>
      </c>
      <c r="O350" s="28" t="str">
        <f aca="false">IF(Data!O350="","",IFERROR(VLOOKUP(Data!O350,Codes!$A$53:$B$57,2,FALSE()),"Invalid ("&amp;Data!O350&amp;")"))</f>
        <v>No disease</v>
      </c>
      <c r="P350" s="22" t="str">
        <f aca="false">IF(Data!P350="","",IFERROR(VLOOKUP(Data!P350,Codes!$A$61:$B$64,2,FALSE()),"Invalid ("&amp;Data!P350&amp;")"))</f>
        <v>Hungarian Inst. of Cardiology, Budapest</v>
      </c>
    </row>
    <row r="351" customFormat="false" ht="15" hidden="false" customHeight="false" outlineLevel="0" collapsed="false">
      <c r="A351" s="19" t="n">
        <f aca="false">Data!A351</f>
        <v>350</v>
      </c>
      <c r="B351" s="20" t="n">
        <f aca="false">IF(Data!B351="","",Data!B351)</f>
        <v>37</v>
      </c>
      <c r="C351" s="28" t="str">
        <f aca="false">IF(Data!C351="","",IFERROR(VLOOKUP(Data!C351,Codes!$A$6:$B$7,2,FALSE()),"Invalid ("&amp;Data!C351&amp;")"))</f>
        <v>Male</v>
      </c>
      <c r="D351" s="28" t="str">
        <f aca="false">IF(Data!D351="","",IFERROR(VLOOKUP(Data!D351,Codes!$A$11:$B$14,2,FALSE()),"Invalid ("&amp;Data!D351&amp;")"))</f>
        <v>Asymptomatic</v>
      </c>
      <c r="E351" s="20" t="n">
        <f aca="false">IF(Data!E351="","",Data!E351)</f>
        <v>120</v>
      </c>
      <c r="F351" s="20" t="n">
        <f aca="false">IF(Data!F351="","",Data!F351)</f>
        <v>223</v>
      </c>
      <c r="G351" s="28" t="str">
        <f aca="false">IF(Data!G351="","",IFERROR(VLOOKUP(Data!G351,Codes!$A$18:$B$19,2,FALSE()),"Invalid ("&amp;Data!G351&amp;")"))</f>
        <v>No</v>
      </c>
      <c r="H351" s="28" t="str">
        <f aca="false">IF(Data!H351="","",IFERROR(VLOOKUP(Data!H351,Codes!$A$23:$B$25,2,FALSE()),"Invalid ("&amp;Data!H351&amp;")"))</f>
        <v>Normal</v>
      </c>
      <c r="I351" s="20" t="n">
        <f aca="false">IF(Data!I351="","",Data!I351)</f>
        <v>168</v>
      </c>
      <c r="J351" s="28" t="str">
        <f aca="false">IF(Data!J351="","",IFERROR(VLOOKUP(Data!J351,Codes!$A$29:$B$30,2,FALSE()),"Invalid ("&amp;Data!J351&amp;")"))</f>
        <v>No</v>
      </c>
      <c r="K351" s="21" t="n">
        <f aca="false">IF(Data!K351="","",Data!K351)</f>
        <v>0</v>
      </c>
      <c r="L351" s="28" t="str">
        <f aca="false">IF(Data!L351="","",IFERROR(VLOOKUP(Data!L351,Codes!$A$34:$B$36,2,FALSE()),"Invalid ("&amp;Data!L351&amp;")"))</f>
        <v/>
      </c>
      <c r="M351" s="20" t="str">
        <f aca="false">IF(Data!M351="","",Data!M351)</f>
        <v/>
      </c>
      <c r="N351" s="28" t="str">
        <f aca="false">IF(Data!N351="","",IFERROR(VLOOKUP(Data!N351,Codes!$A$47:$B$49,2,FALSE()),"Invalid ("&amp;Data!N351&amp;")"))</f>
        <v>Normal</v>
      </c>
      <c r="O351" s="28" t="str">
        <f aca="false">IF(Data!O351="","",IFERROR(VLOOKUP(Data!O351,Codes!$A$53:$B$57,2,FALSE()),"Invalid ("&amp;Data!O351&amp;")"))</f>
        <v>No disease</v>
      </c>
      <c r="P351" s="22" t="str">
        <f aca="false">IF(Data!P351="","",IFERROR(VLOOKUP(Data!P351,Codes!$A$61:$B$64,2,FALSE()),"Invalid ("&amp;Data!P351&amp;")"))</f>
        <v>Hungarian Inst. of Cardiology, Budapest</v>
      </c>
    </row>
    <row r="352" customFormat="false" ht="15" hidden="false" customHeight="false" outlineLevel="0" collapsed="false">
      <c r="A352" s="19" t="n">
        <f aca="false">Data!A352</f>
        <v>351</v>
      </c>
      <c r="B352" s="20" t="n">
        <f aca="false">IF(Data!B352="","",Data!B352)</f>
        <v>50</v>
      </c>
      <c r="C352" s="28" t="str">
        <f aca="false">IF(Data!C352="","",IFERROR(VLOOKUP(Data!C352,Codes!$A$6:$B$7,2,FALSE()),"Invalid ("&amp;Data!C352&amp;")"))</f>
        <v>Male</v>
      </c>
      <c r="D352" s="28" t="str">
        <f aca="false">IF(Data!D352="","",IFERROR(VLOOKUP(Data!D352,Codes!$A$11:$B$14,2,FALSE()),"Invalid ("&amp;Data!D352&amp;")"))</f>
        <v>Atypical angina</v>
      </c>
      <c r="E352" s="20" t="n">
        <f aca="false">IF(Data!E352="","",Data!E352)</f>
        <v>140</v>
      </c>
      <c r="F352" s="20" t="n">
        <f aca="false">IF(Data!F352="","",Data!F352)</f>
        <v>216</v>
      </c>
      <c r="G352" s="28" t="str">
        <f aca="false">IF(Data!G352="","",IFERROR(VLOOKUP(Data!G352,Codes!$A$18:$B$19,2,FALSE()),"Invalid ("&amp;Data!G352&amp;")"))</f>
        <v>No</v>
      </c>
      <c r="H352" s="28" t="str">
        <f aca="false">IF(Data!H352="","",IFERROR(VLOOKUP(Data!H352,Codes!$A$23:$B$25,2,FALSE()),"Invalid ("&amp;Data!H352&amp;")"))</f>
        <v>Normal</v>
      </c>
      <c r="I352" s="20" t="n">
        <f aca="false">IF(Data!I352="","",Data!I352)</f>
        <v>170</v>
      </c>
      <c r="J352" s="28" t="str">
        <f aca="false">IF(Data!J352="","",IFERROR(VLOOKUP(Data!J352,Codes!$A$29:$B$30,2,FALSE()),"Invalid ("&amp;Data!J352&amp;")"))</f>
        <v>No</v>
      </c>
      <c r="K352" s="21" t="n">
        <f aca="false">IF(Data!K352="","",Data!K352)</f>
        <v>0</v>
      </c>
      <c r="L352" s="28" t="str">
        <f aca="false">IF(Data!L352="","",IFERROR(VLOOKUP(Data!L352,Codes!$A$34:$B$36,2,FALSE()),"Invalid ("&amp;Data!L352&amp;")"))</f>
        <v/>
      </c>
      <c r="M352" s="20" t="str">
        <f aca="false">IF(Data!M352="","",Data!M352)</f>
        <v/>
      </c>
      <c r="N352" s="28" t="str">
        <f aca="false">IF(Data!N352="","",IFERROR(VLOOKUP(Data!N352,Codes!$A$47:$B$49,2,FALSE()),"Invalid ("&amp;Data!N352&amp;")"))</f>
        <v>Normal</v>
      </c>
      <c r="O352" s="28" t="str">
        <f aca="false">IF(Data!O352="","",IFERROR(VLOOKUP(Data!O352,Codes!$A$53:$B$57,2,FALSE()),"Invalid ("&amp;Data!O352&amp;")"))</f>
        <v>No disease</v>
      </c>
      <c r="P352" s="22" t="str">
        <f aca="false">IF(Data!P352="","",IFERROR(VLOOKUP(Data!P352,Codes!$A$61:$B$64,2,FALSE()),"Invalid ("&amp;Data!P352&amp;")"))</f>
        <v>Hungarian Inst. of Cardiology, Budapest</v>
      </c>
    </row>
    <row r="353" customFormat="false" ht="15" hidden="false" customHeight="false" outlineLevel="0" collapsed="false">
      <c r="A353" s="19" t="n">
        <f aca="false">Data!A353</f>
        <v>352</v>
      </c>
      <c r="B353" s="20" t="n">
        <f aca="false">IF(Data!B353="","",Data!B353)</f>
        <v>36</v>
      </c>
      <c r="C353" s="28" t="str">
        <f aca="false">IF(Data!C353="","",IFERROR(VLOOKUP(Data!C353,Codes!$A$6:$B$7,2,FALSE()),"Invalid ("&amp;Data!C353&amp;")"))</f>
        <v>Male</v>
      </c>
      <c r="D353" s="28" t="str">
        <f aca="false">IF(Data!D353="","",IFERROR(VLOOKUP(Data!D353,Codes!$A$11:$B$14,2,FALSE()),"Invalid ("&amp;Data!D353&amp;")"))</f>
        <v>Non-anginal pain</v>
      </c>
      <c r="E353" s="20" t="n">
        <f aca="false">IF(Data!E353="","",Data!E353)</f>
        <v>112</v>
      </c>
      <c r="F353" s="20" t="n">
        <f aca="false">IF(Data!F353="","",Data!F353)</f>
        <v>340</v>
      </c>
      <c r="G353" s="28" t="str">
        <f aca="false">IF(Data!G353="","",IFERROR(VLOOKUP(Data!G353,Codes!$A$18:$B$19,2,FALSE()),"Invalid ("&amp;Data!G353&amp;")"))</f>
        <v>No</v>
      </c>
      <c r="H353" s="28" t="str">
        <f aca="false">IF(Data!H353="","",IFERROR(VLOOKUP(Data!H353,Codes!$A$23:$B$25,2,FALSE()),"Invalid ("&amp;Data!H353&amp;")"))</f>
        <v>Normal</v>
      </c>
      <c r="I353" s="20" t="n">
        <f aca="false">IF(Data!I353="","",Data!I353)</f>
        <v>184</v>
      </c>
      <c r="J353" s="28" t="str">
        <f aca="false">IF(Data!J353="","",IFERROR(VLOOKUP(Data!J353,Codes!$A$29:$B$30,2,FALSE()),"Invalid ("&amp;Data!J353&amp;")"))</f>
        <v>No</v>
      </c>
      <c r="K353" s="21" t="n">
        <f aca="false">IF(Data!K353="","",Data!K353)</f>
        <v>1</v>
      </c>
      <c r="L353" s="28" t="str">
        <f aca="false">IF(Data!L353="","",IFERROR(VLOOKUP(Data!L353,Codes!$A$34:$B$36,2,FALSE()),"Invalid ("&amp;Data!L353&amp;")"))</f>
        <v>Flat</v>
      </c>
      <c r="M353" s="20" t="str">
        <f aca="false">IF(Data!M353="","",Data!M353)</f>
        <v/>
      </c>
      <c r="N353" s="28" t="str">
        <f aca="false">IF(Data!N353="","",IFERROR(VLOOKUP(Data!N353,Codes!$A$47:$B$49,2,FALSE()),"Invalid ("&amp;Data!N353&amp;")"))</f>
        <v>Normal</v>
      </c>
      <c r="O353" s="28" t="str">
        <f aca="false">IF(Data!O353="","",IFERROR(VLOOKUP(Data!O353,Codes!$A$53:$B$57,2,FALSE()),"Invalid ("&amp;Data!O353&amp;")"))</f>
        <v>No disease</v>
      </c>
      <c r="P353" s="22" t="str">
        <f aca="false">IF(Data!P353="","",IFERROR(VLOOKUP(Data!P353,Codes!$A$61:$B$64,2,FALSE()),"Invalid ("&amp;Data!P353&amp;")"))</f>
        <v>Hungarian Inst. of Cardiology, Budapest</v>
      </c>
    </row>
    <row r="354" customFormat="false" ht="15" hidden="false" customHeight="false" outlineLevel="0" collapsed="false">
      <c r="A354" s="19" t="n">
        <f aca="false">Data!A354</f>
        <v>353</v>
      </c>
      <c r="B354" s="20" t="n">
        <f aca="false">IF(Data!B354="","",Data!B354)</f>
        <v>41</v>
      </c>
      <c r="C354" s="28" t="str">
        <f aca="false">IF(Data!C354="","",IFERROR(VLOOKUP(Data!C354,Codes!$A$6:$B$7,2,FALSE()),"Invalid ("&amp;Data!C354&amp;")"))</f>
        <v>Male</v>
      </c>
      <c r="D354" s="28" t="str">
        <f aca="false">IF(Data!D354="","",IFERROR(VLOOKUP(Data!D354,Codes!$A$11:$B$14,2,FALSE()),"Invalid ("&amp;Data!D354&amp;")"))</f>
        <v>Asymptomatic</v>
      </c>
      <c r="E354" s="20" t="n">
        <f aca="false">IF(Data!E354="","",Data!E354)</f>
        <v>110</v>
      </c>
      <c r="F354" s="20" t="n">
        <f aca="false">IF(Data!F354="","",Data!F354)</f>
        <v>289</v>
      </c>
      <c r="G354" s="28" t="str">
        <f aca="false">IF(Data!G354="","",IFERROR(VLOOKUP(Data!G354,Codes!$A$18:$B$19,2,FALSE()),"Invalid ("&amp;Data!G354&amp;")"))</f>
        <v>No</v>
      </c>
      <c r="H354" s="28" t="str">
        <f aca="false">IF(Data!H354="","",IFERROR(VLOOKUP(Data!H354,Codes!$A$23:$B$25,2,FALSE()),"Invalid ("&amp;Data!H354&amp;")"))</f>
        <v>Normal</v>
      </c>
      <c r="I354" s="20" t="n">
        <f aca="false">IF(Data!I354="","",Data!I354)</f>
        <v>170</v>
      </c>
      <c r="J354" s="28" t="str">
        <f aca="false">IF(Data!J354="","",IFERROR(VLOOKUP(Data!J354,Codes!$A$29:$B$30,2,FALSE()),"Invalid ("&amp;Data!J354&amp;")"))</f>
        <v>No</v>
      </c>
      <c r="K354" s="21" t="n">
        <f aca="false">IF(Data!K354="","",Data!K354)</f>
        <v>0</v>
      </c>
      <c r="L354" s="28" t="str">
        <f aca="false">IF(Data!L354="","",IFERROR(VLOOKUP(Data!L354,Codes!$A$34:$B$36,2,FALSE()),"Invalid ("&amp;Data!L354&amp;")"))</f>
        <v/>
      </c>
      <c r="M354" s="20" t="str">
        <f aca="false">IF(Data!M354="","",Data!M354)</f>
        <v/>
      </c>
      <c r="N354" s="28" t="str">
        <f aca="false">IF(Data!N354="","",IFERROR(VLOOKUP(Data!N354,Codes!$A$47:$B$49,2,FALSE()),"Invalid ("&amp;Data!N354&amp;")"))</f>
        <v>Fixed defect</v>
      </c>
      <c r="O354" s="28" t="str">
        <f aca="false">IF(Data!O354="","",IFERROR(VLOOKUP(Data!O354,Codes!$A$53:$B$57,2,FALSE()),"Invalid ("&amp;Data!O354&amp;")"))</f>
        <v>Disease (1)</v>
      </c>
      <c r="P354" s="22" t="str">
        <f aca="false">IF(Data!P354="","",IFERROR(VLOOKUP(Data!P354,Codes!$A$61:$B$64,2,FALSE()),"Invalid ("&amp;Data!P354&amp;")"))</f>
        <v>Hungarian Inst. of Cardiology, Budapest</v>
      </c>
    </row>
    <row r="355" customFormat="false" ht="15" hidden="false" customHeight="false" outlineLevel="0" collapsed="false">
      <c r="A355" s="19" t="n">
        <f aca="false">Data!A355</f>
        <v>354</v>
      </c>
      <c r="B355" s="20" t="n">
        <f aca="false">IF(Data!B355="","",Data!B355)</f>
        <v>50</v>
      </c>
      <c r="C355" s="28" t="str">
        <f aca="false">IF(Data!C355="","",IFERROR(VLOOKUP(Data!C355,Codes!$A$6:$B$7,2,FALSE()),"Invalid ("&amp;Data!C355&amp;")"))</f>
        <v>Male</v>
      </c>
      <c r="D355" s="28" t="str">
        <f aca="false">IF(Data!D355="","",IFERROR(VLOOKUP(Data!D355,Codes!$A$11:$B$14,2,FALSE()),"Invalid ("&amp;Data!D355&amp;")"))</f>
        <v>Asymptomatic</v>
      </c>
      <c r="E355" s="20" t="n">
        <f aca="false">IF(Data!E355="","",Data!E355)</f>
        <v>130</v>
      </c>
      <c r="F355" s="20" t="n">
        <f aca="false">IF(Data!F355="","",Data!F355)</f>
        <v>233</v>
      </c>
      <c r="G355" s="28" t="str">
        <f aca="false">IF(Data!G355="","",IFERROR(VLOOKUP(Data!G355,Codes!$A$18:$B$19,2,FALSE()),"Invalid ("&amp;Data!G355&amp;")"))</f>
        <v>No</v>
      </c>
      <c r="H355" s="28" t="str">
        <f aca="false">IF(Data!H355="","",IFERROR(VLOOKUP(Data!H355,Codes!$A$23:$B$25,2,FALSE()),"Invalid ("&amp;Data!H355&amp;")"))</f>
        <v>Normal</v>
      </c>
      <c r="I355" s="20" t="n">
        <f aca="false">IF(Data!I355="","",Data!I355)</f>
        <v>121</v>
      </c>
      <c r="J355" s="28" t="str">
        <f aca="false">IF(Data!J355="","",IFERROR(VLOOKUP(Data!J355,Codes!$A$29:$B$30,2,FALSE()),"Invalid ("&amp;Data!J355&amp;")"))</f>
        <v>Yes</v>
      </c>
      <c r="K355" s="21" t="n">
        <f aca="false">IF(Data!K355="","",Data!K355)</f>
        <v>2</v>
      </c>
      <c r="L355" s="28" t="str">
        <f aca="false">IF(Data!L355="","",IFERROR(VLOOKUP(Data!L355,Codes!$A$34:$B$36,2,FALSE()),"Invalid ("&amp;Data!L355&amp;")"))</f>
        <v>Flat</v>
      </c>
      <c r="M355" s="20" t="str">
        <f aca="false">IF(Data!M355="","",Data!M355)</f>
        <v/>
      </c>
      <c r="N355" s="28" t="str">
        <f aca="false">IF(Data!N355="","",IFERROR(VLOOKUP(Data!N355,Codes!$A$47:$B$49,2,FALSE()),"Invalid ("&amp;Data!N355&amp;")"))</f>
        <v>Reversible defect</v>
      </c>
      <c r="O355" s="28" t="str">
        <f aca="false">IF(Data!O355="","",IFERROR(VLOOKUP(Data!O355,Codes!$A$53:$B$57,2,FALSE()),"Invalid ("&amp;Data!O355&amp;")"))</f>
        <v>Disease (2)</v>
      </c>
      <c r="P355" s="22" t="str">
        <f aca="false">IF(Data!P355="","",IFERROR(VLOOKUP(Data!P355,Codes!$A$61:$B$64,2,FALSE()),"Invalid ("&amp;Data!P355&amp;")"))</f>
        <v>Hungarian Inst. of Cardiology, Budapest</v>
      </c>
    </row>
    <row r="356" customFormat="false" ht="15" hidden="false" customHeight="false" outlineLevel="0" collapsed="false">
      <c r="A356" s="19" t="n">
        <f aca="false">Data!A356</f>
        <v>355</v>
      </c>
      <c r="B356" s="20" t="n">
        <f aca="false">IF(Data!B356="","",Data!B356)</f>
        <v>47</v>
      </c>
      <c r="C356" s="28" t="str">
        <f aca="false">IF(Data!C356="","",IFERROR(VLOOKUP(Data!C356,Codes!$A$6:$B$7,2,FALSE()),"Invalid ("&amp;Data!C356&amp;")"))</f>
        <v>Female</v>
      </c>
      <c r="D356" s="28" t="str">
        <f aca="false">IF(Data!D356="","",IFERROR(VLOOKUP(Data!D356,Codes!$A$11:$B$14,2,FALSE()),"Invalid ("&amp;Data!D356&amp;")"))</f>
        <v>Asymptomatic</v>
      </c>
      <c r="E356" s="20" t="n">
        <f aca="false">IF(Data!E356="","",Data!E356)</f>
        <v>120</v>
      </c>
      <c r="F356" s="20" t="n">
        <f aca="false">IF(Data!F356="","",Data!F356)</f>
        <v>205</v>
      </c>
      <c r="G356" s="28" t="str">
        <f aca="false">IF(Data!G356="","",IFERROR(VLOOKUP(Data!G356,Codes!$A$18:$B$19,2,FALSE()),"Invalid ("&amp;Data!G356&amp;")"))</f>
        <v>No</v>
      </c>
      <c r="H356" s="28" t="str">
        <f aca="false">IF(Data!H356="","",IFERROR(VLOOKUP(Data!H356,Codes!$A$23:$B$25,2,FALSE()),"Invalid ("&amp;Data!H356&amp;")"))</f>
        <v>Normal</v>
      </c>
      <c r="I356" s="20" t="n">
        <f aca="false">IF(Data!I356="","",Data!I356)</f>
        <v>98</v>
      </c>
      <c r="J356" s="28" t="str">
        <f aca="false">IF(Data!J356="","",IFERROR(VLOOKUP(Data!J356,Codes!$A$29:$B$30,2,FALSE()),"Invalid ("&amp;Data!J356&amp;")"))</f>
        <v>Yes</v>
      </c>
      <c r="K356" s="21" t="n">
        <f aca="false">IF(Data!K356="","",Data!K356)</f>
        <v>2</v>
      </c>
      <c r="L356" s="28" t="str">
        <f aca="false">IF(Data!L356="","",IFERROR(VLOOKUP(Data!L356,Codes!$A$34:$B$36,2,FALSE()),"Invalid ("&amp;Data!L356&amp;")"))</f>
        <v>Flat</v>
      </c>
      <c r="M356" s="20" t="str">
        <f aca="false">IF(Data!M356="","",Data!M356)</f>
        <v/>
      </c>
      <c r="N356" s="28" t="str">
        <f aca="false">IF(Data!N356="","",IFERROR(VLOOKUP(Data!N356,Codes!$A$47:$B$49,2,FALSE()),"Invalid ("&amp;Data!N356&amp;")"))</f>
        <v>Fixed defect</v>
      </c>
      <c r="O356" s="28" t="str">
        <f aca="false">IF(Data!O356="","",IFERROR(VLOOKUP(Data!O356,Codes!$A$53:$B$57,2,FALSE()),"Invalid ("&amp;Data!O356&amp;")"))</f>
        <v>Disease (4)</v>
      </c>
      <c r="P356" s="22" t="str">
        <f aca="false">IF(Data!P356="","",IFERROR(VLOOKUP(Data!P356,Codes!$A$61:$B$64,2,FALSE()),"Invalid ("&amp;Data!P356&amp;")"))</f>
        <v>Hungarian Inst. of Cardiology, Budapest</v>
      </c>
    </row>
    <row r="357" customFormat="false" ht="15" hidden="false" customHeight="false" outlineLevel="0" collapsed="false">
      <c r="A357" s="19" t="n">
        <f aca="false">Data!A357</f>
        <v>356</v>
      </c>
      <c r="B357" s="20" t="n">
        <f aca="false">IF(Data!B357="","",Data!B357)</f>
        <v>45</v>
      </c>
      <c r="C357" s="28" t="str">
        <f aca="false">IF(Data!C357="","",IFERROR(VLOOKUP(Data!C357,Codes!$A$6:$B$7,2,FALSE()),"Invalid ("&amp;Data!C357&amp;")"))</f>
        <v>Male</v>
      </c>
      <c r="D357" s="28" t="str">
        <f aca="false">IF(Data!D357="","",IFERROR(VLOOKUP(Data!D357,Codes!$A$11:$B$14,2,FALSE()),"Invalid ("&amp;Data!D357&amp;")"))</f>
        <v>Atypical angina</v>
      </c>
      <c r="E357" s="20" t="n">
        <f aca="false">IF(Data!E357="","",Data!E357)</f>
        <v>140</v>
      </c>
      <c r="F357" s="20" t="n">
        <f aca="false">IF(Data!F357="","",Data!F357)</f>
        <v>224</v>
      </c>
      <c r="G357" s="28" t="str">
        <f aca="false">IF(Data!G357="","",IFERROR(VLOOKUP(Data!G357,Codes!$A$18:$B$19,2,FALSE()),"Invalid ("&amp;Data!G357&amp;")"))</f>
        <v>Yes</v>
      </c>
      <c r="H357" s="28" t="str">
        <f aca="false">IF(Data!H357="","",IFERROR(VLOOKUP(Data!H357,Codes!$A$23:$B$25,2,FALSE()),"Invalid ("&amp;Data!H357&amp;")"))</f>
        <v>Normal</v>
      </c>
      <c r="I357" s="20" t="n">
        <f aca="false">IF(Data!I357="","",Data!I357)</f>
        <v>122</v>
      </c>
      <c r="J357" s="28" t="str">
        <f aca="false">IF(Data!J357="","",IFERROR(VLOOKUP(Data!J357,Codes!$A$29:$B$30,2,FALSE()),"Invalid ("&amp;Data!J357&amp;")"))</f>
        <v>No</v>
      </c>
      <c r="K357" s="21" t="n">
        <f aca="false">IF(Data!K357="","",Data!K357)</f>
        <v>0</v>
      </c>
      <c r="L357" s="28" t="str">
        <f aca="false">IF(Data!L357="","",IFERROR(VLOOKUP(Data!L357,Codes!$A$34:$B$36,2,FALSE()),"Invalid ("&amp;Data!L357&amp;")"))</f>
        <v/>
      </c>
      <c r="M357" s="20" t="str">
        <f aca="false">IF(Data!M357="","",Data!M357)</f>
        <v/>
      </c>
      <c r="N357" s="28" t="str">
        <f aca="false">IF(Data!N357="","",IFERROR(VLOOKUP(Data!N357,Codes!$A$47:$B$49,2,FALSE()),"Invalid ("&amp;Data!N357&amp;")"))</f>
        <v/>
      </c>
      <c r="O357" s="28" t="str">
        <f aca="false">IF(Data!O357="","",IFERROR(VLOOKUP(Data!O357,Codes!$A$53:$B$57,2,FALSE()),"Invalid ("&amp;Data!O357&amp;")"))</f>
        <v>No disease</v>
      </c>
      <c r="P357" s="22" t="str">
        <f aca="false">IF(Data!P357="","",IFERROR(VLOOKUP(Data!P357,Codes!$A$61:$B$64,2,FALSE()),"Invalid ("&amp;Data!P357&amp;")"))</f>
        <v>Hungarian Inst. of Cardiology, Budapest</v>
      </c>
    </row>
    <row r="358" customFormat="false" ht="15" hidden="false" customHeight="false" outlineLevel="0" collapsed="false">
      <c r="A358" s="19" t="n">
        <f aca="false">Data!A358</f>
        <v>357</v>
      </c>
      <c r="B358" s="20" t="n">
        <f aca="false">IF(Data!B358="","",Data!B358)</f>
        <v>41</v>
      </c>
      <c r="C358" s="28" t="str">
        <f aca="false">IF(Data!C358="","",IFERROR(VLOOKUP(Data!C358,Codes!$A$6:$B$7,2,FALSE()),"Invalid ("&amp;Data!C358&amp;")"))</f>
        <v>Female</v>
      </c>
      <c r="D358" s="28" t="str">
        <f aca="false">IF(Data!D358="","",IFERROR(VLOOKUP(Data!D358,Codes!$A$11:$B$14,2,FALSE()),"Invalid ("&amp;Data!D358&amp;")"))</f>
        <v>Atypical angina</v>
      </c>
      <c r="E358" s="20" t="n">
        <f aca="false">IF(Data!E358="","",Data!E358)</f>
        <v>130</v>
      </c>
      <c r="F358" s="20" t="n">
        <f aca="false">IF(Data!F358="","",Data!F358)</f>
        <v>245</v>
      </c>
      <c r="G358" s="28" t="str">
        <f aca="false">IF(Data!G358="","",IFERROR(VLOOKUP(Data!G358,Codes!$A$18:$B$19,2,FALSE()),"Invalid ("&amp;Data!G358&amp;")"))</f>
        <v>No</v>
      </c>
      <c r="H358" s="28" t="str">
        <f aca="false">IF(Data!H358="","",IFERROR(VLOOKUP(Data!H358,Codes!$A$23:$B$25,2,FALSE()),"Invalid ("&amp;Data!H358&amp;")"))</f>
        <v>Normal</v>
      </c>
      <c r="I358" s="20" t="n">
        <f aca="false">IF(Data!I358="","",Data!I358)</f>
        <v>150</v>
      </c>
      <c r="J358" s="28" t="str">
        <f aca="false">IF(Data!J358="","",IFERROR(VLOOKUP(Data!J358,Codes!$A$29:$B$30,2,FALSE()),"Invalid ("&amp;Data!J358&amp;")"))</f>
        <v>No</v>
      </c>
      <c r="K358" s="21" t="n">
        <f aca="false">IF(Data!K358="","",Data!K358)</f>
        <v>0</v>
      </c>
      <c r="L358" s="28" t="str">
        <f aca="false">IF(Data!L358="","",IFERROR(VLOOKUP(Data!L358,Codes!$A$34:$B$36,2,FALSE()),"Invalid ("&amp;Data!L358&amp;")"))</f>
        <v/>
      </c>
      <c r="M358" s="20" t="str">
        <f aca="false">IF(Data!M358="","",Data!M358)</f>
        <v/>
      </c>
      <c r="N358" s="28" t="str">
        <f aca="false">IF(Data!N358="","",IFERROR(VLOOKUP(Data!N358,Codes!$A$47:$B$49,2,FALSE()),"Invalid ("&amp;Data!N358&amp;")"))</f>
        <v/>
      </c>
      <c r="O358" s="28" t="str">
        <f aca="false">IF(Data!O358="","",IFERROR(VLOOKUP(Data!O358,Codes!$A$53:$B$57,2,FALSE()),"Invalid ("&amp;Data!O358&amp;")"))</f>
        <v>No disease</v>
      </c>
      <c r="P358" s="22" t="str">
        <f aca="false">IF(Data!P358="","",IFERROR(VLOOKUP(Data!P358,Codes!$A$61:$B$64,2,FALSE()),"Invalid ("&amp;Data!P358&amp;")"))</f>
        <v>Hungarian Inst. of Cardiology, Budapest</v>
      </c>
    </row>
    <row r="359" customFormat="false" ht="15" hidden="false" customHeight="false" outlineLevel="0" collapsed="false">
      <c r="A359" s="19" t="n">
        <f aca="false">Data!A359</f>
        <v>358</v>
      </c>
      <c r="B359" s="20" t="n">
        <f aca="false">IF(Data!B359="","",Data!B359)</f>
        <v>52</v>
      </c>
      <c r="C359" s="28" t="str">
        <f aca="false">IF(Data!C359="","",IFERROR(VLOOKUP(Data!C359,Codes!$A$6:$B$7,2,FALSE()),"Invalid ("&amp;Data!C359&amp;")"))</f>
        <v>Female</v>
      </c>
      <c r="D359" s="28" t="str">
        <f aca="false">IF(Data!D359="","",IFERROR(VLOOKUP(Data!D359,Codes!$A$11:$B$14,2,FALSE()),"Invalid ("&amp;Data!D359&amp;")"))</f>
        <v>Asymptomatic</v>
      </c>
      <c r="E359" s="20" t="n">
        <f aca="false">IF(Data!E359="","",Data!E359)</f>
        <v>130</v>
      </c>
      <c r="F359" s="20" t="n">
        <f aca="false">IF(Data!F359="","",Data!F359)</f>
        <v>180</v>
      </c>
      <c r="G359" s="28" t="str">
        <f aca="false">IF(Data!G359="","",IFERROR(VLOOKUP(Data!G359,Codes!$A$18:$B$19,2,FALSE()),"Invalid ("&amp;Data!G359&amp;")"))</f>
        <v>No</v>
      </c>
      <c r="H359" s="28" t="str">
        <f aca="false">IF(Data!H359="","",IFERROR(VLOOKUP(Data!H359,Codes!$A$23:$B$25,2,FALSE()),"Invalid ("&amp;Data!H359&amp;")"))</f>
        <v>Normal</v>
      </c>
      <c r="I359" s="20" t="n">
        <f aca="false">IF(Data!I359="","",Data!I359)</f>
        <v>140</v>
      </c>
      <c r="J359" s="28" t="str">
        <f aca="false">IF(Data!J359="","",IFERROR(VLOOKUP(Data!J359,Codes!$A$29:$B$30,2,FALSE()),"Invalid ("&amp;Data!J359&amp;")"))</f>
        <v>Yes</v>
      </c>
      <c r="K359" s="21" t="n">
        <f aca="false">IF(Data!K359="","",Data!K359)</f>
        <v>1.5</v>
      </c>
      <c r="L359" s="28" t="str">
        <f aca="false">IF(Data!L359="","",IFERROR(VLOOKUP(Data!L359,Codes!$A$34:$B$36,2,FALSE()),"Invalid ("&amp;Data!L359&amp;")"))</f>
        <v>Flat</v>
      </c>
      <c r="M359" s="20" t="str">
        <f aca="false">IF(Data!M359="","",Data!M359)</f>
        <v/>
      </c>
      <c r="N359" s="28" t="str">
        <f aca="false">IF(Data!N359="","",IFERROR(VLOOKUP(Data!N359,Codes!$A$47:$B$49,2,FALSE()),"Invalid ("&amp;Data!N359&amp;")"))</f>
        <v/>
      </c>
      <c r="O359" s="28" t="str">
        <f aca="false">IF(Data!O359="","",IFERROR(VLOOKUP(Data!O359,Codes!$A$53:$B$57,2,FALSE()),"Invalid ("&amp;Data!O359&amp;")"))</f>
        <v>No disease</v>
      </c>
      <c r="P359" s="22" t="str">
        <f aca="false">IF(Data!P359="","",IFERROR(VLOOKUP(Data!P359,Codes!$A$61:$B$64,2,FALSE()),"Invalid ("&amp;Data!P359&amp;")"))</f>
        <v>Hungarian Inst. of Cardiology, Budapest</v>
      </c>
    </row>
    <row r="360" customFormat="false" ht="15" hidden="false" customHeight="false" outlineLevel="0" collapsed="false">
      <c r="A360" s="19" t="n">
        <f aca="false">Data!A360</f>
        <v>359</v>
      </c>
      <c r="B360" s="20" t="n">
        <f aca="false">IF(Data!B360="","",Data!B360)</f>
        <v>51</v>
      </c>
      <c r="C360" s="28" t="str">
        <f aca="false">IF(Data!C360="","",IFERROR(VLOOKUP(Data!C360,Codes!$A$6:$B$7,2,FALSE()),"Invalid ("&amp;Data!C360&amp;")"))</f>
        <v>Female</v>
      </c>
      <c r="D360" s="28" t="str">
        <f aca="false">IF(Data!D360="","",IFERROR(VLOOKUP(Data!D360,Codes!$A$11:$B$14,2,FALSE()),"Invalid ("&amp;Data!D360&amp;")"))</f>
        <v>Atypical angina</v>
      </c>
      <c r="E360" s="20" t="n">
        <f aca="false">IF(Data!E360="","",Data!E360)</f>
        <v>160</v>
      </c>
      <c r="F360" s="20" t="n">
        <f aca="false">IF(Data!F360="","",Data!F360)</f>
        <v>194</v>
      </c>
      <c r="G360" s="28" t="str">
        <f aca="false">IF(Data!G360="","",IFERROR(VLOOKUP(Data!G360,Codes!$A$18:$B$19,2,FALSE()),"Invalid ("&amp;Data!G360&amp;")"))</f>
        <v>No</v>
      </c>
      <c r="H360" s="28" t="str">
        <f aca="false">IF(Data!H360="","",IFERROR(VLOOKUP(Data!H360,Codes!$A$23:$B$25,2,FALSE()),"Invalid ("&amp;Data!H360&amp;")"))</f>
        <v>Normal</v>
      </c>
      <c r="I360" s="20" t="n">
        <f aca="false">IF(Data!I360="","",Data!I360)</f>
        <v>170</v>
      </c>
      <c r="J360" s="28" t="str">
        <f aca="false">IF(Data!J360="","",IFERROR(VLOOKUP(Data!J360,Codes!$A$29:$B$30,2,FALSE()),"Invalid ("&amp;Data!J360&amp;")"))</f>
        <v>No</v>
      </c>
      <c r="K360" s="21" t="n">
        <f aca="false">IF(Data!K360="","",Data!K360)</f>
        <v>0</v>
      </c>
      <c r="L360" s="28" t="str">
        <f aca="false">IF(Data!L360="","",IFERROR(VLOOKUP(Data!L360,Codes!$A$34:$B$36,2,FALSE()),"Invalid ("&amp;Data!L360&amp;")"))</f>
        <v/>
      </c>
      <c r="M360" s="20" t="str">
        <f aca="false">IF(Data!M360="","",Data!M360)</f>
        <v/>
      </c>
      <c r="N360" s="28" t="str">
        <f aca="false">IF(Data!N360="","",IFERROR(VLOOKUP(Data!N360,Codes!$A$47:$B$49,2,FALSE()),"Invalid ("&amp;Data!N360&amp;")"))</f>
        <v/>
      </c>
      <c r="O360" s="28" t="str">
        <f aca="false">IF(Data!O360="","",IFERROR(VLOOKUP(Data!O360,Codes!$A$53:$B$57,2,FALSE()),"Invalid ("&amp;Data!O360&amp;")"))</f>
        <v>No disease</v>
      </c>
      <c r="P360" s="22" t="str">
        <f aca="false">IF(Data!P360="","",IFERROR(VLOOKUP(Data!P360,Codes!$A$61:$B$64,2,FALSE()),"Invalid ("&amp;Data!P360&amp;")"))</f>
        <v>Hungarian Inst. of Cardiology, Budapest</v>
      </c>
    </row>
    <row r="361" customFormat="false" ht="15" hidden="false" customHeight="false" outlineLevel="0" collapsed="false">
      <c r="A361" s="19" t="n">
        <f aca="false">Data!A361</f>
        <v>360</v>
      </c>
      <c r="B361" s="20" t="n">
        <f aca="false">IF(Data!B361="","",Data!B361)</f>
        <v>31</v>
      </c>
      <c r="C361" s="28" t="str">
        <f aca="false">IF(Data!C361="","",IFERROR(VLOOKUP(Data!C361,Codes!$A$6:$B$7,2,FALSE()),"Invalid ("&amp;Data!C361&amp;")"))</f>
        <v>Male</v>
      </c>
      <c r="D361" s="28" t="str">
        <f aca="false">IF(Data!D361="","",IFERROR(VLOOKUP(Data!D361,Codes!$A$11:$B$14,2,FALSE()),"Invalid ("&amp;Data!D361&amp;")"))</f>
        <v>Asymptomatic</v>
      </c>
      <c r="E361" s="20" t="n">
        <f aca="false">IF(Data!E361="","",Data!E361)</f>
        <v>120</v>
      </c>
      <c r="F361" s="20" t="n">
        <f aca="false">IF(Data!F361="","",Data!F361)</f>
        <v>270</v>
      </c>
      <c r="G361" s="28" t="str">
        <f aca="false">IF(Data!G361="","",IFERROR(VLOOKUP(Data!G361,Codes!$A$18:$B$19,2,FALSE()),"Invalid ("&amp;Data!G361&amp;")"))</f>
        <v>No</v>
      </c>
      <c r="H361" s="28" t="str">
        <f aca="false">IF(Data!H361="","",IFERROR(VLOOKUP(Data!H361,Codes!$A$23:$B$25,2,FALSE()),"Invalid ("&amp;Data!H361&amp;")"))</f>
        <v>Normal</v>
      </c>
      <c r="I361" s="20" t="n">
        <f aca="false">IF(Data!I361="","",Data!I361)</f>
        <v>153</v>
      </c>
      <c r="J361" s="28" t="str">
        <f aca="false">IF(Data!J361="","",IFERROR(VLOOKUP(Data!J361,Codes!$A$29:$B$30,2,FALSE()),"Invalid ("&amp;Data!J361&amp;")"))</f>
        <v>Yes</v>
      </c>
      <c r="K361" s="21" t="n">
        <f aca="false">IF(Data!K361="","",Data!K361)</f>
        <v>1.5</v>
      </c>
      <c r="L361" s="28" t="str">
        <f aca="false">IF(Data!L361="","",IFERROR(VLOOKUP(Data!L361,Codes!$A$34:$B$36,2,FALSE()),"Invalid ("&amp;Data!L361&amp;")"))</f>
        <v>Flat</v>
      </c>
      <c r="M361" s="20" t="str">
        <f aca="false">IF(Data!M361="","",Data!M361)</f>
        <v/>
      </c>
      <c r="N361" s="28" t="str">
        <f aca="false">IF(Data!N361="","",IFERROR(VLOOKUP(Data!N361,Codes!$A$47:$B$49,2,FALSE()),"Invalid ("&amp;Data!N361&amp;")"))</f>
        <v/>
      </c>
      <c r="O361" s="28" t="str">
        <f aca="false">IF(Data!O361="","",IFERROR(VLOOKUP(Data!O361,Codes!$A$53:$B$57,2,FALSE()),"Invalid ("&amp;Data!O361&amp;")"))</f>
        <v>Disease (1)</v>
      </c>
      <c r="P361" s="22" t="str">
        <f aca="false">IF(Data!P361="","",IFERROR(VLOOKUP(Data!P361,Codes!$A$61:$B$64,2,FALSE()),"Invalid ("&amp;Data!P361&amp;")"))</f>
        <v>Hungarian Inst. of Cardiology, Budapest</v>
      </c>
    </row>
    <row r="362" customFormat="false" ht="15" hidden="false" customHeight="false" outlineLevel="0" collapsed="false">
      <c r="A362" s="19" t="n">
        <f aca="false">Data!A362</f>
        <v>361</v>
      </c>
      <c r="B362" s="20" t="n">
        <f aca="false">IF(Data!B362="","",Data!B362)</f>
        <v>58</v>
      </c>
      <c r="C362" s="28" t="str">
        <f aca="false">IF(Data!C362="","",IFERROR(VLOOKUP(Data!C362,Codes!$A$6:$B$7,2,FALSE()),"Invalid ("&amp;Data!C362&amp;")"))</f>
        <v>Male</v>
      </c>
      <c r="D362" s="28" t="str">
        <f aca="false">IF(Data!D362="","",IFERROR(VLOOKUP(Data!D362,Codes!$A$11:$B$14,2,FALSE()),"Invalid ("&amp;Data!D362&amp;")"))</f>
        <v>Non-anginal pain</v>
      </c>
      <c r="E362" s="20" t="n">
        <f aca="false">IF(Data!E362="","",Data!E362)</f>
        <v>130</v>
      </c>
      <c r="F362" s="20" t="n">
        <f aca="false">IF(Data!F362="","",Data!F362)</f>
        <v>213</v>
      </c>
      <c r="G362" s="28" t="str">
        <f aca="false">IF(Data!G362="","",IFERROR(VLOOKUP(Data!G362,Codes!$A$18:$B$19,2,FALSE()),"Invalid ("&amp;Data!G362&amp;")"))</f>
        <v>No</v>
      </c>
      <c r="H362" s="28" t="str">
        <f aca="false">IF(Data!H362="","",IFERROR(VLOOKUP(Data!H362,Codes!$A$23:$B$25,2,FALSE()),"Invalid ("&amp;Data!H362&amp;")"))</f>
        <v>ST-T wave abnormality</v>
      </c>
      <c r="I362" s="20" t="n">
        <f aca="false">IF(Data!I362="","",Data!I362)</f>
        <v>140</v>
      </c>
      <c r="J362" s="28" t="str">
        <f aca="false">IF(Data!J362="","",IFERROR(VLOOKUP(Data!J362,Codes!$A$29:$B$30,2,FALSE()),"Invalid ("&amp;Data!J362&amp;")"))</f>
        <v>No</v>
      </c>
      <c r="K362" s="21" t="n">
        <f aca="false">IF(Data!K362="","",Data!K362)</f>
        <v>0</v>
      </c>
      <c r="L362" s="28" t="str">
        <f aca="false">IF(Data!L362="","",IFERROR(VLOOKUP(Data!L362,Codes!$A$34:$B$36,2,FALSE()),"Invalid ("&amp;Data!L362&amp;")"))</f>
        <v/>
      </c>
      <c r="M362" s="20" t="str">
        <f aca="false">IF(Data!M362="","",Data!M362)</f>
        <v/>
      </c>
      <c r="N362" s="28" t="str">
        <f aca="false">IF(Data!N362="","",IFERROR(VLOOKUP(Data!N362,Codes!$A$47:$B$49,2,FALSE()),"Invalid ("&amp;Data!N362&amp;")"))</f>
        <v>Fixed defect</v>
      </c>
      <c r="O362" s="28" t="str">
        <f aca="false">IF(Data!O362="","",IFERROR(VLOOKUP(Data!O362,Codes!$A$53:$B$57,2,FALSE()),"Invalid ("&amp;Data!O362&amp;")"))</f>
        <v>Disease (1)</v>
      </c>
      <c r="P362" s="22" t="str">
        <f aca="false">IF(Data!P362="","",IFERROR(VLOOKUP(Data!P362,Codes!$A$61:$B$64,2,FALSE()),"Invalid ("&amp;Data!P362&amp;")"))</f>
        <v>Hungarian Inst. of Cardiology, Budapest</v>
      </c>
    </row>
    <row r="363" customFormat="false" ht="15" hidden="false" customHeight="false" outlineLevel="0" collapsed="false">
      <c r="A363" s="19" t="n">
        <f aca="false">Data!A363</f>
        <v>362</v>
      </c>
      <c r="B363" s="20" t="n">
        <f aca="false">IF(Data!B363="","",Data!B363)</f>
        <v>54</v>
      </c>
      <c r="C363" s="28" t="str">
        <f aca="false">IF(Data!C363="","",IFERROR(VLOOKUP(Data!C363,Codes!$A$6:$B$7,2,FALSE()),"Invalid ("&amp;Data!C363&amp;")"))</f>
        <v>Male</v>
      </c>
      <c r="D363" s="28" t="str">
        <f aca="false">IF(Data!D363="","",IFERROR(VLOOKUP(Data!D363,Codes!$A$11:$B$14,2,FALSE()),"Invalid ("&amp;Data!D363&amp;")"))</f>
        <v>Asymptomatic</v>
      </c>
      <c r="E363" s="20" t="n">
        <f aca="false">IF(Data!E363="","",Data!E363)</f>
        <v>150</v>
      </c>
      <c r="F363" s="20" t="n">
        <f aca="false">IF(Data!F363="","",Data!F363)</f>
        <v>365</v>
      </c>
      <c r="G363" s="28" t="str">
        <f aca="false">IF(Data!G363="","",IFERROR(VLOOKUP(Data!G363,Codes!$A$18:$B$19,2,FALSE()),"Invalid ("&amp;Data!G363&amp;")"))</f>
        <v>No</v>
      </c>
      <c r="H363" s="28" t="str">
        <f aca="false">IF(Data!H363="","",IFERROR(VLOOKUP(Data!H363,Codes!$A$23:$B$25,2,FALSE()),"Invalid ("&amp;Data!H363&amp;")"))</f>
        <v>ST-T wave abnormality</v>
      </c>
      <c r="I363" s="20" t="n">
        <f aca="false">IF(Data!I363="","",Data!I363)</f>
        <v>134</v>
      </c>
      <c r="J363" s="28" t="str">
        <f aca="false">IF(Data!J363="","",IFERROR(VLOOKUP(Data!J363,Codes!$A$29:$B$30,2,FALSE()),"Invalid ("&amp;Data!J363&amp;")"))</f>
        <v>No</v>
      </c>
      <c r="K363" s="21" t="n">
        <f aca="false">IF(Data!K363="","",Data!K363)</f>
        <v>1</v>
      </c>
      <c r="L363" s="28" t="str">
        <f aca="false">IF(Data!L363="","",IFERROR(VLOOKUP(Data!L363,Codes!$A$34:$B$36,2,FALSE()),"Invalid ("&amp;Data!L363&amp;")"))</f>
        <v>Upsloping</v>
      </c>
      <c r="M363" s="20" t="str">
        <f aca="false">IF(Data!M363="","",Data!M363)</f>
        <v/>
      </c>
      <c r="N363" s="28" t="str">
        <f aca="false">IF(Data!N363="","",IFERROR(VLOOKUP(Data!N363,Codes!$A$47:$B$49,2,FALSE()),"Invalid ("&amp;Data!N363&amp;")"))</f>
        <v/>
      </c>
      <c r="O363" s="28" t="str">
        <f aca="false">IF(Data!O363="","",IFERROR(VLOOKUP(Data!O363,Codes!$A$53:$B$57,2,FALSE()),"Invalid ("&amp;Data!O363&amp;")"))</f>
        <v>No disease</v>
      </c>
      <c r="P363" s="22" t="str">
        <f aca="false">IF(Data!P363="","",IFERROR(VLOOKUP(Data!P363,Codes!$A$61:$B$64,2,FALSE()),"Invalid ("&amp;Data!P363&amp;")"))</f>
        <v>Hungarian Inst. of Cardiology, Budapest</v>
      </c>
    </row>
    <row r="364" customFormat="false" ht="15" hidden="false" customHeight="false" outlineLevel="0" collapsed="false">
      <c r="A364" s="19" t="n">
        <f aca="false">Data!A364</f>
        <v>363</v>
      </c>
      <c r="B364" s="20" t="n">
        <f aca="false">IF(Data!B364="","",Data!B364)</f>
        <v>52</v>
      </c>
      <c r="C364" s="28" t="str">
        <f aca="false">IF(Data!C364="","",IFERROR(VLOOKUP(Data!C364,Codes!$A$6:$B$7,2,FALSE()),"Invalid ("&amp;Data!C364&amp;")"))</f>
        <v>Male</v>
      </c>
      <c r="D364" s="28" t="str">
        <f aca="false">IF(Data!D364="","",IFERROR(VLOOKUP(Data!D364,Codes!$A$11:$B$14,2,FALSE()),"Invalid ("&amp;Data!D364&amp;")"))</f>
        <v>Asymptomatic</v>
      </c>
      <c r="E364" s="20" t="n">
        <f aca="false">IF(Data!E364="","",Data!E364)</f>
        <v>112</v>
      </c>
      <c r="F364" s="20" t="n">
        <f aca="false">IF(Data!F364="","",Data!F364)</f>
        <v>342</v>
      </c>
      <c r="G364" s="28" t="str">
        <f aca="false">IF(Data!G364="","",IFERROR(VLOOKUP(Data!G364,Codes!$A$18:$B$19,2,FALSE()),"Invalid ("&amp;Data!G364&amp;")"))</f>
        <v>No</v>
      </c>
      <c r="H364" s="28" t="str">
        <f aca="false">IF(Data!H364="","",IFERROR(VLOOKUP(Data!H364,Codes!$A$23:$B$25,2,FALSE()),"Invalid ("&amp;Data!H364&amp;")"))</f>
        <v>ST-T wave abnormality</v>
      </c>
      <c r="I364" s="20" t="n">
        <f aca="false">IF(Data!I364="","",Data!I364)</f>
        <v>96</v>
      </c>
      <c r="J364" s="28" t="str">
        <f aca="false">IF(Data!J364="","",IFERROR(VLOOKUP(Data!J364,Codes!$A$29:$B$30,2,FALSE()),"Invalid ("&amp;Data!J364&amp;")"))</f>
        <v>Yes</v>
      </c>
      <c r="K364" s="21" t="n">
        <f aca="false">IF(Data!K364="","",Data!K364)</f>
        <v>1</v>
      </c>
      <c r="L364" s="28" t="str">
        <f aca="false">IF(Data!L364="","",IFERROR(VLOOKUP(Data!L364,Codes!$A$34:$B$36,2,FALSE()),"Invalid ("&amp;Data!L364&amp;")"))</f>
        <v>Flat</v>
      </c>
      <c r="M364" s="20" t="str">
        <f aca="false">IF(Data!M364="","",Data!M364)</f>
        <v/>
      </c>
      <c r="N364" s="28" t="str">
        <f aca="false">IF(Data!N364="","",IFERROR(VLOOKUP(Data!N364,Codes!$A$47:$B$49,2,FALSE()),"Invalid ("&amp;Data!N364&amp;")"))</f>
        <v/>
      </c>
      <c r="O364" s="28" t="str">
        <f aca="false">IF(Data!O364="","",IFERROR(VLOOKUP(Data!O364,Codes!$A$53:$B$57,2,FALSE()),"Invalid ("&amp;Data!O364&amp;")"))</f>
        <v>Disease (3)</v>
      </c>
      <c r="P364" s="22" t="str">
        <f aca="false">IF(Data!P364="","",IFERROR(VLOOKUP(Data!P364,Codes!$A$61:$B$64,2,FALSE()),"Invalid ("&amp;Data!P364&amp;")"))</f>
        <v>Hungarian Inst. of Cardiology, Budapest</v>
      </c>
    </row>
    <row r="365" customFormat="false" ht="15" hidden="false" customHeight="false" outlineLevel="0" collapsed="false">
      <c r="A365" s="19" t="n">
        <f aca="false">Data!A365</f>
        <v>364</v>
      </c>
      <c r="B365" s="20" t="n">
        <f aca="false">IF(Data!B365="","",Data!B365)</f>
        <v>49</v>
      </c>
      <c r="C365" s="28" t="str">
        <f aca="false">IF(Data!C365="","",IFERROR(VLOOKUP(Data!C365,Codes!$A$6:$B$7,2,FALSE()),"Invalid ("&amp;Data!C365&amp;")"))</f>
        <v>Male</v>
      </c>
      <c r="D365" s="28" t="str">
        <f aca="false">IF(Data!D365="","",IFERROR(VLOOKUP(Data!D365,Codes!$A$11:$B$14,2,FALSE()),"Invalid ("&amp;Data!D365&amp;")"))</f>
        <v>Atypical angina</v>
      </c>
      <c r="E365" s="20" t="n">
        <f aca="false">IF(Data!E365="","",Data!E365)</f>
        <v>100</v>
      </c>
      <c r="F365" s="20" t="n">
        <f aca="false">IF(Data!F365="","",Data!F365)</f>
        <v>253</v>
      </c>
      <c r="G365" s="28" t="str">
        <f aca="false">IF(Data!G365="","",IFERROR(VLOOKUP(Data!G365,Codes!$A$18:$B$19,2,FALSE()),"Invalid ("&amp;Data!G365&amp;")"))</f>
        <v>No</v>
      </c>
      <c r="H365" s="28" t="str">
        <f aca="false">IF(Data!H365="","",IFERROR(VLOOKUP(Data!H365,Codes!$A$23:$B$25,2,FALSE()),"Invalid ("&amp;Data!H365&amp;")"))</f>
        <v>Normal</v>
      </c>
      <c r="I365" s="20" t="n">
        <f aca="false">IF(Data!I365="","",Data!I365)</f>
        <v>174</v>
      </c>
      <c r="J365" s="28" t="str">
        <f aca="false">IF(Data!J365="","",IFERROR(VLOOKUP(Data!J365,Codes!$A$29:$B$30,2,FALSE()),"Invalid ("&amp;Data!J365&amp;")"))</f>
        <v>No</v>
      </c>
      <c r="K365" s="21" t="n">
        <f aca="false">IF(Data!K365="","",Data!K365)</f>
        <v>0</v>
      </c>
      <c r="L365" s="28" t="str">
        <f aca="false">IF(Data!L365="","",IFERROR(VLOOKUP(Data!L365,Codes!$A$34:$B$36,2,FALSE()),"Invalid ("&amp;Data!L365&amp;")"))</f>
        <v/>
      </c>
      <c r="M365" s="20" t="str">
        <f aca="false">IF(Data!M365="","",Data!M365)</f>
        <v/>
      </c>
      <c r="N365" s="28" t="str">
        <f aca="false">IF(Data!N365="","",IFERROR(VLOOKUP(Data!N365,Codes!$A$47:$B$49,2,FALSE()),"Invalid ("&amp;Data!N365&amp;")"))</f>
        <v/>
      </c>
      <c r="O365" s="28" t="str">
        <f aca="false">IF(Data!O365="","",IFERROR(VLOOKUP(Data!O365,Codes!$A$53:$B$57,2,FALSE()),"Invalid ("&amp;Data!O365&amp;")"))</f>
        <v>No disease</v>
      </c>
      <c r="P365" s="22" t="str">
        <f aca="false">IF(Data!P365="","",IFERROR(VLOOKUP(Data!P365,Codes!$A$61:$B$64,2,FALSE()),"Invalid ("&amp;Data!P365&amp;")"))</f>
        <v>Hungarian Inst. of Cardiology, Budapest</v>
      </c>
    </row>
    <row r="366" customFormat="false" ht="15" hidden="false" customHeight="false" outlineLevel="0" collapsed="false">
      <c r="A366" s="19" t="n">
        <f aca="false">Data!A366</f>
        <v>365</v>
      </c>
      <c r="B366" s="20" t="n">
        <f aca="false">IF(Data!B366="","",Data!B366)</f>
        <v>43</v>
      </c>
      <c r="C366" s="28" t="str">
        <f aca="false">IF(Data!C366="","",IFERROR(VLOOKUP(Data!C366,Codes!$A$6:$B$7,2,FALSE()),"Invalid ("&amp;Data!C366&amp;")"))</f>
        <v>Female</v>
      </c>
      <c r="D366" s="28" t="str">
        <f aca="false">IF(Data!D366="","",IFERROR(VLOOKUP(Data!D366,Codes!$A$11:$B$14,2,FALSE()),"Invalid ("&amp;Data!D366&amp;")"))</f>
        <v>Non-anginal pain</v>
      </c>
      <c r="E366" s="20" t="n">
        <f aca="false">IF(Data!E366="","",Data!E366)</f>
        <v>150</v>
      </c>
      <c r="F366" s="20" t="str">
        <f aca="false">IF(Data!F366="","",Data!F366)</f>
        <v/>
      </c>
      <c r="G366" s="28" t="str">
        <f aca="false">IF(Data!G366="","",IFERROR(VLOOKUP(Data!G366,Codes!$A$18:$B$19,2,FALSE()),"Invalid ("&amp;Data!G366&amp;")"))</f>
        <v>No</v>
      </c>
      <c r="H366" s="28" t="str">
        <f aca="false">IF(Data!H366="","",IFERROR(VLOOKUP(Data!H366,Codes!$A$23:$B$25,2,FALSE()),"Invalid ("&amp;Data!H366&amp;")"))</f>
        <v>Normal</v>
      </c>
      <c r="I366" s="20" t="n">
        <f aca="false">IF(Data!I366="","",Data!I366)</f>
        <v>175</v>
      </c>
      <c r="J366" s="28" t="str">
        <f aca="false">IF(Data!J366="","",IFERROR(VLOOKUP(Data!J366,Codes!$A$29:$B$30,2,FALSE()),"Invalid ("&amp;Data!J366&amp;")"))</f>
        <v>No</v>
      </c>
      <c r="K366" s="21" t="n">
        <f aca="false">IF(Data!K366="","",Data!K366)</f>
        <v>0</v>
      </c>
      <c r="L366" s="28" t="str">
        <f aca="false">IF(Data!L366="","",IFERROR(VLOOKUP(Data!L366,Codes!$A$34:$B$36,2,FALSE()),"Invalid ("&amp;Data!L366&amp;")"))</f>
        <v/>
      </c>
      <c r="M366" s="20" t="str">
        <f aca="false">IF(Data!M366="","",Data!M366)</f>
        <v/>
      </c>
      <c r="N366" s="28" t="str">
        <f aca="false">IF(Data!N366="","",IFERROR(VLOOKUP(Data!N366,Codes!$A$47:$B$49,2,FALSE()),"Invalid ("&amp;Data!N366&amp;")"))</f>
        <v>Normal</v>
      </c>
      <c r="O366" s="28" t="str">
        <f aca="false">IF(Data!O366="","",IFERROR(VLOOKUP(Data!O366,Codes!$A$53:$B$57,2,FALSE()),"Invalid ("&amp;Data!O366&amp;")"))</f>
        <v>No disease</v>
      </c>
      <c r="P366" s="22" t="str">
        <f aca="false">IF(Data!P366="","",IFERROR(VLOOKUP(Data!P366,Codes!$A$61:$B$64,2,FALSE()),"Invalid ("&amp;Data!P366&amp;")"))</f>
        <v>Hungarian Inst. of Cardiology, Budapest</v>
      </c>
    </row>
    <row r="367" customFormat="false" ht="15" hidden="false" customHeight="false" outlineLevel="0" collapsed="false">
      <c r="A367" s="19" t="n">
        <f aca="false">Data!A367</f>
        <v>366</v>
      </c>
      <c r="B367" s="20" t="n">
        <f aca="false">IF(Data!B367="","",Data!B367)</f>
        <v>45</v>
      </c>
      <c r="C367" s="28" t="str">
        <f aca="false">IF(Data!C367="","",IFERROR(VLOOKUP(Data!C367,Codes!$A$6:$B$7,2,FALSE()),"Invalid ("&amp;Data!C367&amp;")"))</f>
        <v>Male</v>
      </c>
      <c r="D367" s="28" t="str">
        <f aca="false">IF(Data!D367="","",IFERROR(VLOOKUP(Data!D367,Codes!$A$11:$B$14,2,FALSE()),"Invalid ("&amp;Data!D367&amp;")"))</f>
        <v>Asymptomatic</v>
      </c>
      <c r="E367" s="20" t="n">
        <f aca="false">IF(Data!E367="","",Data!E367)</f>
        <v>140</v>
      </c>
      <c r="F367" s="20" t="n">
        <f aca="false">IF(Data!F367="","",Data!F367)</f>
        <v>224</v>
      </c>
      <c r="G367" s="28" t="str">
        <f aca="false">IF(Data!G367="","",IFERROR(VLOOKUP(Data!G367,Codes!$A$18:$B$19,2,FALSE()),"Invalid ("&amp;Data!G367&amp;")"))</f>
        <v>No</v>
      </c>
      <c r="H367" s="28" t="str">
        <f aca="false">IF(Data!H367="","",IFERROR(VLOOKUP(Data!H367,Codes!$A$23:$B$25,2,FALSE()),"Invalid ("&amp;Data!H367&amp;")"))</f>
        <v>Normal</v>
      </c>
      <c r="I367" s="20" t="n">
        <f aca="false">IF(Data!I367="","",Data!I367)</f>
        <v>144</v>
      </c>
      <c r="J367" s="28" t="str">
        <f aca="false">IF(Data!J367="","",IFERROR(VLOOKUP(Data!J367,Codes!$A$29:$B$30,2,FALSE()),"Invalid ("&amp;Data!J367&amp;")"))</f>
        <v>No</v>
      </c>
      <c r="K367" s="21" t="n">
        <f aca="false">IF(Data!K367="","",Data!K367)</f>
        <v>0</v>
      </c>
      <c r="L367" s="28" t="str">
        <f aca="false">IF(Data!L367="","",IFERROR(VLOOKUP(Data!L367,Codes!$A$34:$B$36,2,FALSE()),"Invalid ("&amp;Data!L367&amp;")"))</f>
        <v/>
      </c>
      <c r="M367" s="20" t="str">
        <f aca="false">IF(Data!M367="","",Data!M367)</f>
        <v/>
      </c>
      <c r="N367" s="28" t="str">
        <f aca="false">IF(Data!N367="","",IFERROR(VLOOKUP(Data!N367,Codes!$A$47:$B$49,2,FALSE()),"Invalid ("&amp;Data!N367&amp;")"))</f>
        <v/>
      </c>
      <c r="O367" s="28" t="str">
        <f aca="false">IF(Data!O367="","",IFERROR(VLOOKUP(Data!O367,Codes!$A$53:$B$57,2,FALSE()),"Invalid ("&amp;Data!O367&amp;")"))</f>
        <v>No disease</v>
      </c>
      <c r="P367" s="22" t="str">
        <f aca="false">IF(Data!P367="","",IFERROR(VLOOKUP(Data!P367,Codes!$A$61:$B$64,2,FALSE()),"Invalid ("&amp;Data!P367&amp;")"))</f>
        <v>Hungarian Inst. of Cardiology, Budapest</v>
      </c>
    </row>
    <row r="368" customFormat="false" ht="15" hidden="false" customHeight="false" outlineLevel="0" collapsed="false">
      <c r="A368" s="19" t="n">
        <f aca="false">Data!A368</f>
        <v>367</v>
      </c>
      <c r="B368" s="20" t="n">
        <f aca="false">IF(Data!B368="","",Data!B368)</f>
        <v>46</v>
      </c>
      <c r="C368" s="28" t="str">
        <f aca="false">IF(Data!C368="","",IFERROR(VLOOKUP(Data!C368,Codes!$A$6:$B$7,2,FALSE()),"Invalid ("&amp;Data!C368&amp;")"))</f>
        <v>Male</v>
      </c>
      <c r="D368" s="28" t="str">
        <f aca="false">IF(Data!D368="","",IFERROR(VLOOKUP(Data!D368,Codes!$A$11:$B$14,2,FALSE()),"Invalid ("&amp;Data!D368&amp;")"))</f>
        <v>Asymptomatic</v>
      </c>
      <c r="E368" s="20" t="n">
        <f aca="false">IF(Data!E368="","",Data!E368)</f>
        <v>120</v>
      </c>
      <c r="F368" s="20" t="n">
        <f aca="false">IF(Data!F368="","",Data!F368)</f>
        <v>277</v>
      </c>
      <c r="G368" s="28" t="str">
        <f aca="false">IF(Data!G368="","",IFERROR(VLOOKUP(Data!G368,Codes!$A$18:$B$19,2,FALSE()),"Invalid ("&amp;Data!G368&amp;")"))</f>
        <v>No</v>
      </c>
      <c r="H368" s="28" t="str">
        <f aca="false">IF(Data!H368="","",IFERROR(VLOOKUP(Data!H368,Codes!$A$23:$B$25,2,FALSE()),"Invalid ("&amp;Data!H368&amp;")"))</f>
        <v>Normal</v>
      </c>
      <c r="I368" s="20" t="n">
        <f aca="false">IF(Data!I368="","",Data!I368)</f>
        <v>125</v>
      </c>
      <c r="J368" s="28" t="str">
        <f aca="false">IF(Data!J368="","",IFERROR(VLOOKUP(Data!J368,Codes!$A$29:$B$30,2,FALSE()),"Invalid ("&amp;Data!J368&amp;")"))</f>
        <v>Yes</v>
      </c>
      <c r="K368" s="21" t="n">
        <f aca="false">IF(Data!K368="","",Data!K368)</f>
        <v>1</v>
      </c>
      <c r="L368" s="28" t="str">
        <f aca="false">IF(Data!L368="","",IFERROR(VLOOKUP(Data!L368,Codes!$A$34:$B$36,2,FALSE()),"Invalid ("&amp;Data!L368&amp;")"))</f>
        <v>Flat</v>
      </c>
      <c r="M368" s="20" t="str">
        <f aca="false">IF(Data!M368="","",Data!M368)</f>
        <v/>
      </c>
      <c r="N368" s="28" t="str">
        <f aca="false">IF(Data!N368="","",IFERROR(VLOOKUP(Data!N368,Codes!$A$47:$B$49,2,FALSE()),"Invalid ("&amp;Data!N368&amp;")"))</f>
        <v/>
      </c>
      <c r="O368" s="28" t="str">
        <f aca="false">IF(Data!O368="","",IFERROR(VLOOKUP(Data!O368,Codes!$A$53:$B$57,2,FALSE()),"Invalid ("&amp;Data!O368&amp;")"))</f>
        <v>Disease (1)</v>
      </c>
      <c r="P368" s="22" t="str">
        <f aca="false">IF(Data!P368="","",IFERROR(VLOOKUP(Data!P368,Codes!$A$61:$B$64,2,FALSE()),"Invalid ("&amp;Data!P368&amp;")"))</f>
        <v>Hungarian Inst. of Cardiology, Budapest</v>
      </c>
    </row>
    <row r="369" customFormat="false" ht="15" hidden="false" customHeight="false" outlineLevel="0" collapsed="false">
      <c r="A369" s="19" t="n">
        <f aca="false">Data!A369</f>
        <v>368</v>
      </c>
      <c r="B369" s="20" t="n">
        <f aca="false">IF(Data!B369="","",Data!B369)</f>
        <v>50</v>
      </c>
      <c r="C369" s="28" t="str">
        <f aca="false">IF(Data!C369="","",IFERROR(VLOOKUP(Data!C369,Codes!$A$6:$B$7,2,FALSE()),"Invalid ("&amp;Data!C369&amp;")"))</f>
        <v>Female</v>
      </c>
      <c r="D369" s="28" t="str">
        <f aca="false">IF(Data!D369="","",IFERROR(VLOOKUP(Data!D369,Codes!$A$11:$B$14,2,FALSE()),"Invalid ("&amp;Data!D369&amp;")"))</f>
        <v>Atypical angina</v>
      </c>
      <c r="E369" s="20" t="n">
        <f aca="false">IF(Data!E369="","",Data!E369)</f>
        <v>110</v>
      </c>
      <c r="F369" s="20" t="n">
        <f aca="false">IF(Data!F369="","",Data!F369)</f>
        <v>202</v>
      </c>
      <c r="G369" s="28" t="str">
        <f aca="false">IF(Data!G369="","",IFERROR(VLOOKUP(Data!G369,Codes!$A$18:$B$19,2,FALSE()),"Invalid ("&amp;Data!G369&amp;")"))</f>
        <v>No</v>
      </c>
      <c r="H369" s="28" t="str">
        <f aca="false">IF(Data!H369="","",IFERROR(VLOOKUP(Data!H369,Codes!$A$23:$B$25,2,FALSE()),"Invalid ("&amp;Data!H369&amp;")"))</f>
        <v>Normal</v>
      </c>
      <c r="I369" s="20" t="n">
        <f aca="false">IF(Data!I369="","",Data!I369)</f>
        <v>145</v>
      </c>
      <c r="J369" s="28" t="str">
        <f aca="false">IF(Data!J369="","",IFERROR(VLOOKUP(Data!J369,Codes!$A$29:$B$30,2,FALSE()),"Invalid ("&amp;Data!J369&amp;")"))</f>
        <v>No</v>
      </c>
      <c r="K369" s="21" t="n">
        <f aca="false">IF(Data!K369="","",Data!K369)</f>
        <v>0</v>
      </c>
      <c r="L369" s="28" t="str">
        <f aca="false">IF(Data!L369="","",IFERROR(VLOOKUP(Data!L369,Codes!$A$34:$B$36,2,FALSE()),"Invalid ("&amp;Data!L369&amp;")"))</f>
        <v/>
      </c>
      <c r="M369" s="20" t="str">
        <f aca="false">IF(Data!M369="","",Data!M369)</f>
        <v/>
      </c>
      <c r="N369" s="28" t="str">
        <f aca="false">IF(Data!N369="","",IFERROR(VLOOKUP(Data!N369,Codes!$A$47:$B$49,2,FALSE()),"Invalid ("&amp;Data!N369&amp;")"))</f>
        <v/>
      </c>
      <c r="O369" s="28" t="str">
        <f aca="false">IF(Data!O369="","",IFERROR(VLOOKUP(Data!O369,Codes!$A$53:$B$57,2,FALSE()),"Invalid ("&amp;Data!O369&amp;")"))</f>
        <v>No disease</v>
      </c>
      <c r="P369" s="22" t="str">
        <f aca="false">IF(Data!P369="","",IFERROR(VLOOKUP(Data!P369,Codes!$A$61:$B$64,2,FALSE()),"Invalid ("&amp;Data!P369&amp;")"))</f>
        <v>Hungarian Inst. of Cardiology, Budapest</v>
      </c>
    </row>
    <row r="370" customFormat="false" ht="15" hidden="false" customHeight="false" outlineLevel="0" collapsed="false">
      <c r="A370" s="19" t="n">
        <f aca="false">Data!A370</f>
        <v>369</v>
      </c>
      <c r="B370" s="20" t="n">
        <f aca="false">IF(Data!B370="","",Data!B370)</f>
        <v>37</v>
      </c>
      <c r="C370" s="28" t="str">
        <f aca="false">IF(Data!C370="","",IFERROR(VLOOKUP(Data!C370,Codes!$A$6:$B$7,2,FALSE()),"Invalid ("&amp;Data!C370&amp;")"))</f>
        <v>Female</v>
      </c>
      <c r="D370" s="28" t="str">
        <f aca="false">IF(Data!D370="","",IFERROR(VLOOKUP(Data!D370,Codes!$A$11:$B$14,2,FALSE()),"Invalid ("&amp;Data!D370&amp;")"))</f>
        <v>Atypical angina</v>
      </c>
      <c r="E370" s="20" t="n">
        <f aca="false">IF(Data!E370="","",Data!E370)</f>
        <v>120</v>
      </c>
      <c r="F370" s="20" t="n">
        <f aca="false">IF(Data!F370="","",Data!F370)</f>
        <v>260</v>
      </c>
      <c r="G370" s="28" t="str">
        <f aca="false">IF(Data!G370="","",IFERROR(VLOOKUP(Data!G370,Codes!$A$18:$B$19,2,FALSE()),"Invalid ("&amp;Data!G370&amp;")"))</f>
        <v>No</v>
      </c>
      <c r="H370" s="28" t="str">
        <f aca="false">IF(Data!H370="","",IFERROR(VLOOKUP(Data!H370,Codes!$A$23:$B$25,2,FALSE()),"Invalid ("&amp;Data!H370&amp;")"))</f>
        <v>Normal</v>
      </c>
      <c r="I370" s="20" t="n">
        <f aca="false">IF(Data!I370="","",Data!I370)</f>
        <v>130</v>
      </c>
      <c r="J370" s="28" t="str">
        <f aca="false">IF(Data!J370="","",IFERROR(VLOOKUP(Data!J370,Codes!$A$29:$B$30,2,FALSE()),"Invalid ("&amp;Data!J370&amp;")"))</f>
        <v>No</v>
      </c>
      <c r="K370" s="21" t="n">
        <f aca="false">IF(Data!K370="","",Data!K370)</f>
        <v>0</v>
      </c>
      <c r="L370" s="28" t="str">
        <f aca="false">IF(Data!L370="","",IFERROR(VLOOKUP(Data!L370,Codes!$A$34:$B$36,2,FALSE()),"Invalid ("&amp;Data!L370&amp;")"))</f>
        <v/>
      </c>
      <c r="M370" s="20" t="str">
        <f aca="false">IF(Data!M370="","",Data!M370)</f>
        <v/>
      </c>
      <c r="N370" s="28" t="str">
        <f aca="false">IF(Data!N370="","",IFERROR(VLOOKUP(Data!N370,Codes!$A$47:$B$49,2,FALSE()),"Invalid ("&amp;Data!N370&amp;")"))</f>
        <v/>
      </c>
      <c r="O370" s="28" t="str">
        <f aca="false">IF(Data!O370="","",IFERROR(VLOOKUP(Data!O370,Codes!$A$53:$B$57,2,FALSE()),"Invalid ("&amp;Data!O370&amp;")"))</f>
        <v>No disease</v>
      </c>
      <c r="P370" s="22" t="str">
        <f aca="false">IF(Data!P370="","",IFERROR(VLOOKUP(Data!P370,Codes!$A$61:$B$64,2,FALSE()),"Invalid ("&amp;Data!P370&amp;")"))</f>
        <v>Hungarian Inst. of Cardiology, Budapest</v>
      </c>
    </row>
    <row r="371" customFormat="false" ht="15" hidden="false" customHeight="false" outlineLevel="0" collapsed="false">
      <c r="A371" s="19" t="n">
        <f aca="false">Data!A371</f>
        <v>370</v>
      </c>
      <c r="B371" s="20" t="n">
        <f aca="false">IF(Data!B371="","",Data!B371)</f>
        <v>45</v>
      </c>
      <c r="C371" s="28" t="str">
        <f aca="false">IF(Data!C371="","",IFERROR(VLOOKUP(Data!C371,Codes!$A$6:$B$7,2,FALSE()),"Invalid ("&amp;Data!C371&amp;")"))</f>
        <v>Female</v>
      </c>
      <c r="D371" s="28" t="str">
        <f aca="false">IF(Data!D371="","",IFERROR(VLOOKUP(Data!D371,Codes!$A$11:$B$14,2,FALSE()),"Invalid ("&amp;Data!D371&amp;")"))</f>
        <v>Asymptomatic</v>
      </c>
      <c r="E371" s="20" t="n">
        <f aca="false">IF(Data!E371="","",Data!E371)</f>
        <v>132</v>
      </c>
      <c r="F371" s="20" t="n">
        <f aca="false">IF(Data!F371="","",Data!F371)</f>
        <v>297</v>
      </c>
      <c r="G371" s="28" t="str">
        <f aca="false">IF(Data!G371="","",IFERROR(VLOOKUP(Data!G371,Codes!$A$18:$B$19,2,FALSE()),"Invalid ("&amp;Data!G371&amp;")"))</f>
        <v>No</v>
      </c>
      <c r="H371" s="28" t="str">
        <f aca="false">IF(Data!H371="","",IFERROR(VLOOKUP(Data!H371,Codes!$A$23:$B$25,2,FALSE()),"Invalid ("&amp;Data!H371&amp;")"))</f>
        <v>Normal</v>
      </c>
      <c r="I371" s="20" t="n">
        <f aca="false">IF(Data!I371="","",Data!I371)</f>
        <v>144</v>
      </c>
      <c r="J371" s="28" t="str">
        <f aca="false">IF(Data!J371="","",IFERROR(VLOOKUP(Data!J371,Codes!$A$29:$B$30,2,FALSE()),"Invalid ("&amp;Data!J371&amp;")"))</f>
        <v>No</v>
      </c>
      <c r="K371" s="21" t="n">
        <f aca="false">IF(Data!K371="","",Data!K371)</f>
        <v>0</v>
      </c>
      <c r="L371" s="28" t="str">
        <f aca="false">IF(Data!L371="","",IFERROR(VLOOKUP(Data!L371,Codes!$A$34:$B$36,2,FALSE()),"Invalid ("&amp;Data!L371&amp;")"))</f>
        <v/>
      </c>
      <c r="M371" s="20" t="str">
        <f aca="false">IF(Data!M371="","",Data!M371)</f>
        <v/>
      </c>
      <c r="N371" s="28" t="str">
        <f aca="false">IF(Data!N371="","",IFERROR(VLOOKUP(Data!N371,Codes!$A$47:$B$49,2,FALSE()),"Invalid ("&amp;Data!N371&amp;")"))</f>
        <v/>
      </c>
      <c r="O371" s="28" t="str">
        <f aca="false">IF(Data!O371="","",IFERROR(VLOOKUP(Data!O371,Codes!$A$53:$B$57,2,FALSE()),"Invalid ("&amp;Data!O371&amp;")"))</f>
        <v>No disease</v>
      </c>
      <c r="P371" s="22" t="str">
        <f aca="false">IF(Data!P371="","",IFERROR(VLOOKUP(Data!P371,Codes!$A$61:$B$64,2,FALSE()),"Invalid ("&amp;Data!P371&amp;")"))</f>
        <v>Hungarian Inst. of Cardiology, Budapest</v>
      </c>
    </row>
    <row r="372" customFormat="false" ht="15" hidden="false" customHeight="false" outlineLevel="0" collapsed="false">
      <c r="A372" s="19" t="n">
        <f aca="false">Data!A372</f>
        <v>371</v>
      </c>
      <c r="B372" s="20" t="n">
        <f aca="false">IF(Data!B372="","",Data!B372)</f>
        <v>32</v>
      </c>
      <c r="C372" s="28" t="str">
        <f aca="false">IF(Data!C372="","",IFERROR(VLOOKUP(Data!C372,Codes!$A$6:$B$7,2,FALSE()),"Invalid ("&amp;Data!C372&amp;")"))</f>
        <v>Male</v>
      </c>
      <c r="D372" s="28" t="str">
        <f aca="false">IF(Data!D372="","",IFERROR(VLOOKUP(Data!D372,Codes!$A$11:$B$14,2,FALSE()),"Invalid ("&amp;Data!D372&amp;")"))</f>
        <v>Atypical angina</v>
      </c>
      <c r="E372" s="20" t="n">
        <f aca="false">IF(Data!E372="","",Data!E372)</f>
        <v>110</v>
      </c>
      <c r="F372" s="20" t="n">
        <f aca="false">IF(Data!F372="","",Data!F372)</f>
        <v>225</v>
      </c>
      <c r="G372" s="28" t="str">
        <f aca="false">IF(Data!G372="","",IFERROR(VLOOKUP(Data!G372,Codes!$A$18:$B$19,2,FALSE()),"Invalid ("&amp;Data!G372&amp;")"))</f>
        <v>No</v>
      </c>
      <c r="H372" s="28" t="str">
        <f aca="false">IF(Data!H372="","",IFERROR(VLOOKUP(Data!H372,Codes!$A$23:$B$25,2,FALSE()),"Invalid ("&amp;Data!H372&amp;")"))</f>
        <v>Normal</v>
      </c>
      <c r="I372" s="20" t="n">
        <f aca="false">IF(Data!I372="","",Data!I372)</f>
        <v>184</v>
      </c>
      <c r="J372" s="28" t="str">
        <f aca="false">IF(Data!J372="","",IFERROR(VLOOKUP(Data!J372,Codes!$A$29:$B$30,2,FALSE()),"Invalid ("&amp;Data!J372&amp;")"))</f>
        <v>No</v>
      </c>
      <c r="K372" s="21" t="n">
        <f aca="false">IF(Data!K372="","",Data!K372)</f>
        <v>0</v>
      </c>
      <c r="L372" s="28" t="str">
        <f aca="false">IF(Data!L372="","",IFERROR(VLOOKUP(Data!L372,Codes!$A$34:$B$36,2,FALSE()),"Invalid ("&amp;Data!L372&amp;")"))</f>
        <v/>
      </c>
      <c r="M372" s="20" t="str">
        <f aca="false">IF(Data!M372="","",Data!M372)</f>
        <v/>
      </c>
      <c r="N372" s="28" t="str">
        <f aca="false">IF(Data!N372="","",IFERROR(VLOOKUP(Data!N372,Codes!$A$47:$B$49,2,FALSE()),"Invalid ("&amp;Data!N372&amp;")"))</f>
        <v/>
      </c>
      <c r="O372" s="28" t="str">
        <f aca="false">IF(Data!O372="","",IFERROR(VLOOKUP(Data!O372,Codes!$A$53:$B$57,2,FALSE()),"Invalid ("&amp;Data!O372&amp;")"))</f>
        <v>No disease</v>
      </c>
      <c r="P372" s="22" t="str">
        <f aca="false">IF(Data!P372="","",IFERROR(VLOOKUP(Data!P372,Codes!$A$61:$B$64,2,FALSE()),"Invalid ("&amp;Data!P372&amp;")"))</f>
        <v>Hungarian Inst. of Cardiology, Budapest</v>
      </c>
    </row>
    <row r="373" customFormat="false" ht="15" hidden="false" customHeight="false" outlineLevel="0" collapsed="false">
      <c r="A373" s="19" t="n">
        <f aca="false">Data!A373</f>
        <v>372</v>
      </c>
      <c r="B373" s="20" t="n">
        <f aca="false">IF(Data!B373="","",Data!B373)</f>
        <v>52</v>
      </c>
      <c r="C373" s="28" t="str">
        <f aca="false">IF(Data!C373="","",IFERROR(VLOOKUP(Data!C373,Codes!$A$6:$B$7,2,FALSE()),"Invalid ("&amp;Data!C373&amp;")"))</f>
        <v>Male</v>
      </c>
      <c r="D373" s="28" t="str">
        <f aca="false">IF(Data!D373="","",IFERROR(VLOOKUP(Data!D373,Codes!$A$11:$B$14,2,FALSE()),"Invalid ("&amp;Data!D373&amp;")"))</f>
        <v>Asymptomatic</v>
      </c>
      <c r="E373" s="20" t="n">
        <f aca="false">IF(Data!E373="","",Data!E373)</f>
        <v>160</v>
      </c>
      <c r="F373" s="20" t="n">
        <f aca="false">IF(Data!F373="","",Data!F373)</f>
        <v>246</v>
      </c>
      <c r="G373" s="28" t="str">
        <f aca="false">IF(Data!G373="","",IFERROR(VLOOKUP(Data!G373,Codes!$A$18:$B$19,2,FALSE()),"Invalid ("&amp;Data!G373&amp;")"))</f>
        <v>No</v>
      </c>
      <c r="H373" s="28" t="str">
        <f aca="false">IF(Data!H373="","",IFERROR(VLOOKUP(Data!H373,Codes!$A$23:$B$25,2,FALSE()),"Invalid ("&amp;Data!H373&amp;")"))</f>
        <v>ST-T wave abnormality</v>
      </c>
      <c r="I373" s="20" t="n">
        <f aca="false">IF(Data!I373="","",Data!I373)</f>
        <v>82</v>
      </c>
      <c r="J373" s="28" t="str">
        <f aca="false">IF(Data!J373="","",IFERROR(VLOOKUP(Data!J373,Codes!$A$29:$B$30,2,FALSE()),"Invalid ("&amp;Data!J373&amp;")"))</f>
        <v>Yes</v>
      </c>
      <c r="K373" s="21" t="n">
        <f aca="false">IF(Data!K373="","",Data!K373)</f>
        <v>4</v>
      </c>
      <c r="L373" s="28" t="str">
        <f aca="false">IF(Data!L373="","",IFERROR(VLOOKUP(Data!L373,Codes!$A$34:$B$36,2,FALSE()),"Invalid ("&amp;Data!L373&amp;")"))</f>
        <v>Flat</v>
      </c>
      <c r="M373" s="20" t="str">
        <f aca="false">IF(Data!M373="","",Data!M373)</f>
        <v/>
      </c>
      <c r="N373" s="28" t="str">
        <f aca="false">IF(Data!N373="","",IFERROR(VLOOKUP(Data!N373,Codes!$A$47:$B$49,2,FALSE()),"Invalid ("&amp;Data!N373&amp;")"))</f>
        <v/>
      </c>
      <c r="O373" s="28" t="str">
        <f aca="false">IF(Data!O373="","",IFERROR(VLOOKUP(Data!O373,Codes!$A$53:$B$57,2,FALSE()),"Invalid ("&amp;Data!O373&amp;")"))</f>
        <v>Disease (3)</v>
      </c>
      <c r="P373" s="22" t="str">
        <f aca="false">IF(Data!P373="","",IFERROR(VLOOKUP(Data!P373,Codes!$A$61:$B$64,2,FALSE()),"Invalid ("&amp;Data!P373&amp;")"))</f>
        <v>Hungarian Inst. of Cardiology, Budapest</v>
      </c>
    </row>
    <row r="374" customFormat="false" ht="15" hidden="false" customHeight="false" outlineLevel="0" collapsed="false">
      <c r="A374" s="19" t="n">
        <f aca="false">Data!A374</f>
        <v>373</v>
      </c>
      <c r="B374" s="20" t="n">
        <f aca="false">IF(Data!B374="","",Data!B374)</f>
        <v>44</v>
      </c>
      <c r="C374" s="28" t="str">
        <f aca="false">IF(Data!C374="","",IFERROR(VLOOKUP(Data!C374,Codes!$A$6:$B$7,2,FALSE()),"Invalid ("&amp;Data!C374&amp;")"))</f>
        <v>Male</v>
      </c>
      <c r="D374" s="28" t="str">
        <f aca="false">IF(Data!D374="","",IFERROR(VLOOKUP(Data!D374,Codes!$A$11:$B$14,2,FALSE()),"Invalid ("&amp;Data!D374&amp;")"))</f>
        <v>Asymptomatic</v>
      </c>
      <c r="E374" s="20" t="n">
        <f aca="false">IF(Data!E374="","",Data!E374)</f>
        <v>150</v>
      </c>
      <c r="F374" s="20" t="n">
        <f aca="false">IF(Data!F374="","",Data!F374)</f>
        <v>412</v>
      </c>
      <c r="G374" s="28" t="str">
        <f aca="false">IF(Data!G374="","",IFERROR(VLOOKUP(Data!G374,Codes!$A$18:$B$19,2,FALSE()),"Invalid ("&amp;Data!G374&amp;")"))</f>
        <v>No</v>
      </c>
      <c r="H374" s="28" t="str">
        <f aca="false">IF(Data!H374="","",IFERROR(VLOOKUP(Data!H374,Codes!$A$23:$B$25,2,FALSE()),"Invalid ("&amp;Data!H374&amp;")"))</f>
        <v>Normal</v>
      </c>
      <c r="I374" s="20" t="n">
        <f aca="false">IF(Data!I374="","",Data!I374)</f>
        <v>170</v>
      </c>
      <c r="J374" s="28" t="str">
        <f aca="false">IF(Data!J374="","",IFERROR(VLOOKUP(Data!J374,Codes!$A$29:$B$30,2,FALSE()),"Invalid ("&amp;Data!J374&amp;")"))</f>
        <v>No</v>
      </c>
      <c r="K374" s="21" t="n">
        <f aca="false">IF(Data!K374="","",Data!K374)</f>
        <v>0</v>
      </c>
      <c r="L374" s="28" t="str">
        <f aca="false">IF(Data!L374="","",IFERROR(VLOOKUP(Data!L374,Codes!$A$34:$B$36,2,FALSE()),"Invalid ("&amp;Data!L374&amp;")"))</f>
        <v/>
      </c>
      <c r="M374" s="20" t="str">
        <f aca="false">IF(Data!M374="","",Data!M374)</f>
        <v/>
      </c>
      <c r="N374" s="28" t="str">
        <f aca="false">IF(Data!N374="","",IFERROR(VLOOKUP(Data!N374,Codes!$A$47:$B$49,2,FALSE()),"Invalid ("&amp;Data!N374&amp;")"))</f>
        <v/>
      </c>
      <c r="O374" s="28" t="str">
        <f aca="false">IF(Data!O374="","",IFERROR(VLOOKUP(Data!O374,Codes!$A$53:$B$57,2,FALSE()),"Invalid ("&amp;Data!O374&amp;")"))</f>
        <v>No disease</v>
      </c>
      <c r="P374" s="22" t="str">
        <f aca="false">IF(Data!P374="","",IFERROR(VLOOKUP(Data!P374,Codes!$A$61:$B$64,2,FALSE()),"Invalid ("&amp;Data!P374&amp;")"))</f>
        <v>Hungarian Inst. of Cardiology, Budapest</v>
      </c>
    </row>
    <row r="375" customFormat="false" ht="15" hidden="false" customHeight="false" outlineLevel="0" collapsed="false">
      <c r="A375" s="19" t="n">
        <f aca="false">Data!A375</f>
        <v>374</v>
      </c>
      <c r="B375" s="20" t="n">
        <f aca="false">IF(Data!B375="","",Data!B375)</f>
        <v>57</v>
      </c>
      <c r="C375" s="28" t="str">
        <f aca="false">IF(Data!C375="","",IFERROR(VLOOKUP(Data!C375,Codes!$A$6:$B$7,2,FALSE()),"Invalid ("&amp;Data!C375&amp;")"))</f>
        <v>Male</v>
      </c>
      <c r="D375" s="28" t="str">
        <f aca="false">IF(Data!D375="","",IFERROR(VLOOKUP(Data!D375,Codes!$A$11:$B$14,2,FALSE()),"Invalid ("&amp;Data!D375&amp;")"))</f>
        <v>Atypical angina</v>
      </c>
      <c r="E375" s="20" t="n">
        <f aca="false">IF(Data!E375="","",Data!E375)</f>
        <v>140</v>
      </c>
      <c r="F375" s="20" t="n">
        <f aca="false">IF(Data!F375="","",Data!F375)</f>
        <v>265</v>
      </c>
      <c r="G375" s="28" t="str">
        <f aca="false">IF(Data!G375="","",IFERROR(VLOOKUP(Data!G375,Codes!$A$18:$B$19,2,FALSE()),"Invalid ("&amp;Data!G375&amp;")"))</f>
        <v>No</v>
      </c>
      <c r="H375" s="28" t="str">
        <f aca="false">IF(Data!H375="","",IFERROR(VLOOKUP(Data!H375,Codes!$A$23:$B$25,2,FALSE()),"Invalid ("&amp;Data!H375&amp;")"))</f>
        <v>ST-T wave abnormality</v>
      </c>
      <c r="I375" s="20" t="n">
        <f aca="false">IF(Data!I375="","",Data!I375)</f>
        <v>145</v>
      </c>
      <c r="J375" s="28" t="str">
        <f aca="false">IF(Data!J375="","",IFERROR(VLOOKUP(Data!J375,Codes!$A$29:$B$30,2,FALSE()),"Invalid ("&amp;Data!J375&amp;")"))</f>
        <v>Yes</v>
      </c>
      <c r="K375" s="21" t="n">
        <f aca="false">IF(Data!K375="","",Data!K375)</f>
        <v>1</v>
      </c>
      <c r="L375" s="28" t="str">
        <f aca="false">IF(Data!L375="","",IFERROR(VLOOKUP(Data!L375,Codes!$A$34:$B$36,2,FALSE()),"Invalid ("&amp;Data!L375&amp;")"))</f>
        <v>Flat</v>
      </c>
      <c r="M375" s="20" t="str">
        <f aca="false">IF(Data!M375="","",Data!M375)</f>
        <v/>
      </c>
      <c r="N375" s="28" t="str">
        <f aca="false">IF(Data!N375="","",IFERROR(VLOOKUP(Data!N375,Codes!$A$47:$B$49,2,FALSE()),"Invalid ("&amp;Data!N375&amp;")"))</f>
        <v/>
      </c>
      <c r="O375" s="28" t="str">
        <f aca="false">IF(Data!O375="","",IFERROR(VLOOKUP(Data!O375,Codes!$A$53:$B$57,2,FALSE()),"Invalid ("&amp;Data!O375&amp;")"))</f>
        <v>Disease (1)</v>
      </c>
      <c r="P375" s="22" t="str">
        <f aca="false">IF(Data!P375="","",IFERROR(VLOOKUP(Data!P375,Codes!$A$61:$B$64,2,FALSE()),"Invalid ("&amp;Data!P375&amp;")"))</f>
        <v>Hungarian Inst. of Cardiology, Budapest</v>
      </c>
    </row>
    <row r="376" customFormat="false" ht="15" hidden="false" customHeight="false" outlineLevel="0" collapsed="false">
      <c r="A376" s="19" t="n">
        <f aca="false">Data!A376</f>
        <v>375</v>
      </c>
      <c r="B376" s="20" t="n">
        <f aca="false">IF(Data!B376="","",Data!B376)</f>
        <v>44</v>
      </c>
      <c r="C376" s="28" t="str">
        <f aca="false">IF(Data!C376="","",IFERROR(VLOOKUP(Data!C376,Codes!$A$6:$B$7,2,FALSE()),"Invalid ("&amp;Data!C376&amp;")"))</f>
        <v>Male</v>
      </c>
      <c r="D376" s="28" t="str">
        <f aca="false">IF(Data!D376="","",IFERROR(VLOOKUP(Data!D376,Codes!$A$11:$B$14,2,FALSE()),"Invalid ("&amp;Data!D376&amp;")"))</f>
        <v>Atypical angina</v>
      </c>
      <c r="E376" s="20" t="n">
        <f aca="false">IF(Data!E376="","",Data!E376)</f>
        <v>130</v>
      </c>
      <c r="F376" s="20" t="n">
        <f aca="false">IF(Data!F376="","",Data!F376)</f>
        <v>215</v>
      </c>
      <c r="G376" s="28" t="str">
        <f aca="false">IF(Data!G376="","",IFERROR(VLOOKUP(Data!G376,Codes!$A$18:$B$19,2,FALSE()),"Invalid ("&amp;Data!G376&amp;")"))</f>
        <v>No</v>
      </c>
      <c r="H376" s="28" t="str">
        <f aca="false">IF(Data!H376="","",IFERROR(VLOOKUP(Data!H376,Codes!$A$23:$B$25,2,FALSE()),"Invalid ("&amp;Data!H376&amp;")"))</f>
        <v>Normal</v>
      </c>
      <c r="I376" s="20" t="n">
        <f aca="false">IF(Data!I376="","",Data!I376)</f>
        <v>135</v>
      </c>
      <c r="J376" s="28" t="str">
        <f aca="false">IF(Data!J376="","",IFERROR(VLOOKUP(Data!J376,Codes!$A$29:$B$30,2,FALSE()),"Invalid ("&amp;Data!J376&amp;")"))</f>
        <v>No</v>
      </c>
      <c r="K376" s="21" t="n">
        <f aca="false">IF(Data!K376="","",Data!K376)</f>
        <v>0</v>
      </c>
      <c r="L376" s="28" t="str">
        <f aca="false">IF(Data!L376="","",IFERROR(VLOOKUP(Data!L376,Codes!$A$34:$B$36,2,FALSE()),"Invalid ("&amp;Data!L376&amp;")"))</f>
        <v/>
      </c>
      <c r="M376" s="20" t="str">
        <f aca="false">IF(Data!M376="","",Data!M376)</f>
        <v/>
      </c>
      <c r="N376" s="28" t="str">
        <f aca="false">IF(Data!N376="","",IFERROR(VLOOKUP(Data!N376,Codes!$A$47:$B$49,2,FALSE()),"Invalid ("&amp;Data!N376&amp;")"))</f>
        <v/>
      </c>
      <c r="O376" s="28" t="str">
        <f aca="false">IF(Data!O376="","",IFERROR(VLOOKUP(Data!O376,Codes!$A$53:$B$57,2,FALSE()),"Invalid ("&amp;Data!O376&amp;")"))</f>
        <v>No disease</v>
      </c>
      <c r="P376" s="22" t="str">
        <f aca="false">IF(Data!P376="","",IFERROR(VLOOKUP(Data!P376,Codes!$A$61:$B$64,2,FALSE()),"Invalid ("&amp;Data!P376&amp;")"))</f>
        <v>Hungarian Inst. of Cardiology, Budapest</v>
      </c>
    </row>
    <row r="377" customFormat="false" ht="15" hidden="false" customHeight="false" outlineLevel="0" collapsed="false">
      <c r="A377" s="19" t="n">
        <f aca="false">Data!A377</f>
        <v>376</v>
      </c>
      <c r="B377" s="20" t="n">
        <f aca="false">IF(Data!B377="","",Data!B377)</f>
        <v>52</v>
      </c>
      <c r="C377" s="28" t="str">
        <f aca="false">IF(Data!C377="","",IFERROR(VLOOKUP(Data!C377,Codes!$A$6:$B$7,2,FALSE()),"Invalid ("&amp;Data!C377&amp;")"))</f>
        <v>Male</v>
      </c>
      <c r="D377" s="28" t="str">
        <f aca="false">IF(Data!D377="","",IFERROR(VLOOKUP(Data!D377,Codes!$A$11:$B$14,2,FALSE()),"Invalid ("&amp;Data!D377&amp;")"))</f>
        <v>Asymptomatic</v>
      </c>
      <c r="E377" s="20" t="n">
        <f aca="false">IF(Data!E377="","",Data!E377)</f>
        <v>120</v>
      </c>
      <c r="F377" s="20" t="n">
        <f aca="false">IF(Data!F377="","",Data!F377)</f>
        <v>182</v>
      </c>
      <c r="G377" s="28" t="str">
        <f aca="false">IF(Data!G377="","",IFERROR(VLOOKUP(Data!G377,Codes!$A$18:$B$19,2,FALSE()),"Invalid ("&amp;Data!G377&amp;")"))</f>
        <v>No</v>
      </c>
      <c r="H377" s="28" t="str">
        <f aca="false">IF(Data!H377="","",IFERROR(VLOOKUP(Data!H377,Codes!$A$23:$B$25,2,FALSE()),"Invalid ("&amp;Data!H377&amp;")"))</f>
        <v>Normal</v>
      </c>
      <c r="I377" s="20" t="n">
        <f aca="false">IF(Data!I377="","",Data!I377)</f>
        <v>150</v>
      </c>
      <c r="J377" s="28" t="str">
        <f aca="false">IF(Data!J377="","",IFERROR(VLOOKUP(Data!J377,Codes!$A$29:$B$30,2,FALSE()),"Invalid ("&amp;Data!J377&amp;")"))</f>
        <v>No</v>
      </c>
      <c r="K377" s="21" t="n">
        <f aca="false">IF(Data!K377="","",Data!K377)</f>
        <v>0</v>
      </c>
      <c r="L377" s="28" t="str">
        <f aca="false">IF(Data!L377="","",IFERROR(VLOOKUP(Data!L377,Codes!$A$34:$B$36,2,FALSE()),"Invalid ("&amp;Data!L377&amp;")"))</f>
        <v/>
      </c>
      <c r="M377" s="20" t="str">
        <f aca="false">IF(Data!M377="","",Data!M377)</f>
        <v/>
      </c>
      <c r="N377" s="28" t="str">
        <f aca="false">IF(Data!N377="","",IFERROR(VLOOKUP(Data!N377,Codes!$A$47:$B$49,2,FALSE()),"Invalid ("&amp;Data!N377&amp;")"))</f>
        <v/>
      </c>
      <c r="O377" s="28" t="str">
        <f aca="false">IF(Data!O377="","",IFERROR(VLOOKUP(Data!O377,Codes!$A$53:$B$57,2,FALSE()),"Invalid ("&amp;Data!O377&amp;")"))</f>
        <v>Disease (2)</v>
      </c>
      <c r="P377" s="22" t="str">
        <f aca="false">IF(Data!P377="","",IFERROR(VLOOKUP(Data!P377,Codes!$A$61:$B$64,2,FALSE()),"Invalid ("&amp;Data!P377&amp;")"))</f>
        <v>Hungarian Inst. of Cardiology, Budapest</v>
      </c>
    </row>
    <row r="378" customFormat="false" ht="15" hidden="false" customHeight="false" outlineLevel="0" collapsed="false">
      <c r="A378" s="19" t="n">
        <f aca="false">Data!A378</f>
        <v>377</v>
      </c>
      <c r="B378" s="20" t="n">
        <f aca="false">IF(Data!B378="","",Data!B378)</f>
        <v>44</v>
      </c>
      <c r="C378" s="28" t="str">
        <f aca="false">IF(Data!C378="","",IFERROR(VLOOKUP(Data!C378,Codes!$A$6:$B$7,2,FALSE()),"Invalid ("&amp;Data!C378&amp;")"))</f>
        <v>Female</v>
      </c>
      <c r="D378" s="28" t="str">
        <f aca="false">IF(Data!D378="","",IFERROR(VLOOKUP(Data!D378,Codes!$A$11:$B$14,2,FALSE()),"Invalid ("&amp;Data!D378&amp;")"))</f>
        <v>Asymptomatic</v>
      </c>
      <c r="E378" s="20" t="n">
        <f aca="false">IF(Data!E378="","",Data!E378)</f>
        <v>120</v>
      </c>
      <c r="F378" s="20" t="n">
        <f aca="false">IF(Data!F378="","",Data!F378)</f>
        <v>218</v>
      </c>
      <c r="G378" s="28" t="str">
        <f aca="false">IF(Data!G378="","",IFERROR(VLOOKUP(Data!G378,Codes!$A$18:$B$19,2,FALSE()),"Invalid ("&amp;Data!G378&amp;")"))</f>
        <v>No</v>
      </c>
      <c r="H378" s="28" t="str">
        <f aca="false">IF(Data!H378="","",IFERROR(VLOOKUP(Data!H378,Codes!$A$23:$B$25,2,FALSE()),"Invalid ("&amp;Data!H378&amp;")"))</f>
        <v>ST-T wave abnormality</v>
      </c>
      <c r="I378" s="20" t="n">
        <f aca="false">IF(Data!I378="","",Data!I378)</f>
        <v>115</v>
      </c>
      <c r="J378" s="28" t="str">
        <f aca="false">IF(Data!J378="","",IFERROR(VLOOKUP(Data!J378,Codes!$A$29:$B$30,2,FALSE()),"Invalid ("&amp;Data!J378&amp;")"))</f>
        <v>No</v>
      </c>
      <c r="K378" s="21" t="n">
        <f aca="false">IF(Data!K378="","",Data!K378)</f>
        <v>0</v>
      </c>
      <c r="L378" s="28" t="str">
        <f aca="false">IF(Data!L378="","",IFERROR(VLOOKUP(Data!L378,Codes!$A$34:$B$36,2,FALSE()),"Invalid ("&amp;Data!L378&amp;")"))</f>
        <v/>
      </c>
      <c r="M378" s="20" t="str">
        <f aca="false">IF(Data!M378="","",Data!M378)</f>
        <v/>
      </c>
      <c r="N378" s="28" t="str">
        <f aca="false">IF(Data!N378="","",IFERROR(VLOOKUP(Data!N378,Codes!$A$47:$B$49,2,FALSE()),"Invalid ("&amp;Data!N378&amp;")"))</f>
        <v/>
      </c>
      <c r="O378" s="28" t="str">
        <f aca="false">IF(Data!O378="","",IFERROR(VLOOKUP(Data!O378,Codes!$A$53:$B$57,2,FALSE()),"Invalid ("&amp;Data!O378&amp;")"))</f>
        <v>No disease</v>
      </c>
      <c r="P378" s="22" t="str">
        <f aca="false">IF(Data!P378="","",IFERROR(VLOOKUP(Data!P378,Codes!$A$61:$B$64,2,FALSE()),"Invalid ("&amp;Data!P378&amp;")"))</f>
        <v>Hungarian Inst. of Cardiology, Budapest</v>
      </c>
    </row>
    <row r="379" customFormat="false" ht="15" hidden="false" customHeight="false" outlineLevel="0" collapsed="false">
      <c r="A379" s="19" t="n">
        <f aca="false">Data!A379</f>
        <v>378</v>
      </c>
      <c r="B379" s="20" t="n">
        <f aca="false">IF(Data!B379="","",Data!B379)</f>
        <v>55</v>
      </c>
      <c r="C379" s="28" t="str">
        <f aca="false">IF(Data!C379="","",IFERROR(VLOOKUP(Data!C379,Codes!$A$6:$B$7,2,FALSE()),"Invalid ("&amp;Data!C379&amp;")"))</f>
        <v>Male</v>
      </c>
      <c r="D379" s="28" t="str">
        <f aca="false">IF(Data!D379="","",IFERROR(VLOOKUP(Data!D379,Codes!$A$11:$B$14,2,FALSE()),"Invalid ("&amp;Data!D379&amp;")"))</f>
        <v>Asymptomatic</v>
      </c>
      <c r="E379" s="20" t="n">
        <f aca="false">IF(Data!E379="","",Data!E379)</f>
        <v>140</v>
      </c>
      <c r="F379" s="20" t="n">
        <f aca="false">IF(Data!F379="","",Data!F379)</f>
        <v>268</v>
      </c>
      <c r="G379" s="28" t="str">
        <f aca="false">IF(Data!G379="","",IFERROR(VLOOKUP(Data!G379,Codes!$A$18:$B$19,2,FALSE()),"Invalid ("&amp;Data!G379&amp;")"))</f>
        <v>No</v>
      </c>
      <c r="H379" s="28" t="str">
        <f aca="false">IF(Data!H379="","",IFERROR(VLOOKUP(Data!H379,Codes!$A$23:$B$25,2,FALSE()),"Invalid ("&amp;Data!H379&amp;")"))</f>
        <v>Normal</v>
      </c>
      <c r="I379" s="20" t="n">
        <f aca="false">IF(Data!I379="","",Data!I379)</f>
        <v>128</v>
      </c>
      <c r="J379" s="28" t="str">
        <f aca="false">IF(Data!J379="","",IFERROR(VLOOKUP(Data!J379,Codes!$A$29:$B$30,2,FALSE()),"Invalid ("&amp;Data!J379&amp;")"))</f>
        <v>Yes</v>
      </c>
      <c r="K379" s="21" t="n">
        <f aca="false">IF(Data!K379="","",Data!K379)</f>
        <v>1.5</v>
      </c>
      <c r="L379" s="28" t="str">
        <f aca="false">IF(Data!L379="","",IFERROR(VLOOKUP(Data!L379,Codes!$A$34:$B$36,2,FALSE()),"Invalid ("&amp;Data!L379&amp;")"))</f>
        <v>Flat</v>
      </c>
      <c r="M379" s="20" t="str">
        <f aca="false">IF(Data!M379="","",Data!M379)</f>
        <v/>
      </c>
      <c r="N379" s="28" t="str">
        <f aca="false">IF(Data!N379="","",IFERROR(VLOOKUP(Data!N379,Codes!$A$47:$B$49,2,FALSE()),"Invalid ("&amp;Data!N379&amp;")"))</f>
        <v/>
      </c>
      <c r="O379" s="28" t="str">
        <f aca="false">IF(Data!O379="","",IFERROR(VLOOKUP(Data!O379,Codes!$A$53:$B$57,2,FALSE()),"Invalid ("&amp;Data!O379&amp;")"))</f>
        <v>Disease (2)</v>
      </c>
      <c r="P379" s="22" t="str">
        <f aca="false">IF(Data!P379="","",IFERROR(VLOOKUP(Data!P379,Codes!$A$61:$B$64,2,FALSE()),"Invalid ("&amp;Data!P379&amp;")"))</f>
        <v>Hungarian Inst. of Cardiology, Budapest</v>
      </c>
    </row>
    <row r="380" customFormat="false" ht="15" hidden="false" customHeight="false" outlineLevel="0" collapsed="false">
      <c r="A380" s="19" t="n">
        <f aca="false">Data!A380</f>
        <v>379</v>
      </c>
      <c r="B380" s="20" t="n">
        <f aca="false">IF(Data!B380="","",Data!B380)</f>
        <v>46</v>
      </c>
      <c r="C380" s="28" t="str">
        <f aca="false">IF(Data!C380="","",IFERROR(VLOOKUP(Data!C380,Codes!$A$6:$B$7,2,FALSE()),"Invalid ("&amp;Data!C380&amp;")"))</f>
        <v>Male</v>
      </c>
      <c r="D380" s="28" t="str">
        <f aca="false">IF(Data!D380="","",IFERROR(VLOOKUP(Data!D380,Codes!$A$11:$B$14,2,FALSE()),"Invalid ("&amp;Data!D380&amp;")"))</f>
        <v>Non-anginal pain</v>
      </c>
      <c r="E380" s="20" t="n">
        <f aca="false">IF(Data!E380="","",Data!E380)</f>
        <v>150</v>
      </c>
      <c r="F380" s="20" t="n">
        <f aca="false">IF(Data!F380="","",Data!F380)</f>
        <v>163</v>
      </c>
      <c r="G380" s="28" t="str">
        <f aca="false">IF(Data!G380="","",IFERROR(VLOOKUP(Data!G380,Codes!$A$18:$B$19,2,FALSE()),"Invalid ("&amp;Data!G380&amp;")"))</f>
        <v/>
      </c>
      <c r="H380" s="28" t="str">
        <f aca="false">IF(Data!H380="","",IFERROR(VLOOKUP(Data!H380,Codes!$A$23:$B$25,2,FALSE()),"Invalid ("&amp;Data!H380&amp;")"))</f>
        <v>Normal</v>
      </c>
      <c r="I380" s="20" t="n">
        <f aca="false">IF(Data!I380="","",Data!I380)</f>
        <v>116</v>
      </c>
      <c r="J380" s="28" t="str">
        <f aca="false">IF(Data!J380="","",IFERROR(VLOOKUP(Data!J380,Codes!$A$29:$B$30,2,FALSE()),"Invalid ("&amp;Data!J380&amp;")"))</f>
        <v>No</v>
      </c>
      <c r="K380" s="21" t="n">
        <f aca="false">IF(Data!K380="","",Data!K380)</f>
        <v>0</v>
      </c>
      <c r="L380" s="28" t="str">
        <f aca="false">IF(Data!L380="","",IFERROR(VLOOKUP(Data!L380,Codes!$A$34:$B$36,2,FALSE()),"Invalid ("&amp;Data!L380&amp;")"))</f>
        <v/>
      </c>
      <c r="M380" s="20" t="str">
        <f aca="false">IF(Data!M380="","",Data!M380)</f>
        <v/>
      </c>
      <c r="N380" s="28" t="str">
        <f aca="false">IF(Data!N380="","",IFERROR(VLOOKUP(Data!N380,Codes!$A$47:$B$49,2,FALSE()),"Invalid ("&amp;Data!N380&amp;")"))</f>
        <v/>
      </c>
      <c r="O380" s="28" t="str">
        <f aca="false">IF(Data!O380="","",IFERROR(VLOOKUP(Data!O380,Codes!$A$53:$B$57,2,FALSE()),"Invalid ("&amp;Data!O380&amp;")"))</f>
        <v>No disease</v>
      </c>
      <c r="P380" s="22" t="str">
        <f aca="false">IF(Data!P380="","",IFERROR(VLOOKUP(Data!P380,Codes!$A$61:$B$64,2,FALSE()),"Invalid ("&amp;Data!P380&amp;")"))</f>
        <v>Hungarian Inst. of Cardiology, Budapest</v>
      </c>
    </row>
    <row r="381" customFormat="false" ht="15" hidden="false" customHeight="false" outlineLevel="0" collapsed="false">
      <c r="A381" s="19" t="n">
        <f aca="false">Data!A381</f>
        <v>380</v>
      </c>
      <c r="B381" s="20" t="n">
        <f aca="false">IF(Data!B381="","",Data!B381)</f>
        <v>32</v>
      </c>
      <c r="C381" s="28" t="str">
        <f aca="false">IF(Data!C381="","",IFERROR(VLOOKUP(Data!C381,Codes!$A$6:$B$7,2,FALSE()),"Invalid ("&amp;Data!C381&amp;")"))</f>
        <v>Male</v>
      </c>
      <c r="D381" s="28" t="str">
        <f aca="false">IF(Data!D381="","",IFERROR(VLOOKUP(Data!D381,Codes!$A$11:$B$14,2,FALSE()),"Invalid ("&amp;Data!D381&amp;")"))</f>
        <v>Asymptomatic</v>
      </c>
      <c r="E381" s="20" t="n">
        <f aca="false">IF(Data!E381="","",Data!E381)</f>
        <v>118</v>
      </c>
      <c r="F381" s="20" t="n">
        <f aca="false">IF(Data!F381="","",Data!F381)</f>
        <v>529</v>
      </c>
      <c r="G381" s="28" t="str">
        <f aca="false">IF(Data!G381="","",IFERROR(VLOOKUP(Data!G381,Codes!$A$18:$B$19,2,FALSE()),"Invalid ("&amp;Data!G381&amp;")"))</f>
        <v>No</v>
      </c>
      <c r="H381" s="28" t="str">
        <f aca="false">IF(Data!H381="","",IFERROR(VLOOKUP(Data!H381,Codes!$A$23:$B$25,2,FALSE()),"Invalid ("&amp;Data!H381&amp;")"))</f>
        <v>Normal</v>
      </c>
      <c r="I381" s="20" t="n">
        <f aca="false">IF(Data!I381="","",Data!I381)</f>
        <v>130</v>
      </c>
      <c r="J381" s="28" t="str">
        <f aca="false">IF(Data!J381="","",IFERROR(VLOOKUP(Data!J381,Codes!$A$29:$B$30,2,FALSE()),"Invalid ("&amp;Data!J381&amp;")"))</f>
        <v>No</v>
      </c>
      <c r="K381" s="21" t="n">
        <f aca="false">IF(Data!K381="","",Data!K381)</f>
        <v>0</v>
      </c>
      <c r="L381" s="28" t="str">
        <f aca="false">IF(Data!L381="","",IFERROR(VLOOKUP(Data!L381,Codes!$A$34:$B$36,2,FALSE()),"Invalid ("&amp;Data!L381&amp;")"))</f>
        <v/>
      </c>
      <c r="M381" s="20" t="str">
        <f aca="false">IF(Data!M381="","",Data!M381)</f>
        <v/>
      </c>
      <c r="N381" s="28" t="str">
        <f aca="false">IF(Data!N381="","",IFERROR(VLOOKUP(Data!N381,Codes!$A$47:$B$49,2,FALSE()),"Invalid ("&amp;Data!N381&amp;")"))</f>
        <v/>
      </c>
      <c r="O381" s="28" t="str">
        <f aca="false">IF(Data!O381="","",IFERROR(VLOOKUP(Data!O381,Codes!$A$53:$B$57,2,FALSE()),"Invalid ("&amp;Data!O381&amp;")"))</f>
        <v>Disease (2)</v>
      </c>
      <c r="P381" s="22" t="str">
        <f aca="false">IF(Data!P381="","",IFERROR(VLOOKUP(Data!P381,Codes!$A$61:$B$64,2,FALSE()),"Invalid ("&amp;Data!P381&amp;")"))</f>
        <v>Hungarian Inst. of Cardiology, Budapest</v>
      </c>
    </row>
    <row r="382" customFormat="false" ht="15" hidden="false" customHeight="false" outlineLevel="0" collapsed="false">
      <c r="A382" s="19" t="n">
        <f aca="false">Data!A382</f>
        <v>381</v>
      </c>
      <c r="B382" s="20" t="n">
        <f aca="false">IF(Data!B382="","",Data!B382)</f>
        <v>35</v>
      </c>
      <c r="C382" s="28" t="str">
        <f aca="false">IF(Data!C382="","",IFERROR(VLOOKUP(Data!C382,Codes!$A$6:$B$7,2,FALSE()),"Invalid ("&amp;Data!C382&amp;")"))</f>
        <v>Female</v>
      </c>
      <c r="D382" s="28" t="str">
        <f aca="false">IF(Data!D382="","",IFERROR(VLOOKUP(Data!D382,Codes!$A$11:$B$14,2,FALSE()),"Invalid ("&amp;Data!D382&amp;")"))</f>
        <v>Asymptomatic</v>
      </c>
      <c r="E382" s="20" t="n">
        <f aca="false">IF(Data!E382="","",Data!E382)</f>
        <v>140</v>
      </c>
      <c r="F382" s="20" t="n">
        <f aca="false">IF(Data!F382="","",Data!F382)</f>
        <v>167</v>
      </c>
      <c r="G382" s="28" t="str">
        <f aca="false">IF(Data!G382="","",IFERROR(VLOOKUP(Data!G382,Codes!$A$18:$B$19,2,FALSE()),"Invalid ("&amp;Data!G382&amp;")"))</f>
        <v>No</v>
      </c>
      <c r="H382" s="28" t="str">
        <f aca="false">IF(Data!H382="","",IFERROR(VLOOKUP(Data!H382,Codes!$A$23:$B$25,2,FALSE()),"Invalid ("&amp;Data!H382&amp;")"))</f>
        <v>Normal</v>
      </c>
      <c r="I382" s="20" t="n">
        <f aca="false">IF(Data!I382="","",Data!I382)</f>
        <v>150</v>
      </c>
      <c r="J382" s="28" t="str">
        <f aca="false">IF(Data!J382="","",IFERROR(VLOOKUP(Data!J382,Codes!$A$29:$B$30,2,FALSE()),"Invalid ("&amp;Data!J382&amp;")"))</f>
        <v>No</v>
      </c>
      <c r="K382" s="21" t="n">
        <f aca="false">IF(Data!K382="","",Data!K382)</f>
        <v>0</v>
      </c>
      <c r="L382" s="28" t="str">
        <f aca="false">IF(Data!L382="","",IFERROR(VLOOKUP(Data!L382,Codes!$A$34:$B$36,2,FALSE()),"Invalid ("&amp;Data!L382&amp;")"))</f>
        <v/>
      </c>
      <c r="M382" s="20" t="str">
        <f aca="false">IF(Data!M382="","",Data!M382)</f>
        <v/>
      </c>
      <c r="N382" s="28" t="str">
        <f aca="false">IF(Data!N382="","",IFERROR(VLOOKUP(Data!N382,Codes!$A$47:$B$49,2,FALSE()),"Invalid ("&amp;Data!N382&amp;")"))</f>
        <v/>
      </c>
      <c r="O382" s="28" t="str">
        <f aca="false">IF(Data!O382="","",IFERROR(VLOOKUP(Data!O382,Codes!$A$53:$B$57,2,FALSE()),"Invalid ("&amp;Data!O382&amp;")"))</f>
        <v>No disease</v>
      </c>
      <c r="P382" s="22" t="str">
        <f aca="false">IF(Data!P382="","",IFERROR(VLOOKUP(Data!P382,Codes!$A$61:$B$64,2,FALSE()),"Invalid ("&amp;Data!P382&amp;")"))</f>
        <v>Hungarian Inst. of Cardiology, Budapest</v>
      </c>
    </row>
    <row r="383" customFormat="false" ht="15" hidden="false" customHeight="false" outlineLevel="0" collapsed="false">
      <c r="A383" s="19" t="n">
        <f aca="false">Data!A383</f>
        <v>382</v>
      </c>
      <c r="B383" s="20" t="n">
        <f aca="false">IF(Data!B383="","",Data!B383)</f>
        <v>52</v>
      </c>
      <c r="C383" s="28" t="str">
        <f aca="false">IF(Data!C383="","",IFERROR(VLOOKUP(Data!C383,Codes!$A$6:$B$7,2,FALSE()),"Invalid ("&amp;Data!C383&amp;")"))</f>
        <v>Male</v>
      </c>
      <c r="D383" s="28" t="str">
        <f aca="false">IF(Data!D383="","",IFERROR(VLOOKUP(Data!D383,Codes!$A$11:$B$14,2,FALSE()),"Invalid ("&amp;Data!D383&amp;")"))</f>
        <v>Atypical angina</v>
      </c>
      <c r="E383" s="20" t="n">
        <f aca="false">IF(Data!E383="","",Data!E383)</f>
        <v>140</v>
      </c>
      <c r="F383" s="20" t="n">
        <f aca="false">IF(Data!F383="","",Data!F383)</f>
        <v>100</v>
      </c>
      <c r="G383" s="28" t="str">
        <f aca="false">IF(Data!G383="","",IFERROR(VLOOKUP(Data!G383,Codes!$A$18:$B$19,2,FALSE()),"Invalid ("&amp;Data!G383&amp;")"))</f>
        <v>No</v>
      </c>
      <c r="H383" s="28" t="str">
        <f aca="false">IF(Data!H383="","",IFERROR(VLOOKUP(Data!H383,Codes!$A$23:$B$25,2,FALSE()),"Invalid ("&amp;Data!H383&amp;")"))</f>
        <v>Normal</v>
      </c>
      <c r="I383" s="20" t="n">
        <f aca="false">IF(Data!I383="","",Data!I383)</f>
        <v>138</v>
      </c>
      <c r="J383" s="28" t="str">
        <f aca="false">IF(Data!J383="","",IFERROR(VLOOKUP(Data!J383,Codes!$A$29:$B$30,2,FALSE()),"Invalid ("&amp;Data!J383&amp;")"))</f>
        <v>Yes</v>
      </c>
      <c r="K383" s="21" t="n">
        <f aca="false">IF(Data!K383="","",Data!K383)</f>
        <v>0</v>
      </c>
      <c r="L383" s="28" t="str">
        <f aca="false">IF(Data!L383="","",IFERROR(VLOOKUP(Data!L383,Codes!$A$34:$B$36,2,FALSE()),"Invalid ("&amp;Data!L383&amp;")"))</f>
        <v/>
      </c>
      <c r="M383" s="20" t="str">
        <f aca="false">IF(Data!M383="","",Data!M383)</f>
        <v/>
      </c>
      <c r="N383" s="28" t="str">
        <f aca="false">IF(Data!N383="","",IFERROR(VLOOKUP(Data!N383,Codes!$A$47:$B$49,2,FALSE()),"Invalid ("&amp;Data!N383&amp;")"))</f>
        <v/>
      </c>
      <c r="O383" s="28" t="str">
        <f aca="false">IF(Data!O383="","",IFERROR(VLOOKUP(Data!O383,Codes!$A$53:$B$57,2,FALSE()),"Invalid ("&amp;Data!O383&amp;")"))</f>
        <v>No disease</v>
      </c>
      <c r="P383" s="22" t="str">
        <f aca="false">IF(Data!P383="","",IFERROR(VLOOKUP(Data!P383,Codes!$A$61:$B$64,2,FALSE()),"Invalid ("&amp;Data!P383&amp;")"))</f>
        <v>Hungarian Inst. of Cardiology, Budapest</v>
      </c>
    </row>
    <row r="384" customFormat="false" ht="15" hidden="false" customHeight="false" outlineLevel="0" collapsed="false">
      <c r="A384" s="19" t="n">
        <f aca="false">Data!A384</f>
        <v>383</v>
      </c>
      <c r="B384" s="20" t="n">
        <f aca="false">IF(Data!B384="","",Data!B384)</f>
        <v>49</v>
      </c>
      <c r="C384" s="28" t="str">
        <f aca="false">IF(Data!C384="","",IFERROR(VLOOKUP(Data!C384,Codes!$A$6:$B$7,2,FALSE()),"Invalid ("&amp;Data!C384&amp;")"))</f>
        <v>Male</v>
      </c>
      <c r="D384" s="28" t="str">
        <f aca="false">IF(Data!D384="","",IFERROR(VLOOKUP(Data!D384,Codes!$A$11:$B$14,2,FALSE()),"Invalid ("&amp;Data!D384&amp;")"))</f>
        <v>Asymptomatic</v>
      </c>
      <c r="E384" s="20" t="n">
        <f aca="false">IF(Data!E384="","",Data!E384)</f>
        <v>130</v>
      </c>
      <c r="F384" s="20" t="n">
        <f aca="false">IF(Data!F384="","",Data!F384)</f>
        <v>206</v>
      </c>
      <c r="G384" s="28" t="str">
        <f aca="false">IF(Data!G384="","",IFERROR(VLOOKUP(Data!G384,Codes!$A$18:$B$19,2,FALSE()),"Invalid ("&amp;Data!G384&amp;")"))</f>
        <v>No</v>
      </c>
      <c r="H384" s="28" t="str">
        <f aca="false">IF(Data!H384="","",IFERROR(VLOOKUP(Data!H384,Codes!$A$23:$B$25,2,FALSE()),"Invalid ("&amp;Data!H384&amp;")"))</f>
        <v>Normal</v>
      </c>
      <c r="I384" s="20" t="n">
        <f aca="false">IF(Data!I384="","",Data!I384)</f>
        <v>170</v>
      </c>
      <c r="J384" s="28" t="str">
        <f aca="false">IF(Data!J384="","",IFERROR(VLOOKUP(Data!J384,Codes!$A$29:$B$30,2,FALSE()),"Invalid ("&amp;Data!J384&amp;")"))</f>
        <v>No</v>
      </c>
      <c r="K384" s="21" t="n">
        <f aca="false">IF(Data!K384="","",Data!K384)</f>
        <v>0</v>
      </c>
      <c r="L384" s="28" t="str">
        <f aca="false">IF(Data!L384="","",IFERROR(VLOOKUP(Data!L384,Codes!$A$34:$B$36,2,FALSE()),"Invalid ("&amp;Data!L384&amp;")"))</f>
        <v/>
      </c>
      <c r="M384" s="20" t="str">
        <f aca="false">IF(Data!M384="","",Data!M384)</f>
        <v/>
      </c>
      <c r="N384" s="28" t="str">
        <f aca="false">IF(Data!N384="","",IFERROR(VLOOKUP(Data!N384,Codes!$A$47:$B$49,2,FALSE()),"Invalid ("&amp;Data!N384&amp;")"))</f>
        <v/>
      </c>
      <c r="O384" s="28" t="str">
        <f aca="false">IF(Data!O384="","",IFERROR(VLOOKUP(Data!O384,Codes!$A$53:$B$57,2,FALSE()),"Invalid ("&amp;Data!O384&amp;")"))</f>
        <v>Disease (1)</v>
      </c>
      <c r="P384" s="22" t="str">
        <f aca="false">IF(Data!P384="","",IFERROR(VLOOKUP(Data!P384,Codes!$A$61:$B$64,2,FALSE()),"Invalid ("&amp;Data!P384&amp;")"))</f>
        <v>Hungarian Inst. of Cardiology, Budapest</v>
      </c>
    </row>
    <row r="385" customFormat="false" ht="15" hidden="false" customHeight="false" outlineLevel="0" collapsed="false">
      <c r="A385" s="19" t="n">
        <f aca="false">Data!A385</f>
        <v>384</v>
      </c>
      <c r="B385" s="20" t="n">
        <f aca="false">IF(Data!B385="","",Data!B385)</f>
        <v>55</v>
      </c>
      <c r="C385" s="28" t="str">
        <f aca="false">IF(Data!C385="","",IFERROR(VLOOKUP(Data!C385,Codes!$A$6:$B$7,2,FALSE()),"Invalid ("&amp;Data!C385&amp;")"))</f>
        <v>Male</v>
      </c>
      <c r="D385" s="28" t="str">
        <f aca="false">IF(Data!D385="","",IFERROR(VLOOKUP(Data!D385,Codes!$A$11:$B$14,2,FALSE()),"Invalid ("&amp;Data!D385&amp;")"))</f>
        <v>Non-anginal pain</v>
      </c>
      <c r="E385" s="20" t="n">
        <f aca="false">IF(Data!E385="","",Data!E385)</f>
        <v>110</v>
      </c>
      <c r="F385" s="20" t="n">
        <f aca="false">IF(Data!F385="","",Data!F385)</f>
        <v>277</v>
      </c>
      <c r="G385" s="28" t="str">
        <f aca="false">IF(Data!G385="","",IFERROR(VLOOKUP(Data!G385,Codes!$A$18:$B$19,2,FALSE()),"Invalid ("&amp;Data!G385&amp;")"))</f>
        <v>No</v>
      </c>
      <c r="H385" s="28" t="str">
        <f aca="false">IF(Data!H385="","",IFERROR(VLOOKUP(Data!H385,Codes!$A$23:$B$25,2,FALSE()),"Invalid ("&amp;Data!H385&amp;")"))</f>
        <v>Normal</v>
      </c>
      <c r="I385" s="20" t="n">
        <f aca="false">IF(Data!I385="","",Data!I385)</f>
        <v>160</v>
      </c>
      <c r="J385" s="28" t="str">
        <f aca="false">IF(Data!J385="","",IFERROR(VLOOKUP(Data!J385,Codes!$A$29:$B$30,2,FALSE()),"Invalid ("&amp;Data!J385&amp;")"))</f>
        <v>No</v>
      </c>
      <c r="K385" s="21" t="n">
        <f aca="false">IF(Data!K385="","",Data!K385)</f>
        <v>0</v>
      </c>
      <c r="L385" s="28" t="str">
        <f aca="false">IF(Data!L385="","",IFERROR(VLOOKUP(Data!L385,Codes!$A$34:$B$36,2,FALSE()),"Invalid ("&amp;Data!L385&amp;")"))</f>
        <v/>
      </c>
      <c r="M385" s="20" t="str">
        <f aca="false">IF(Data!M385="","",Data!M385)</f>
        <v/>
      </c>
      <c r="N385" s="28" t="str">
        <f aca="false">IF(Data!N385="","",IFERROR(VLOOKUP(Data!N385,Codes!$A$47:$B$49,2,FALSE()),"Invalid ("&amp;Data!N385&amp;")"))</f>
        <v/>
      </c>
      <c r="O385" s="28" t="str">
        <f aca="false">IF(Data!O385="","",IFERROR(VLOOKUP(Data!O385,Codes!$A$53:$B$57,2,FALSE()),"Invalid ("&amp;Data!O385&amp;")"))</f>
        <v>No disease</v>
      </c>
      <c r="P385" s="22" t="str">
        <f aca="false">IF(Data!P385="","",IFERROR(VLOOKUP(Data!P385,Codes!$A$61:$B$64,2,FALSE()),"Invalid ("&amp;Data!P385&amp;")"))</f>
        <v>Hungarian Inst. of Cardiology, Budapest</v>
      </c>
    </row>
    <row r="386" customFormat="false" ht="15" hidden="false" customHeight="false" outlineLevel="0" collapsed="false">
      <c r="A386" s="19" t="n">
        <f aca="false">Data!A386</f>
        <v>385</v>
      </c>
      <c r="B386" s="20" t="n">
        <f aca="false">IF(Data!B386="","",Data!B386)</f>
        <v>54</v>
      </c>
      <c r="C386" s="28" t="str">
        <f aca="false">IF(Data!C386="","",IFERROR(VLOOKUP(Data!C386,Codes!$A$6:$B$7,2,FALSE()),"Invalid ("&amp;Data!C386&amp;")"))</f>
        <v>Male</v>
      </c>
      <c r="D386" s="28" t="str">
        <f aca="false">IF(Data!D386="","",IFERROR(VLOOKUP(Data!D386,Codes!$A$11:$B$14,2,FALSE()),"Invalid ("&amp;Data!D386&amp;")"))</f>
        <v>Atypical angina</v>
      </c>
      <c r="E386" s="20" t="n">
        <f aca="false">IF(Data!E386="","",Data!E386)</f>
        <v>120</v>
      </c>
      <c r="F386" s="20" t="n">
        <f aca="false">IF(Data!F386="","",Data!F386)</f>
        <v>238</v>
      </c>
      <c r="G386" s="28" t="str">
        <f aca="false">IF(Data!G386="","",IFERROR(VLOOKUP(Data!G386,Codes!$A$18:$B$19,2,FALSE()),"Invalid ("&amp;Data!G386&amp;")"))</f>
        <v>No</v>
      </c>
      <c r="H386" s="28" t="str">
        <f aca="false">IF(Data!H386="","",IFERROR(VLOOKUP(Data!H386,Codes!$A$23:$B$25,2,FALSE()),"Invalid ("&amp;Data!H386&amp;")"))</f>
        <v>Normal</v>
      </c>
      <c r="I386" s="20" t="n">
        <f aca="false">IF(Data!I386="","",Data!I386)</f>
        <v>154</v>
      </c>
      <c r="J386" s="28" t="str">
        <f aca="false">IF(Data!J386="","",IFERROR(VLOOKUP(Data!J386,Codes!$A$29:$B$30,2,FALSE()),"Invalid ("&amp;Data!J386&amp;")"))</f>
        <v>No</v>
      </c>
      <c r="K386" s="21" t="n">
        <f aca="false">IF(Data!K386="","",Data!K386)</f>
        <v>0</v>
      </c>
      <c r="L386" s="28" t="str">
        <f aca="false">IF(Data!L386="","",IFERROR(VLOOKUP(Data!L386,Codes!$A$34:$B$36,2,FALSE()),"Invalid ("&amp;Data!L386&amp;")"))</f>
        <v/>
      </c>
      <c r="M386" s="20" t="str">
        <f aca="false">IF(Data!M386="","",Data!M386)</f>
        <v/>
      </c>
      <c r="N386" s="28" t="str">
        <f aca="false">IF(Data!N386="","",IFERROR(VLOOKUP(Data!N386,Codes!$A$47:$B$49,2,FALSE()),"Invalid ("&amp;Data!N386&amp;")"))</f>
        <v/>
      </c>
      <c r="O386" s="28" t="str">
        <f aca="false">IF(Data!O386="","",IFERROR(VLOOKUP(Data!O386,Codes!$A$53:$B$57,2,FALSE()),"Invalid ("&amp;Data!O386&amp;")"))</f>
        <v>No disease</v>
      </c>
      <c r="P386" s="22" t="str">
        <f aca="false">IF(Data!P386="","",IFERROR(VLOOKUP(Data!P386,Codes!$A$61:$B$64,2,FALSE()),"Invalid ("&amp;Data!P386&amp;")"))</f>
        <v>Hungarian Inst. of Cardiology, Budapest</v>
      </c>
    </row>
    <row r="387" customFormat="false" ht="15" hidden="false" customHeight="false" outlineLevel="0" collapsed="false">
      <c r="A387" s="19" t="n">
        <f aca="false">Data!A387</f>
        <v>386</v>
      </c>
      <c r="B387" s="20" t="n">
        <f aca="false">IF(Data!B387="","",Data!B387)</f>
        <v>63</v>
      </c>
      <c r="C387" s="28" t="str">
        <f aca="false">IF(Data!C387="","",IFERROR(VLOOKUP(Data!C387,Codes!$A$6:$B$7,2,FALSE()),"Invalid ("&amp;Data!C387&amp;")"))</f>
        <v>Male</v>
      </c>
      <c r="D387" s="28" t="str">
        <f aca="false">IF(Data!D387="","",IFERROR(VLOOKUP(Data!D387,Codes!$A$11:$B$14,2,FALSE()),"Invalid ("&amp;Data!D387&amp;")"))</f>
        <v>Asymptomatic</v>
      </c>
      <c r="E387" s="20" t="n">
        <f aca="false">IF(Data!E387="","",Data!E387)</f>
        <v>150</v>
      </c>
      <c r="F387" s="20" t="n">
        <f aca="false">IF(Data!F387="","",Data!F387)</f>
        <v>223</v>
      </c>
      <c r="G387" s="28" t="str">
        <f aca="false">IF(Data!G387="","",IFERROR(VLOOKUP(Data!G387,Codes!$A$18:$B$19,2,FALSE()),"Invalid ("&amp;Data!G387&amp;")"))</f>
        <v>No</v>
      </c>
      <c r="H387" s="28" t="str">
        <f aca="false">IF(Data!H387="","",IFERROR(VLOOKUP(Data!H387,Codes!$A$23:$B$25,2,FALSE()),"Invalid ("&amp;Data!H387&amp;")"))</f>
        <v>Normal</v>
      </c>
      <c r="I387" s="20" t="n">
        <f aca="false">IF(Data!I387="","",Data!I387)</f>
        <v>115</v>
      </c>
      <c r="J387" s="28" t="str">
        <f aca="false">IF(Data!J387="","",IFERROR(VLOOKUP(Data!J387,Codes!$A$29:$B$30,2,FALSE()),"Invalid ("&amp;Data!J387&amp;")"))</f>
        <v>No</v>
      </c>
      <c r="K387" s="21" t="n">
        <f aca="false">IF(Data!K387="","",Data!K387)</f>
        <v>0</v>
      </c>
      <c r="L387" s="28" t="str">
        <f aca="false">IF(Data!L387="","",IFERROR(VLOOKUP(Data!L387,Codes!$A$34:$B$36,2,FALSE()),"Invalid ("&amp;Data!L387&amp;")"))</f>
        <v/>
      </c>
      <c r="M387" s="20" t="str">
        <f aca="false">IF(Data!M387="","",Data!M387)</f>
        <v/>
      </c>
      <c r="N387" s="28" t="str">
        <f aca="false">IF(Data!N387="","",IFERROR(VLOOKUP(Data!N387,Codes!$A$47:$B$49,2,FALSE()),"Invalid ("&amp;Data!N387&amp;")"))</f>
        <v/>
      </c>
      <c r="O387" s="28" t="str">
        <f aca="false">IF(Data!O387="","",IFERROR(VLOOKUP(Data!O387,Codes!$A$53:$B$57,2,FALSE()),"Invalid ("&amp;Data!O387&amp;")"))</f>
        <v>Disease (1)</v>
      </c>
      <c r="P387" s="22" t="str">
        <f aca="false">IF(Data!P387="","",IFERROR(VLOOKUP(Data!P387,Codes!$A$61:$B$64,2,FALSE()),"Invalid ("&amp;Data!P387&amp;")"))</f>
        <v>Hungarian Inst. of Cardiology, Budapest</v>
      </c>
    </row>
    <row r="388" customFormat="false" ht="15" hidden="false" customHeight="false" outlineLevel="0" collapsed="false">
      <c r="A388" s="19" t="n">
        <f aca="false">Data!A388</f>
        <v>387</v>
      </c>
      <c r="B388" s="20" t="n">
        <f aca="false">IF(Data!B388="","",Data!B388)</f>
        <v>52</v>
      </c>
      <c r="C388" s="28" t="str">
        <f aca="false">IF(Data!C388="","",IFERROR(VLOOKUP(Data!C388,Codes!$A$6:$B$7,2,FALSE()),"Invalid ("&amp;Data!C388&amp;")"))</f>
        <v>Male</v>
      </c>
      <c r="D388" s="28" t="str">
        <f aca="false">IF(Data!D388="","",IFERROR(VLOOKUP(Data!D388,Codes!$A$11:$B$14,2,FALSE()),"Invalid ("&amp;Data!D388&amp;")"))</f>
        <v>Atypical angina</v>
      </c>
      <c r="E388" s="20" t="n">
        <f aca="false">IF(Data!E388="","",Data!E388)</f>
        <v>160</v>
      </c>
      <c r="F388" s="20" t="n">
        <f aca="false">IF(Data!F388="","",Data!F388)</f>
        <v>196</v>
      </c>
      <c r="G388" s="28" t="str">
        <f aca="false">IF(Data!G388="","",IFERROR(VLOOKUP(Data!G388,Codes!$A$18:$B$19,2,FALSE()),"Invalid ("&amp;Data!G388&amp;")"))</f>
        <v>No</v>
      </c>
      <c r="H388" s="28" t="str">
        <f aca="false">IF(Data!H388="","",IFERROR(VLOOKUP(Data!H388,Codes!$A$23:$B$25,2,FALSE()),"Invalid ("&amp;Data!H388&amp;")"))</f>
        <v>Normal</v>
      </c>
      <c r="I388" s="20" t="n">
        <f aca="false">IF(Data!I388="","",Data!I388)</f>
        <v>165</v>
      </c>
      <c r="J388" s="28" t="str">
        <f aca="false">IF(Data!J388="","",IFERROR(VLOOKUP(Data!J388,Codes!$A$29:$B$30,2,FALSE()),"Invalid ("&amp;Data!J388&amp;")"))</f>
        <v>No</v>
      </c>
      <c r="K388" s="21" t="n">
        <f aca="false">IF(Data!K388="","",Data!K388)</f>
        <v>0</v>
      </c>
      <c r="L388" s="28" t="str">
        <f aca="false">IF(Data!L388="","",IFERROR(VLOOKUP(Data!L388,Codes!$A$34:$B$36,2,FALSE()),"Invalid ("&amp;Data!L388&amp;")"))</f>
        <v/>
      </c>
      <c r="M388" s="20" t="str">
        <f aca="false">IF(Data!M388="","",Data!M388)</f>
        <v/>
      </c>
      <c r="N388" s="28" t="str">
        <f aca="false">IF(Data!N388="","",IFERROR(VLOOKUP(Data!N388,Codes!$A$47:$B$49,2,FALSE()),"Invalid ("&amp;Data!N388&amp;")"))</f>
        <v/>
      </c>
      <c r="O388" s="28" t="str">
        <f aca="false">IF(Data!O388="","",IFERROR(VLOOKUP(Data!O388,Codes!$A$53:$B$57,2,FALSE()),"Invalid ("&amp;Data!O388&amp;")"))</f>
        <v>No disease</v>
      </c>
      <c r="P388" s="22" t="str">
        <f aca="false">IF(Data!P388="","",IFERROR(VLOOKUP(Data!P388,Codes!$A$61:$B$64,2,FALSE()),"Invalid ("&amp;Data!P388&amp;")"))</f>
        <v>Hungarian Inst. of Cardiology, Budapest</v>
      </c>
    </row>
    <row r="389" customFormat="false" ht="15" hidden="false" customHeight="false" outlineLevel="0" collapsed="false">
      <c r="A389" s="19" t="n">
        <f aca="false">Data!A389</f>
        <v>388</v>
      </c>
      <c r="B389" s="20" t="n">
        <f aca="false">IF(Data!B389="","",Data!B389)</f>
        <v>56</v>
      </c>
      <c r="C389" s="28" t="str">
        <f aca="false">IF(Data!C389="","",IFERROR(VLOOKUP(Data!C389,Codes!$A$6:$B$7,2,FALSE()),"Invalid ("&amp;Data!C389&amp;")"))</f>
        <v>Male</v>
      </c>
      <c r="D389" s="28" t="str">
        <f aca="false">IF(Data!D389="","",IFERROR(VLOOKUP(Data!D389,Codes!$A$11:$B$14,2,FALSE()),"Invalid ("&amp;Data!D389&amp;")"))</f>
        <v>Asymptomatic</v>
      </c>
      <c r="E389" s="20" t="n">
        <f aca="false">IF(Data!E389="","",Data!E389)</f>
        <v>150</v>
      </c>
      <c r="F389" s="20" t="n">
        <f aca="false">IF(Data!F389="","",Data!F389)</f>
        <v>213</v>
      </c>
      <c r="G389" s="28" t="str">
        <f aca="false">IF(Data!G389="","",IFERROR(VLOOKUP(Data!G389,Codes!$A$18:$B$19,2,FALSE()),"Invalid ("&amp;Data!G389&amp;")"))</f>
        <v>Yes</v>
      </c>
      <c r="H389" s="28" t="str">
        <f aca="false">IF(Data!H389="","",IFERROR(VLOOKUP(Data!H389,Codes!$A$23:$B$25,2,FALSE()),"Invalid ("&amp;Data!H389&amp;")"))</f>
        <v>Normal</v>
      </c>
      <c r="I389" s="20" t="n">
        <f aca="false">IF(Data!I389="","",Data!I389)</f>
        <v>125</v>
      </c>
      <c r="J389" s="28" t="str">
        <f aca="false">IF(Data!J389="","",IFERROR(VLOOKUP(Data!J389,Codes!$A$29:$B$30,2,FALSE()),"Invalid ("&amp;Data!J389&amp;")"))</f>
        <v>Yes</v>
      </c>
      <c r="K389" s="21" t="n">
        <f aca="false">IF(Data!K389="","",Data!K389)</f>
        <v>1</v>
      </c>
      <c r="L389" s="28" t="str">
        <f aca="false">IF(Data!L389="","",IFERROR(VLOOKUP(Data!L389,Codes!$A$34:$B$36,2,FALSE()),"Invalid ("&amp;Data!L389&amp;")"))</f>
        <v>Flat</v>
      </c>
      <c r="M389" s="20" t="str">
        <f aca="false">IF(Data!M389="","",Data!M389)</f>
        <v/>
      </c>
      <c r="N389" s="28" t="str">
        <f aca="false">IF(Data!N389="","",IFERROR(VLOOKUP(Data!N389,Codes!$A$47:$B$49,2,FALSE()),"Invalid ("&amp;Data!N389&amp;")"))</f>
        <v/>
      </c>
      <c r="O389" s="28" t="str">
        <f aca="false">IF(Data!O389="","",IFERROR(VLOOKUP(Data!O389,Codes!$A$53:$B$57,2,FALSE()),"Invalid ("&amp;Data!O389&amp;")"))</f>
        <v>Disease (2)</v>
      </c>
      <c r="P389" s="22" t="str">
        <f aca="false">IF(Data!P389="","",IFERROR(VLOOKUP(Data!P389,Codes!$A$61:$B$64,2,FALSE()),"Invalid ("&amp;Data!P389&amp;")"))</f>
        <v>Hungarian Inst. of Cardiology, Budapest</v>
      </c>
    </row>
    <row r="390" customFormat="false" ht="15" hidden="false" customHeight="false" outlineLevel="0" collapsed="false">
      <c r="A390" s="19" t="n">
        <f aca="false">Data!A390</f>
        <v>389</v>
      </c>
      <c r="B390" s="20" t="n">
        <f aca="false">IF(Data!B390="","",Data!B390)</f>
        <v>66</v>
      </c>
      <c r="C390" s="28" t="str">
        <f aca="false">IF(Data!C390="","",IFERROR(VLOOKUP(Data!C390,Codes!$A$6:$B$7,2,FALSE()),"Invalid ("&amp;Data!C390&amp;")"))</f>
        <v>Male</v>
      </c>
      <c r="D390" s="28" t="str">
        <f aca="false">IF(Data!D390="","",IFERROR(VLOOKUP(Data!D390,Codes!$A$11:$B$14,2,FALSE()),"Invalid ("&amp;Data!D390&amp;")"))</f>
        <v>Asymptomatic</v>
      </c>
      <c r="E390" s="20" t="n">
        <f aca="false">IF(Data!E390="","",Data!E390)</f>
        <v>140</v>
      </c>
      <c r="F390" s="20" t="str">
        <f aca="false">IF(Data!F390="","",Data!F390)</f>
        <v/>
      </c>
      <c r="G390" s="28" t="str">
        <f aca="false">IF(Data!G390="","",IFERROR(VLOOKUP(Data!G390,Codes!$A$18:$B$19,2,FALSE()),"Invalid ("&amp;Data!G390&amp;")"))</f>
        <v>No</v>
      </c>
      <c r="H390" s="28" t="str">
        <f aca="false">IF(Data!H390="","",IFERROR(VLOOKUP(Data!H390,Codes!$A$23:$B$25,2,FALSE()),"Invalid ("&amp;Data!H390&amp;")"))</f>
        <v>Normal</v>
      </c>
      <c r="I390" s="20" t="n">
        <f aca="false">IF(Data!I390="","",Data!I390)</f>
        <v>94</v>
      </c>
      <c r="J390" s="28" t="str">
        <f aca="false">IF(Data!J390="","",IFERROR(VLOOKUP(Data!J390,Codes!$A$29:$B$30,2,FALSE()),"Invalid ("&amp;Data!J390&amp;")"))</f>
        <v>Yes</v>
      </c>
      <c r="K390" s="21" t="n">
        <f aca="false">IF(Data!K390="","",Data!K390)</f>
        <v>1</v>
      </c>
      <c r="L390" s="28" t="str">
        <f aca="false">IF(Data!L390="","",IFERROR(VLOOKUP(Data!L390,Codes!$A$34:$B$36,2,FALSE()),"Invalid ("&amp;Data!L390&amp;")"))</f>
        <v>Flat</v>
      </c>
      <c r="M390" s="20" t="str">
        <f aca="false">IF(Data!M390="","",Data!M390)</f>
        <v/>
      </c>
      <c r="N390" s="28" t="str">
        <f aca="false">IF(Data!N390="","",IFERROR(VLOOKUP(Data!N390,Codes!$A$47:$B$49,2,FALSE()),"Invalid ("&amp;Data!N390&amp;")"))</f>
        <v/>
      </c>
      <c r="O390" s="28" t="str">
        <f aca="false">IF(Data!O390="","",IFERROR(VLOOKUP(Data!O390,Codes!$A$53:$B$57,2,FALSE()),"Invalid ("&amp;Data!O390&amp;")"))</f>
        <v>Disease (3)</v>
      </c>
      <c r="P390" s="22" t="str">
        <f aca="false">IF(Data!P390="","",IFERROR(VLOOKUP(Data!P390,Codes!$A$61:$B$64,2,FALSE()),"Invalid ("&amp;Data!P390&amp;")"))</f>
        <v>Hungarian Inst. of Cardiology, Budapest</v>
      </c>
    </row>
    <row r="391" customFormat="false" ht="15" hidden="false" customHeight="false" outlineLevel="0" collapsed="false">
      <c r="A391" s="19" t="n">
        <f aca="false">Data!A391</f>
        <v>390</v>
      </c>
      <c r="B391" s="20" t="n">
        <f aca="false">IF(Data!B391="","",Data!B391)</f>
        <v>65</v>
      </c>
      <c r="C391" s="28" t="str">
        <f aca="false">IF(Data!C391="","",IFERROR(VLOOKUP(Data!C391,Codes!$A$6:$B$7,2,FALSE()),"Invalid ("&amp;Data!C391&amp;")"))</f>
        <v>Male</v>
      </c>
      <c r="D391" s="28" t="str">
        <f aca="false">IF(Data!D391="","",IFERROR(VLOOKUP(Data!D391,Codes!$A$11:$B$14,2,FALSE()),"Invalid ("&amp;Data!D391&amp;")"))</f>
        <v>Asymptomatic</v>
      </c>
      <c r="E391" s="20" t="n">
        <f aca="false">IF(Data!E391="","",Data!E391)</f>
        <v>170</v>
      </c>
      <c r="F391" s="20" t="n">
        <f aca="false">IF(Data!F391="","",Data!F391)</f>
        <v>263</v>
      </c>
      <c r="G391" s="28" t="str">
        <f aca="false">IF(Data!G391="","",IFERROR(VLOOKUP(Data!G391,Codes!$A$18:$B$19,2,FALSE()),"Invalid ("&amp;Data!G391&amp;")"))</f>
        <v>Yes</v>
      </c>
      <c r="H391" s="28" t="str">
        <f aca="false">IF(Data!H391="","",IFERROR(VLOOKUP(Data!H391,Codes!$A$23:$B$25,2,FALSE()),"Invalid ("&amp;Data!H391&amp;")"))</f>
        <v>Normal</v>
      </c>
      <c r="I391" s="20" t="n">
        <f aca="false">IF(Data!I391="","",Data!I391)</f>
        <v>112</v>
      </c>
      <c r="J391" s="28" t="str">
        <f aca="false">IF(Data!J391="","",IFERROR(VLOOKUP(Data!J391,Codes!$A$29:$B$30,2,FALSE()),"Invalid ("&amp;Data!J391&amp;")"))</f>
        <v>Yes</v>
      </c>
      <c r="K391" s="21" t="n">
        <f aca="false">IF(Data!K391="","",Data!K391)</f>
        <v>2</v>
      </c>
      <c r="L391" s="28" t="str">
        <f aca="false">IF(Data!L391="","",IFERROR(VLOOKUP(Data!L391,Codes!$A$34:$B$36,2,FALSE()),"Invalid ("&amp;Data!L391&amp;")"))</f>
        <v>Flat</v>
      </c>
      <c r="M391" s="20" t="str">
        <f aca="false">IF(Data!M391="","",Data!M391)</f>
        <v/>
      </c>
      <c r="N391" s="28" t="str">
        <f aca="false">IF(Data!N391="","",IFERROR(VLOOKUP(Data!N391,Codes!$A$47:$B$49,2,FALSE()),"Invalid ("&amp;Data!N391&amp;")"))</f>
        <v/>
      </c>
      <c r="O391" s="28" t="str">
        <f aca="false">IF(Data!O391="","",IFERROR(VLOOKUP(Data!O391,Codes!$A$53:$B$57,2,FALSE()),"Invalid ("&amp;Data!O391&amp;")"))</f>
        <v>Disease (3)</v>
      </c>
      <c r="P391" s="22" t="str">
        <f aca="false">IF(Data!P391="","",IFERROR(VLOOKUP(Data!P391,Codes!$A$61:$B$64,2,FALSE()),"Invalid ("&amp;Data!P391&amp;")"))</f>
        <v>Hungarian Inst. of Cardiology, Budapest</v>
      </c>
    </row>
    <row r="392" customFormat="false" ht="15" hidden="false" customHeight="false" outlineLevel="0" collapsed="false">
      <c r="A392" s="19" t="n">
        <f aca="false">Data!A392</f>
        <v>391</v>
      </c>
      <c r="B392" s="20" t="n">
        <f aca="false">IF(Data!B392="","",Data!B392)</f>
        <v>53</v>
      </c>
      <c r="C392" s="28" t="str">
        <f aca="false">IF(Data!C392="","",IFERROR(VLOOKUP(Data!C392,Codes!$A$6:$B$7,2,FALSE()),"Invalid ("&amp;Data!C392&amp;")"))</f>
        <v>Female</v>
      </c>
      <c r="D392" s="28" t="str">
        <f aca="false">IF(Data!D392="","",IFERROR(VLOOKUP(Data!D392,Codes!$A$11:$B$14,2,FALSE()),"Invalid ("&amp;Data!D392&amp;")"))</f>
        <v>Atypical angina</v>
      </c>
      <c r="E392" s="20" t="n">
        <f aca="false">IF(Data!E392="","",Data!E392)</f>
        <v>140</v>
      </c>
      <c r="F392" s="20" t="n">
        <f aca="false">IF(Data!F392="","",Data!F392)</f>
        <v>216</v>
      </c>
      <c r="G392" s="28" t="str">
        <f aca="false">IF(Data!G392="","",IFERROR(VLOOKUP(Data!G392,Codes!$A$18:$B$19,2,FALSE()),"Invalid ("&amp;Data!G392&amp;")"))</f>
        <v>No</v>
      </c>
      <c r="H392" s="28" t="str">
        <f aca="false">IF(Data!H392="","",IFERROR(VLOOKUP(Data!H392,Codes!$A$23:$B$25,2,FALSE()),"Invalid ("&amp;Data!H392&amp;")"))</f>
        <v>Normal</v>
      </c>
      <c r="I392" s="20" t="n">
        <f aca="false">IF(Data!I392="","",Data!I392)</f>
        <v>142</v>
      </c>
      <c r="J392" s="28" t="str">
        <f aca="false">IF(Data!J392="","",IFERROR(VLOOKUP(Data!J392,Codes!$A$29:$B$30,2,FALSE()),"Invalid ("&amp;Data!J392&amp;")"))</f>
        <v>Yes</v>
      </c>
      <c r="K392" s="21" t="n">
        <f aca="false">IF(Data!K392="","",Data!K392)</f>
        <v>2</v>
      </c>
      <c r="L392" s="28" t="str">
        <f aca="false">IF(Data!L392="","",IFERROR(VLOOKUP(Data!L392,Codes!$A$34:$B$36,2,FALSE()),"Invalid ("&amp;Data!L392&amp;")"))</f>
        <v>Flat</v>
      </c>
      <c r="M392" s="20" t="str">
        <f aca="false">IF(Data!M392="","",Data!M392)</f>
        <v/>
      </c>
      <c r="N392" s="28" t="str">
        <f aca="false">IF(Data!N392="","",IFERROR(VLOOKUP(Data!N392,Codes!$A$47:$B$49,2,FALSE()),"Invalid ("&amp;Data!N392&amp;")"))</f>
        <v/>
      </c>
      <c r="O392" s="28" t="str">
        <f aca="false">IF(Data!O392="","",IFERROR(VLOOKUP(Data!O392,Codes!$A$53:$B$57,2,FALSE()),"Invalid ("&amp;Data!O392&amp;")"))</f>
        <v>No disease</v>
      </c>
      <c r="P392" s="22" t="str">
        <f aca="false">IF(Data!P392="","",IFERROR(VLOOKUP(Data!P392,Codes!$A$61:$B$64,2,FALSE()),"Invalid ("&amp;Data!P392&amp;")"))</f>
        <v>Hungarian Inst. of Cardiology, Budapest</v>
      </c>
    </row>
    <row r="393" customFormat="false" ht="15" hidden="false" customHeight="false" outlineLevel="0" collapsed="false">
      <c r="A393" s="19" t="n">
        <f aca="false">Data!A393</f>
        <v>392</v>
      </c>
      <c r="B393" s="20" t="n">
        <f aca="false">IF(Data!B393="","",Data!B393)</f>
        <v>43</v>
      </c>
      <c r="C393" s="28" t="str">
        <f aca="false">IF(Data!C393="","",IFERROR(VLOOKUP(Data!C393,Codes!$A$6:$B$7,2,FALSE()),"Invalid ("&amp;Data!C393&amp;")"))</f>
        <v>Male</v>
      </c>
      <c r="D393" s="28" t="str">
        <f aca="false">IF(Data!D393="","",IFERROR(VLOOKUP(Data!D393,Codes!$A$11:$B$14,2,FALSE()),"Invalid ("&amp;Data!D393&amp;")"))</f>
        <v>Typical angina</v>
      </c>
      <c r="E393" s="20" t="n">
        <f aca="false">IF(Data!E393="","",Data!E393)</f>
        <v>120</v>
      </c>
      <c r="F393" s="20" t="n">
        <f aca="false">IF(Data!F393="","",Data!F393)</f>
        <v>291</v>
      </c>
      <c r="G393" s="28" t="str">
        <f aca="false">IF(Data!G393="","",IFERROR(VLOOKUP(Data!G393,Codes!$A$18:$B$19,2,FALSE()),"Invalid ("&amp;Data!G393&amp;")"))</f>
        <v>No</v>
      </c>
      <c r="H393" s="28" t="str">
        <f aca="false">IF(Data!H393="","",IFERROR(VLOOKUP(Data!H393,Codes!$A$23:$B$25,2,FALSE()),"Invalid ("&amp;Data!H393&amp;")"))</f>
        <v>ST-T wave abnormality</v>
      </c>
      <c r="I393" s="20" t="n">
        <f aca="false">IF(Data!I393="","",Data!I393)</f>
        <v>155</v>
      </c>
      <c r="J393" s="28" t="str">
        <f aca="false">IF(Data!J393="","",IFERROR(VLOOKUP(Data!J393,Codes!$A$29:$B$30,2,FALSE()),"Invalid ("&amp;Data!J393&amp;")"))</f>
        <v>No</v>
      </c>
      <c r="K393" s="21" t="n">
        <f aca="false">IF(Data!K393="","",Data!K393)</f>
        <v>0</v>
      </c>
      <c r="L393" s="28" t="str">
        <f aca="false">IF(Data!L393="","",IFERROR(VLOOKUP(Data!L393,Codes!$A$34:$B$36,2,FALSE()),"Invalid ("&amp;Data!L393&amp;")"))</f>
        <v/>
      </c>
      <c r="M393" s="20" t="str">
        <f aca="false">IF(Data!M393="","",Data!M393)</f>
        <v/>
      </c>
      <c r="N393" s="28" t="str">
        <f aca="false">IF(Data!N393="","",IFERROR(VLOOKUP(Data!N393,Codes!$A$47:$B$49,2,FALSE()),"Invalid ("&amp;Data!N393&amp;")"))</f>
        <v/>
      </c>
      <c r="O393" s="28" t="str">
        <f aca="false">IF(Data!O393="","",IFERROR(VLOOKUP(Data!O393,Codes!$A$53:$B$57,2,FALSE()),"Invalid ("&amp;Data!O393&amp;")"))</f>
        <v>Disease (2)</v>
      </c>
      <c r="P393" s="22" t="str">
        <f aca="false">IF(Data!P393="","",IFERROR(VLOOKUP(Data!P393,Codes!$A$61:$B$64,2,FALSE()),"Invalid ("&amp;Data!P393&amp;")"))</f>
        <v>Hungarian Inst. of Cardiology, Budapest</v>
      </c>
    </row>
    <row r="394" customFormat="false" ht="15" hidden="false" customHeight="false" outlineLevel="0" collapsed="false">
      <c r="A394" s="19" t="n">
        <f aca="false">Data!A394</f>
        <v>393</v>
      </c>
      <c r="B394" s="20" t="n">
        <f aca="false">IF(Data!B394="","",Data!B394)</f>
        <v>55</v>
      </c>
      <c r="C394" s="28" t="str">
        <f aca="false">IF(Data!C394="","",IFERROR(VLOOKUP(Data!C394,Codes!$A$6:$B$7,2,FALSE()),"Invalid ("&amp;Data!C394&amp;")"))</f>
        <v>Male</v>
      </c>
      <c r="D394" s="28" t="str">
        <f aca="false">IF(Data!D394="","",IFERROR(VLOOKUP(Data!D394,Codes!$A$11:$B$14,2,FALSE()),"Invalid ("&amp;Data!D394&amp;")"))</f>
        <v>Asymptomatic</v>
      </c>
      <c r="E394" s="20" t="n">
        <f aca="false">IF(Data!E394="","",Data!E394)</f>
        <v>140</v>
      </c>
      <c r="F394" s="20" t="n">
        <f aca="false">IF(Data!F394="","",Data!F394)</f>
        <v>229</v>
      </c>
      <c r="G394" s="28" t="str">
        <f aca="false">IF(Data!G394="","",IFERROR(VLOOKUP(Data!G394,Codes!$A$18:$B$19,2,FALSE()),"Invalid ("&amp;Data!G394&amp;")"))</f>
        <v>No</v>
      </c>
      <c r="H394" s="28" t="str">
        <f aca="false">IF(Data!H394="","",IFERROR(VLOOKUP(Data!H394,Codes!$A$23:$B$25,2,FALSE()),"Invalid ("&amp;Data!H394&amp;")"))</f>
        <v>Normal</v>
      </c>
      <c r="I394" s="20" t="n">
        <f aca="false">IF(Data!I394="","",Data!I394)</f>
        <v>110</v>
      </c>
      <c r="J394" s="28" t="str">
        <f aca="false">IF(Data!J394="","",IFERROR(VLOOKUP(Data!J394,Codes!$A$29:$B$30,2,FALSE()),"Invalid ("&amp;Data!J394&amp;")"))</f>
        <v>Yes</v>
      </c>
      <c r="K394" s="21" t="n">
        <f aca="false">IF(Data!K394="","",Data!K394)</f>
        <v>0.5</v>
      </c>
      <c r="L394" s="28" t="str">
        <f aca="false">IF(Data!L394="","",IFERROR(VLOOKUP(Data!L394,Codes!$A$34:$B$36,2,FALSE()),"Invalid ("&amp;Data!L394&amp;")"))</f>
        <v>Flat</v>
      </c>
      <c r="M394" s="20" t="str">
        <f aca="false">IF(Data!M394="","",Data!M394)</f>
        <v/>
      </c>
      <c r="N394" s="28" t="str">
        <f aca="false">IF(Data!N394="","",IFERROR(VLOOKUP(Data!N394,Codes!$A$47:$B$49,2,FALSE()),"Invalid ("&amp;Data!N394&amp;")"))</f>
        <v/>
      </c>
      <c r="O394" s="28" t="str">
        <f aca="false">IF(Data!O394="","",IFERROR(VLOOKUP(Data!O394,Codes!$A$53:$B$57,2,FALSE()),"Invalid ("&amp;Data!O394&amp;")"))</f>
        <v>No disease</v>
      </c>
      <c r="P394" s="22" t="str">
        <f aca="false">IF(Data!P394="","",IFERROR(VLOOKUP(Data!P394,Codes!$A$61:$B$64,2,FALSE()),"Invalid ("&amp;Data!P394&amp;")"))</f>
        <v>Hungarian Inst. of Cardiology, Budapest</v>
      </c>
    </row>
    <row r="395" customFormat="false" ht="15" hidden="false" customHeight="false" outlineLevel="0" collapsed="false">
      <c r="A395" s="19" t="n">
        <f aca="false">Data!A395</f>
        <v>394</v>
      </c>
      <c r="B395" s="20" t="n">
        <f aca="false">IF(Data!B395="","",Data!B395)</f>
        <v>49</v>
      </c>
      <c r="C395" s="28" t="str">
        <f aca="false">IF(Data!C395="","",IFERROR(VLOOKUP(Data!C395,Codes!$A$6:$B$7,2,FALSE()),"Invalid ("&amp;Data!C395&amp;")"))</f>
        <v>Female</v>
      </c>
      <c r="D395" s="28" t="str">
        <f aca="false">IF(Data!D395="","",IFERROR(VLOOKUP(Data!D395,Codes!$A$11:$B$14,2,FALSE()),"Invalid ("&amp;Data!D395&amp;")"))</f>
        <v>Atypical angina</v>
      </c>
      <c r="E395" s="20" t="n">
        <f aca="false">IF(Data!E395="","",Data!E395)</f>
        <v>110</v>
      </c>
      <c r="F395" s="20" t="str">
        <f aca="false">IF(Data!F395="","",Data!F395)</f>
        <v/>
      </c>
      <c r="G395" s="28" t="str">
        <f aca="false">IF(Data!G395="","",IFERROR(VLOOKUP(Data!G395,Codes!$A$18:$B$19,2,FALSE()),"Invalid ("&amp;Data!G395&amp;")"))</f>
        <v>No</v>
      </c>
      <c r="H395" s="28" t="str">
        <f aca="false">IF(Data!H395="","",IFERROR(VLOOKUP(Data!H395,Codes!$A$23:$B$25,2,FALSE()),"Invalid ("&amp;Data!H395&amp;")"))</f>
        <v>Normal</v>
      </c>
      <c r="I395" s="20" t="n">
        <f aca="false">IF(Data!I395="","",Data!I395)</f>
        <v>160</v>
      </c>
      <c r="J395" s="28" t="str">
        <f aca="false">IF(Data!J395="","",IFERROR(VLOOKUP(Data!J395,Codes!$A$29:$B$30,2,FALSE()),"Invalid ("&amp;Data!J395&amp;")"))</f>
        <v>No</v>
      </c>
      <c r="K395" s="21" t="n">
        <f aca="false">IF(Data!K395="","",Data!K395)</f>
        <v>0</v>
      </c>
      <c r="L395" s="28" t="str">
        <f aca="false">IF(Data!L395="","",IFERROR(VLOOKUP(Data!L395,Codes!$A$34:$B$36,2,FALSE()),"Invalid ("&amp;Data!L395&amp;")"))</f>
        <v/>
      </c>
      <c r="M395" s="20" t="str">
        <f aca="false">IF(Data!M395="","",Data!M395)</f>
        <v/>
      </c>
      <c r="N395" s="28" t="str">
        <f aca="false">IF(Data!N395="","",IFERROR(VLOOKUP(Data!N395,Codes!$A$47:$B$49,2,FALSE()),"Invalid ("&amp;Data!N395&amp;")"))</f>
        <v/>
      </c>
      <c r="O395" s="28" t="str">
        <f aca="false">IF(Data!O395="","",IFERROR(VLOOKUP(Data!O395,Codes!$A$53:$B$57,2,FALSE()),"Invalid ("&amp;Data!O395&amp;")"))</f>
        <v>No disease</v>
      </c>
      <c r="P395" s="22" t="str">
        <f aca="false">IF(Data!P395="","",IFERROR(VLOOKUP(Data!P395,Codes!$A$61:$B$64,2,FALSE()),"Invalid ("&amp;Data!P395&amp;")"))</f>
        <v>Hungarian Inst. of Cardiology, Budapest</v>
      </c>
    </row>
    <row r="396" customFormat="false" ht="15" hidden="false" customHeight="false" outlineLevel="0" collapsed="false">
      <c r="A396" s="19" t="n">
        <f aca="false">Data!A396</f>
        <v>395</v>
      </c>
      <c r="B396" s="20" t="n">
        <f aca="false">IF(Data!B396="","",Data!B396)</f>
        <v>39</v>
      </c>
      <c r="C396" s="28" t="str">
        <f aca="false">IF(Data!C396="","",IFERROR(VLOOKUP(Data!C396,Codes!$A$6:$B$7,2,FALSE()),"Invalid ("&amp;Data!C396&amp;")"))</f>
        <v>Male</v>
      </c>
      <c r="D396" s="28" t="str">
        <f aca="false">IF(Data!D396="","",IFERROR(VLOOKUP(Data!D396,Codes!$A$11:$B$14,2,FALSE()),"Invalid ("&amp;Data!D396&amp;")"))</f>
        <v>Asymptomatic</v>
      </c>
      <c r="E396" s="20" t="n">
        <f aca="false">IF(Data!E396="","",Data!E396)</f>
        <v>130</v>
      </c>
      <c r="F396" s="20" t="n">
        <f aca="false">IF(Data!F396="","",Data!F396)</f>
        <v>307</v>
      </c>
      <c r="G396" s="28" t="str">
        <f aca="false">IF(Data!G396="","",IFERROR(VLOOKUP(Data!G396,Codes!$A$18:$B$19,2,FALSE()),"Invalid ("&amp;Data!G396&amp;")"))</f>
        <v>No</v>
      </c>
      <c r="H396" s="28" t="str">
        <f aca="false">IF(Data!H396="","",IFERROR(VLOOKUP(Data!H396,Codes!$A$23:$B$25,2,FALSE()),"Invalid ("&amp;Data!H396&amp;")"))</f>
        <v>Normal</v>
      </c>
      <c r="I396" s="20" t="n">
        <f aca="false">IF(Data!I396="","",Data!I396)</f>
        <v>140</v>
      </c>
      <c r="J396" s="28" t="str">
        <f aca="false">IF(Data!J396="","",IFERROR(VLOOKUP(Data!J396,Codes!$A$29:$B$30,2,FALSE()),"Invalid ("&amp;Data!J396&amp;")"))</f>
        <v>No</v>
      </c>
      <c r="K396" s="21" t="n">
        <f aca="false">IF(Data!K396="","",Data!K396)</f>
        <v>0</v>
      </c>
      <c r="L396" s="28" t="str">
        <f aca="false">IF(Data!L396="","",IFERROR(VLOOKUP(Data!L396,Codes!$A$34:$B$36,2,FALSE()),"Invalid ("&amp;Data!L396&amp;")"))</f>
        <v/>
      </c>
      <c r="M396" s="20" t="str">
        <f aca="false">IF(Data!M396="","",Data!M396)</f>
        <v/>
      </c>
      <c r="N396" s="28" t="str">
        <f aca="false">IF(Data!N396="","",IFERROR(VLOOKUP(Data!N396,Codes!$A$47:$B$49,2,FALSE()),"Invalid ("&amp;Data!N396&amp;")"))</f>
        <v/>
      </c>
      <c r="O396" s="28" t="str">
        <f aca="false">IF(Data!O396="","",IFERROR(VLOOKUP(Data!O396,Codes!$A$53:$B$57,2,FALSE()),"Invalid ("&amp;Data!O396&amp;")"))</f>
        <v>No disease</v>
      </c>
      <c r="P396" s="22" t="str">
        <f aca="false">IF(Data!P396="","",IFERROR(VLOOKUP(Data!P396,Codes!$A$61:$B$64,2,FALSE()),"Invalid ("&amp;Data!P396&amp;")"))</f>
        <v>Hungarian Inst. of Cardiology, Budapest</v>
      </c>
    </row>
    <row r="397" customFormat="false" ht="15" hidden="false" customHeight="false" outlineLevel="0" collapsed="false">
      <c r="A397" s="19" t="n">
        <f aca="false">Data!A397</f>
        <v>396</v>
      </c>
      <c r="B397" s="20" t="n">
        <f aca="false">IF(Data!B397="","",Data!B397)</f>
        <v>52</v>
      </c>
      <c r="C397" s="28" t="str">
        <f aca="false">IF(Data!C397="","",IFERROR(VLOOKUP(Data!C397,Codes!$A$6:$B$7,2,FALSE()),"Invalid ("&amp;Data!C397&amp;")"))</f>
        <v>Female</v>
      </c>
      <c r="D397" s="28" t="str">
        <f aca="false">IF(Data!D397="","",IFERROR(VLOOKUP(Data!D397,Codes!$A$11:$B$14,2,FALSE()),"Invalid ("&amp;Data!D397&amp;")"))</f>
        <v>Atypical angina</v>
      </c>
      <c r="E397" s="20" t="n">
        <f aca="false">IF(Data!E397="","",Data!E397)</f>
        <v>120</v>
      </c>
      <c r="F397" s="20" t="n">
        <f aca="false">IF(Data!F397="","",Data!F397)</f>
        <v>210</v>
      </c>
      <c r="G397" s="28" t="str">
        <f aca="false">IF(Data!G397="","",IFERROR(VLOOKUP(Data!G397,Codes!$A$18:$B$19,2,FALSE()),"Invalid ("&amp;Data!G397&amp;")"))</f>
        <v>No</v>
      </c>
      <c r="H397" s="28" t="str">
        <f aca="false">IF(Data!H397="","",IFERROR(VLOOKUP(Data!H397,Codes!$A$23:$B$25,2,FALSE()),"Invalid ("&amp;Data!H397&amp;")"))</f>
        <v>Normal</v>
      </c>
      <c r="I397" s="20" t="n">
        <f aca="false">IF(Data!I397="","",Data!I397)</f>
        <v>148</v>
      </c>
      <c r="J397" s="28" t="str">
        <f aca="false">IF(Data!J397="","",IFERROR(VLOOKUP(Data!J397,Codes!$A$29:$B$30,2,FALSE()),"Invalid ("&amp;Data!J397&amp;")"))</f>
        <v>No</v>
      </c>
      <c r="K397" s="21" t="n">
        <f aca="false">IF(Data!K397="","",Data!K397)</f>
        <v>0</v>
      </c>
      <c r="L397" s="28" t="str">
        <f aca="false">IF(Data!L397="","",IFERROR(VLOOKUP(Data!L397,Codes!$A$34:$B$36,2,FALSE()),"Invalid ("&amp;Data!L397&amp;")"))</f>
        <v/>
      </c>
      <c r="M397" s="20" t="str">
        <f aca="false">IF(Data!M397="","",Data!M397)</f>
        <v/>
      </c>
      <c r="N397" s="28" t="str">
        <f aca="false">IF(Data!N397="","",IFERROR(VLOOKUP(Data!N397,Codes!$A$47:$B$49,2,FALSE()),"Invalid ("&amp;Data!N397&amp;")"))</f>
        <v/>
      </c>
      <c r="O397" s="28" t="str">
        <f aca="false">IF(Data!O397="","",IFERROR(VLOOKUP(Data!O397,Codes!$A$53:$B$57,2,FALSE()),"Invalid ("&amp;Data!O397&amp;")"))</f>
        <v>No disease</v>
      </c>
      <c r="P397" s="22" t="str">
        <f aca="false">IF(Data!P397="","",IFERROR(VLOOKUP(Data!P397,Codes!$A$61:$B$64,2,FALSE()),"Invalid ("&amp;Data!P397&amp;")"))</f>
        <v>Hungarian Inst. of Cardiology, Budapest</v>
      </c>
    </row>
    <row r="398" customFormat="false" ht="15" hidden="false" customHeight="false" outlineLevel="0" collapsed="false">
      <c r="A398" s="19" t="n">
        <f aca="false">Data!A398</f>
        <v>397</v>
      </c>
      <c r="B398" s="20" t="n">
        <f aca="false">IF(Data!B398="","",Data!B398)</f>
        <v>48</v>
      </c>
      <c r="C398" s="28" t="str">
        <f aca="false">IF(Data!C398="","",IFERROR(VLOOKUP(Data!C398,Codes!$A$6:$B$7,2,FALSE()),"Invalid ("&amp;Data!C398&amp;")"))</f>
        <v>Male</v>
      </c>
      <c r="D398" s="28" t="str">
        <f aca="false">IF(Data!D398="","",IFERROR(VLOOKUP(Data!D398,Codes!$A$11:$B$14,2,FALSE()),"Invalid ("&amp;Data!D398&amp;")"))</f>
        <v>Asymptomatic</v>
      </c>
      <c r="E398" s="20" t="n">
        <f aca="false">IF(Data!E398="","",Data!E398)</f>
        <v>160</v>
      </c>
      <c r="F398" s="20" t="n">
        <f aca="false">IF(Data!F398="","",Data!F398)</f>
        <v>329</v>
      </c>
      <c r="G398" s="28" t="str">
        <f aca="false">IF(Data!G398="","",IFERROR(VLOOKUP(Data!G398,Codes!$A$18:$B$19,2,FALSE()),"Invalid ("&amp;Data!G398&amp;")"))</f>
        <v>No</v>
      </c>
      <c r="H398" s="28" t="str">
        <f aca="false">IF(Data!H398="","",IFERROR(VLOOKUP(Data!H398,Codes!$A$23:$B$25,2,FALSE()),"Invalid ("&amp;Data!H398&amp;")"))</f>
        <v>Normal</v>
      </c>
      <c r="I398" s="20" t="n">
        <f aca="false">IF(Data!I398="","",Data!I398)</f>
        <v>92</v>
      </c>
      <c r="J398" s="28" t="str">
        <f aca="false">IF(Data!J398="","",IFERROR(VLOOKUP(Data!J398,Codes!$A$29:$B$30,2,FALSE()),"Invalid ("&amp;Data!J398&amp;")"))</f>
        <v>Yes</v>
      </c>
      <c r="K398" s="21" t="n">
        <f aca="false">IF(Data!K398="","",Data!K398)</f>
        <v>1.5</v>
      </c>
      <c r="L398" s="28" t="str">
        <f aca="false">IF(Data!L398="","",IFERROR(VLOOKUP(Data!L398,Codes!$A$34:$B$36,2,FALSE()),"Invalid ("&amp;Data!L398&amp;")"))</f>
        <v>Flat</v>
      </c>
      <c r="M398" s="20" t="str">
        <f aca="false">IF(Data!M398="","",Data!M398)</f>
        <v/>
      </c>
      <c r="N398" s="28" t="str">
        <f aca="false">IF(Data!N398="","",IFERROR(VLOOKUP(Data!N398,Codes!$A$47:$B$49,2,FALSE()),"Invalid ("&amp;Data!N398&amp;")"))</f>
        <v/>
      </c>
      <c r="O398" s="28" t="str">
        <f aca="false">IF(Data!O398="","",IFERROR(VLOOKUP(Data!O398,Codes!$A$53:$B$57,2,FALSE()),"Invalid ("&amp;Data!O398&amp;")"))</f>
        <v>Disease (2)</v>
      </c>
      <c r="P398" s="22" t="str">
        <f aca="false">IF(Data!P398="","",IFERROR(VLOOKUP(Data!P398,Codes!$A$61:$B$64,2,FALSE()),"Invalid ("&amp;Data!P398&amp;")"))</f>
        <v>Hungarian Inst. of Cardiology, Budapest</v>
      </c>
    </row>
    <row r="399" customFormat="false" ht="15" hidden="false" customHeight="false" outlineLevel="0" collapsed="false">
      <c r="A399" s="19" t="n">
        <f aca="false">Data!A399</f>
        <v>398</v>
      </c>
      <c r="B399" s="20" t="n">
        <f aca="false">IF(Data!B399="","",Data!B399)</f>
        <v>39</v>
      </c>
      <c r="C399" s="28" t="str">
        <f aca="false">IF(Data!C399="","",IFERROR(VLOOKUP(Data!C399,Codes!$A$6:$B$7,2,FALSE()),"Invalid ("&amp;Data!C399&amp;")"))</f>
        <v>Female</v>
      </c>
      <c r="D399" s="28" t="str">
        <f aca="false">IF(Data!D399="","",IFERROR(VLOOKUP(Data!D399,Codes!$A$11:$B$14,2,FALSE()),"Invalid ("&amp;Data!D399&amp;")"))</f>
        <v>Non-anginal pain</v>
      </c>
      <c r="E399" s="20" t="n">
        <f aca="false">IF(Data!E399="","",Data!E399)</f>
        <v>110</v>
      </c>
      <c r="F399" s="20" t="n">
        <f aca="false">IF(Data!F399="","",Data!F399)</f>
        <v>182</v>
      </c>
      <c r="G399" s="28" t="str">
        <f aca="false">IF(Data!G399="","",IFERROR(VLOOKUP(Data!G399,Codes!$A$18:$B$19,2,FALSE()),"Invalid ("&amp;Data!G399&amp;")"))</f>
        <v>No</v>
      </c>
      <c r="H399" s="28" t="str">
        <f aca="false">IF(Data!H399="","",IFERROR(VLOOKUP(Data!H399,Codes!$A$23:$B$25,2,FALSE()),"Invalid ("&amp;Data!H399&amp;")"))</f>
        <v>ST-T wave abnormality</v>
      </c>
      <c r="I399" s="20" t="n">
        <f aca="false">IF(Data!I399="","",Data!I399)</f>
        <v>180</v>
      </c>
      <c r="J399" s="28" t="str">
        <f aca="false">IF(Data!J399="","",IFERROR(VLOOKUP(Data!J399,Codes!$A$29:$B$30,2,FALSE()),"Invalid ("&amp;Data!J399&amp;")"))</f>
        <v>No</v>
      </c>
      <c r="K399" s="21" t="n">
        <f aca="false">IF(Data!K399="","",Data!K399)</f>
        <v>0</v>
      </c>
      <c r="L399" s="28" t="str">
        <f aca="false">IF(Data!L399="","",IFERROR(VLOOKUP(Data!L399,Codes!$A$34:$B$36,2,FALSE()),"Invalid ("&amp;Data!L399&amp;")"))</f>
        <v/>
      </c>
      <c r="M399" s="20" t="str">
        <f aca="false">IF(Data!M399="","",Data!M399)</f>
        <v/>
      </c>
      <c r="N399" s="28" t="str">
        <f aca="false">IF(Data!N399="","",IFERROR(VLOOKUP(Data!N399,Codes!$A$47:$B$49,2,FALSE()),"Invalid ("&amp;Data!N399&amp;")"))</f>
        <v/>
      </c>
      <c r="O399" s="28" t="str">
        <f aca="false">IF(Data!O399="","",IFERROR(VLOOKUP(Data!O399,Codes!$A$53:$B$57,2,FALSE()),"Invalid ("&amp;Data!O399&amp;")"))</f>
        <v>No disease</v>
      </c>
      <c r="P399" s="22" t="str">
        <f aca="false">IF(Data!P399="","",IFERROR(VLOOKUP(Data!P399,Codes!$A$61:$B$64,2,FALSE()),"Invalid ("&amp;Data!P399&amp;")"))</f>
        <v>Hungarian Inst. of Cardiology, Budapest</v>
      </c>
    </row>
    <row r="400" customFormat="false" ht="15" hidden="false" customHeight="false" outlineLevel="0" collapsed="false">
      <c r="A400" s="19" t="n">
        <f aca="false">Data!A400</f>
        <v>399</v>
      </c>
      <c r="B400" s="20" t="n">
        <f aca="false">IF(Data!B400="","",Data!B400)</f>
        <v>58</v>
      </c>
      <c r="C400" s="28" t="str">
        <f aca="false">IF(Data!C400="","",IFERROR(VLOOKUP(Data!C400,Codes!$A$6:$B$7,2,FALSE()),"Invalid ("&amp;Data!C400&amp;")"))</f>
        <v>Male</v>
      </c>
      <c r="D400" s="28" t="str">
        <f aca="false">IF(Data!D400="","",IFERROR(VLOOKUP(Data!D400,Codes!$A$11:$B$14,2,FALSE()),"Invalid ("&amp;Data!D400&amp;")"))</f>
        <v>Asymptomatic</v>
      </c>
      <c r="E400" s="20" t="n">
        <f aca="false">IF(Data!E400="","",Data!E400)</f>
        <v>130</v>
      </c>
      <c r="F400" s="20" t="n">
        <f aca="false">IF(Data!F400="","",Data!F400)</f>
        <v>263</v>
      </c>
      <c r="G400" s="28" t="str">
        <f aca="false">IF(Data!G400="","",IFERROR(VLOOKUP(Data!G400,Codes!$A$18:$B$19,2,FALSE()),"Invalid ("&amp;Data!G400&amp;")"))</f>
        <v>No</v>
      </c>
      <c r="H400" s="28" t="str">
        <f aca="false">IF(Data!H400="","",IFERROR(VLOOKUP(Data!H400,Codes!$A$23:$B$25,2,FALSE()),"Invalid ("&amp;Data!H400&amp;")"))</f>
        <v>Normal</v>
      </c>
      <c r="I400" s="20" t="n">
        <f aca="false">IF(Data!I400="","",Data!I400)</f>
        <v>140</v>
      </c>
      <c r="J400" s="28" t="str">
        <f aca="false">IF(Data!J400="","",IFERROR(VLOOKUP(Data!J400,Codes!$A$29:$B$30,2,FALSE()),"Invalid ("&amp;Data!J400&amp;")"))</f>
        <v>Yes</v>
      </c>
      <c r="K400" s="21" t="n">
        <f aca="false">IF(Data!K400="","",Data!K400)</f>
        <v>2</v>
      </c>
      <c r="L400" s="28" t="str">
        <f aca="false">IF(Data!L400="","",IFERROR(VLOOKUP(Data!L400,Codes!$A$34:$B$36,2,FALSE()),"Invalid ("&amp;Data!L400&amp;")"))</f>
        <v>Flat</v>
      </c>
      <c r="M400" s="20" t="str">
        <f aca="false">IF(Data!M400="","",Data!M400)</f>
        <v/>
      </c>
      <c r="N400" s="28" t="str">
        <f aca="false">IF(Data!N400="","",IFERROR(VLOOKUP(Data!N400,Codes!$A$47:$B$49,2,FALSE()),"Invalid ("&amp;Data!N400&amp;")"))</f>
        <v/>
      </c>
      <c r="O400" s="28" t="str">
        <f aca="false">IF(Data!O400="","",IFERROR(VLOOKUP(Data!O400,Codes!$A$53:$B$57,2,FALSE()),"Invalid ("&amp;Data!O400&amp;")"))</f>
        <v>Disease (2)</v>
      </c>
      <c r="P400" s="22" t="str">
        <f aca="false">IF(Data!P400="","",IFERROR(VLOOKUP(Data!P400,Codes!$A$61:$B$64,2,FALSE()),"Invalid ("&amp;Data!P400&amp;")"))</f>
        <v>Hungarian Inst. of Cardiology, Budapest</v>
      </c>
    </row>
    <row r="401" customFormat="false" ht="15" hidden="false" customHeight="false" outlineLevel="0" collapsed="false">
      <c r="A401" s="19" t="n">
        <f aca="false">Data!A401</f>
        <v>400</v>
      </c>
      <c r="B401" s="20" t="n">
        <f aca="false">IF(Data!B401="","",Data!B401)</f>
        <v>43</v>
      </c>
      <c r="C401" s="28" t="str">
        <f aca="false">IF(Data!C401="","",IFERROR(VLOOKUP(Data!C401,Codes!$A$6:$B$7,2,FALSE()),"Invalid ("&amp;Data!C401&amp;")"))</f>
        <v>Male</v>
      </c>
      <c r="D401" s="28" t="str">
        <f aca="false">IF(Data!D401="","",IFERROR(VLOOKUP(Data!D401,Codes!$A$11:$B$14,2,FALSE()),"Invalid ("&amp;Data!D401&amp;")"))</f>
        <v>Atypical angina</v>
      </c>
      <c r="E401" s="20" t="n">
        <f aca="false">IF(Data!E401="","",Data!E401)</f>
        <v>142</v>
      </c>
      <c r="F401" s="20" t="n">
        <f aca="false">IF(Data!F401="","",Data!F401)</f>
        <v>207</v>
      </c>
      <c r="G401" s="28" t="str">
        <f aca="false">IF(Data!G401="","",IFERROR(VLOOKUP(Data!G401,Codes!$A$18:$B$19,2,FALSE()),"Invalid ("&amp;Data!G401&amp;")"))</f>
        <v>No</v>
      </c>
      <c r="H401" s="28" t="str">
        <f aca="false">IF(Data!H401="","",IFERROR(VLOOKUP(Data!H401,Codes!$A$23:$B$25,2,FALSE()),"Invalid ("&amp;Data!H401&amp;")"))</f>
        <v>Normal</v>
      </c>
      <c r="I401" s="20" t="n">
        <f aca="false">IF(Data!I401="","",Data!I401)</f>
        <v>138</v>
      </c>
      <c r="J401" s="28" t="str">
        <f aca="false">IF(Data!J401="","",IFERROR(VLOOKUP(Data!J401,Codes!$A$29:$B$30,2,FALSE()),"Invalid ("&amp;Data!J401&amp;")"))</f>
        <v>No</v>
      </c>
      <c r="K401" s="21" t="n">
        <f aca="false">IF(Data!K401="","",Data!K401)</f>
        <v>0</v>
      </c>
      <c r="L401" s="28" t="str">
        <f aca="false">IF(Data!L401="","",IFERROR(VLOOKUP(Data!L401,Codes!$A$34:$B$36,2,FALSE()),"Invalid ("&amp;Data!L401&amp;")"))</f>
        <v/>
      </c>
      <c r="M401" s="20" t="str">
        <f aca="false">IF(Data!M401="","",Data!M401)</f>
        <v/>
      </c>
      <c r="N401" s="28" t="str">
        <f aca="false">IF(Data!N401="","",IFERROR(VLOOKUP(Data!N401,Codes!$A$47:$B$49,2,FALSE()),"Invalid ("&amp;Data!N401&amp;")"))</f>
        <v/>
      </c>
      <c r="O401" s="28" t="str">
        <f aca="false">IF(Data!O401="","",IFERROR(VLOOKUP(Data!O401,Codes!$A$53:$B$57,2,FALSE()),"Invalid ("&amp;Data!O401&amp;")"))</f>
        <v>No disease</v>
      </c>
      <c r="P401" s="22" t="str">
        <f aca="false">IF(Data!P401="","",IFERROR(VLOOKUP(Data!P401,Codes!$A$61:$B$64,2,FALSE()),"Invalid ("&amp;Data!P401&amp;")"))</f>
        <v>Hungarian Inst. of Cardiology, Budapest</v>
      </c>
    </row>
    <row r="402" customFormat="false" ht="15" hidden="false" customHeight="false" outlineLevel="0" collapsed="false">
      <c r="A402" s="19" t="n">
        <f aca="false">Data!A402</f>
        <v>401</v>
      </c>
      <c r="B402" s="20" t="n">
        <f aca="false">IF(Data!B402="","",Data!B402)</f>
        <v>39</v>
      </c>
      <c r="C402" s="28" t="str">
        <f aca="false">IF(Data!C402="","",IFERROR(VLOOKUP(Data!C402,Codes!$A$6:$B$7,2,FALSE()),"Invalid ("&amp;Data!C402&amp;")"))</f>
        <v>Male</v>
      </c>
      <c r="D402" s="28" t="str">
        <f aca="false">IF(Data!D402="","",IFERROR(VLOOKUP(Data!D402,Codes!$A$11:$B$14,2,FALSE()),"Invalid ("&amp;Data!D402&amp;")"))</f>
        <v>Non-anginal pain</v>
      </c>
      <c r="E402" s="20" t="n">
        <f aca="false">IF(Data!E402="","",Data!E402)</f>
        <v>160</v>
      </c>
      <c r="F402" s="20" t="n">
        <f aca="false">IF(Data!F402="","",Data!F402)</f>
        <v>147</v>
      </c>
      <c r="G402" s="28" t="str">
        <f aca="false">IF(Data!G402="","",IFERROR(VLOOKUP(Data!G402,Codes!$A$18:$B$19,2,FALSE()),"Invalid ("&amp;Data!G402&amp;")"))</f>
        <v>Yes</v>
      </c>
      <c r="H402" s="28" t="str">
        <f aca="false">IF(Data!H402="","",IFERROR(VLOOKUP(Data!H402,Codes!$A$23:$B$25,2,FALSE()),"Invalid ("&amp;Data!H402&amp;")"))</f>
        <v>Normal</v>
      </c>
      <c r="I402" s="20" t="n">
        <f aca="false">IF(Data!I402="","",Data!I402)</f>
        <v>160</v>
      </c>
      <c r="J402" s="28" t="str">
        <f aca="false">IF(Data!J402="","",IFERROR(VLOOKUP(Data!J402,Codes!$A$29:$B$30,2,FALSE()),"Invalid ("&amp;Data!J402&amp;")"))</f>
        <v>No</v>
      </c>
      <c r="K402" s="21" t="n">
        <f aca="false">IF(Data!K402="","",Data!K402)</f>
        <v>0</v>
      </c>
      <c r="L402" s="28" t="str">
        <f aca="false">IF(Data!L402="","",IFERROR(VLOOKUP(Data!L402,Codes!$A$34:$B$36,2,FALSE()),"Invalid ("&amp;Data!L402&amp;")"))</f>
        <v/>
      </c>
      <c r="M402" s="20" t="str">
        <f aca="false">IF(Data!M402="","",Data!M402)</f>
        <v/>
      </c>
      <c r="N402" s="28" t="str">
        <f aca="false">IF(Data!N402="","",IFERROR(VLOOKUP(Data!N402,Codes!$A$47:$B$49,2,FALSE()),"Invalid ("&amp;Data!N402&amp;")"))</f>
        <v/>
      </c>
      <c r="O402" s="28" t="str">
        <f aca="false">IF(Data!O402="","",IFERROR(VLOOKUP(Data!O402,Codes!$A$53:$B$57,2,FALSE()),"Invalid ("&amp;Data!O402&amp;")"))</f>
        <v>No disease</v>
      </c>
      <c r="P402" s="22" t="str">
        <f aca="false">IF(Data!P402="","",IFERROR(VLOOKUP(Data!P402,Codes!$A$61:$B$64,2,FALSE()),"Invalid ("&amp;Data!P402&amp;")"))</f>
        <v>Hungarian Inst. of Cardiology, Budapest</v>
      </c>
    </row>
    <row r="403" customFormat="false" ht="15" hidden="false" customHeight="false" outlineLevel="0" collapsed="false">
      <c r="A403" s="19" t="n">
        <f aca="false">Data!A403</f>
        <v>402</v>
      </c>
      <c r="B403" s="20" t="n">
        <f aca="false">IF(Data!B403="","",Data!B403)</f>
        <v>56</v>
      </c>
      <c r="C403" s="28" t="str">
        <f aca="false">IF(Data!C403="","",IFERROR(VLOOKUP(Data!C403,Codes!$A$6:$B$7,2,FALSE()),"Invalid ("&amp;Data!C403&amp;")"))</f>
        <v>Male</v>
      </c>
      <c r="D403" s="28" t="str">
        <f aca="false">IF(Data!D403="","",IFERROR(VLOOKUP(Data!D403,Codes!$A$11:$B$14,2,FALSE()),"Invalid ("&amp;Data!D403&amp;")"))</f>
        <v>Asymptomatic</v>
      </c>
      <c r="E403" s="20" t="n">
        <f aca="false">IF(Data!E403="","",Data!E403)</f>
        <v>120</v>
      </c>
      <c r="F403" s="20" t="n">
        <f aca="false">IF(Data!F403="","",Data!F403)</f>
        <v>85</v>
      </c>
      <c r="G403" s="28" t="str">
        <f aca="false">IF(Data!G403="","",IFERROR(VLOOKUP(Data!G403,Codes!$A$18:$B$19,2,FALSE()),"Invalid ("&amp;Data!G403&amp;")"))</f>
        <v>No</v>
      </c>
      <c r="H403" s="28" t="str">
        <f aca="false">IF(Data!H403="","",IFERROR(VLOOKUP(Data!H403,Codes!$A$23:$B$25,2,FALSE()),"Invalid ("&amp;Data!H403&amp;")"))</f>
        <v>Normal</v>
      </c>
      <c r="I403" s="20" t="n">
        <f aca="false">IF(Data!I403="","",Data!I403)</f>
        <v>140</v>
      </c>
      <c r="J403" s="28" t="str">
        <f aca="false">IF(Data!J403="","",IFERROR(VLOOKUP(Data!J403,Codes!$A$29:$B$30,2,FALSE()),"Invalid ("&amp;Data!J403&amp;")"))</f>
        <v>No</v>
      </c>
      <c r="K403" s="21" t="n">
        <f aca="false">IF(Data!K403="","",Data!K403)</f>
        <v>0</v>
      </c>
      <c r="L403" s="28" t="str">
        <f aca="false">IF(Data!L403="","",IFERROR(VLOOKUP(Data!L403,Codes!$A$34:$B$36,2,FALSE()),"Invalid ("&amp;Data!L403&amp;")"))</f>
        <v/>
      </c>
      <c r="M403" s="20" t="str">
        <f aca="false">IF(Data!M403="","",Data!M403)</f>
        <v/>
      </c>
      <c r="N403" s="28" t="str">
        <f aca="false">IF(Data!N403="","",IFERROR(VLOOKUP(Data!N403,Codes!$A$47:$B$49,2,FALSE()),"Invalid ("&amp;Data!N403&amp;")"))</f>
        <v/>
      </c>
      <c r="O403" s="28" t="str">
        <f aca="false">IF(Data!O403="","",IFERROR(VLOOKUP(Data!O403,Codes!$A$53:$B$57,2,FALSE()),"Invalid ("&amp;Data!O403&amp;")"))</f>
        <v>No disease</v>
      </c>
      <c r="P403" s="22" t="str">
        <f aca="false">IF(Data!P403="","",IFERROR(VLOOKUP(Data!P403,Codes!$A$61:$B$64,2,FALSE()),"Invalid ("&amp;Data!P403&amp;")"))</f>
        <v>Hungarian Inst. of Cardiology, Budapest</v>
      </c>
    </row>
    <row r="404" customFormat="false" ht="15" hidden="false" customHeight="false" outlineLevel="0" collapsed="false">
      <c r="A404" s="19" t="n">
        <f aca="false">Data!A404</f>
        <v>403</v>
      </c>
      <c r="B404" s="20" t="n">
        <f aca="false">IF(Data!B404="","",Data!B404)</f>
        <v>41</v>
      </c>
      <c r="C404" s="28" t="str">
        <f aca="false">IF(Data!C404="","",IFERROR(VLOOKUP(Data!C404,Codes!$A$6:$B$7,2,FALSE()),"Invalid ("&amp;Data!C404&amp;")"))</f>
        <v>Male</v>
      </c>
      <c r="D404" s="28" t="str">
        <f aca="false">IF(Data!D404="","",IFERROR(VLOOKUP(Data!D404,Codes!$A$11:$B$14,2,FALSE()),"Invalid ("&amp;Data!D404&amp;")"))</f>
        <v>Atypical angina</v>
      </c>
      <c r="E404" s="20" t="n">
        <f aca="false">IF(Data!E404="","",Data!E404)</f>
        <v>125</v>
      </c>
      <c r="F404" s="20" t="n">
        <f aca="false">IF(Data!F404="","",Data!F404)</f>
        <v>269</v>
      </c>
      <c r="G404" s="28" t="str">
        <f aca="false">IF(Data!G404="","",IFERROR(VLOOKUP(Data!G404,Codes!$A$18:$B$19,2,FALSE()),"Invalid ("&amp;Data!G404&amp;")"))</f>
        <v>No</v>
      </c>
      <c r="H404" s="28" t="str">
        <f aca="false">IF(Data!H404="","",IFERROR(VLOOKUP(Data!H404,Codes!$A$23:$B$25,2,FALSE()),"Invalid ("&amp;Data!H404&amp;")"))</f>
        <v>Normal</v>
      </c>
      <c r="I404" s="20" t="n">
        <f aca="false">IF(Data!I404="","",Data!I404)</f>
        <v>144</v>
      </c>
      <c r="J404" s="28" t="str">
        <f aca="false">IF(Data!J404="","",IFERROR(VLOOKUP(Data!J404,Codes!$A$29:$B$30,2,FALSE()),"Invalid ("&amp;Data!J404&amp;")"))</f>
        <v>No</v>
      </c>
      <c r="K404" s="21" t="n">
        <f aca="false">IF(Data!K404="","",Data!K404)</f>
        <v>0</v>
      </c>
      <c r="L404" s="28" t="str">
        <f aca="false">IF(Data!L404="","",IFERROR(VLOOKUP(Data!L404,Codes!$A$34:$B$36,2,FALSE()),"Invalid ("&amp;Data!L404&amp;")"))</f>
        <v/>
      </c>
      <c r="M404" s="20" t="str">
        <f aca="false">IF(Data!M404="","",Data!M404)</f>
        <v/>
      </c>
      <c r="N404" s="28" t="str">
        <f aca="false">IF(Data!N404="","",IFERROR(VLOOKUP(Data!N404,Codes!$A$47:$B$49,2,FALSE()),"Invalid ("&amp;Data!N404&amp;")"))</f>
        <v/>
      </c>
      <c r="O404" s="28" t="str">
        <f aca="false">IF(Data!O404="","",IFERROR(VLOOKUP(Data!O404,Codes!$A$53:$B$57,2,FALSE()),"Invalid ("&amp;Data!O404&amp;")"))</f>
        <v>No disease</v>
      </c>
      <c r="P404" s="22" t="str">
        <f aca="false">IF(Data!P404="","",IFERROR(VLOOKUP(Data!P404,Codes!$A$61:$B$64,2,FALSE()),"Invalid ("&amp;Data!P404&amp;")"))</f>
        <v>Hungarian Inst. of Cardiology, Budapest</v>
      </c>
    </row>
    <row r="405" customFormat="false" ht="15" hidden="false" customHeight="false" outlineLevel="0" collapsed="false">
      <c r="A405" s="19" t="n">
        <f aca="false">Data!A405</f>
        <v>404</v>
      </c>
      <c r="B405" s="20" t="n">
        <f aca="false">IF(Data!B405="","",Data!B405)</f>
        <v>65</v>
      </c>
      <c r="C405" s="28" t="str">
        <f aca="false">IF(Data!C405="","",IFERROR(VLOOKUP(Data!C405,Codes!$A$6:$B$7,2,FALSE()),"Invalid ("&amp;Data!C405&amp;")"))</f>
        <v>Male</v>
      </c>
      <c r="D405" s="28" t="str">
        <f aca="false">IF(Data!D405="","",IFERROR(VLOOKUP(Data!D405,Codes!$A$11:$B$14,2,FALSE()),"Invalid ("&amp;Data!D405&amp;")"))</f>
        <v>Asymptomatic</v>
      </c>
      <c r="E405" s="20" t="n">
        <f aca="false">IF(Data!E405="","",Data!E405)</f>
        <v>130</v>
      </c>
      <c r="F405" s="20" t="n">
        <f aca="false">IF(Data!F405="","",Data!F405)</f>
        <v>275</v>
      </c>
      <c r="G405" s="28" t="str">
        <f aca="false">IF(Data!G405="","",IFERROR(VLOOKUP(Data!G405,Codes!$A$18:$B$19,2,FALSE()),"Invalid ("&amp;Data!G405&amp;")"))</f>
        <v>No</v>
      </c>
      <c r="H405" s="28" t="str">
        <f aca="false">IF(Data!H405="","",IFERROR(VLOOKUP(Data!H405,Codes!$A$23:$B$25,2,FALSE()),"Invalid ("&amp;Data!H405&amp;")"))</f>
        <v>ST-T wave abnormality</v>
      </c>
      <c r="I405" s="20" t="n">
        <f aca="false">IF(Data!I405="","",Data!I405)</f>
        <v>115</v>
      </c>
      <c r="J405" s="28" t="str">
        <f aca="false">IF(Data!J405="","",IFERROR(VLOOKUP(Data!J405,Codes!$A$29:$B$30,2,FALSE()),"Invalid ("&amp;Data!J405&amp;")"))</f>
        <v>Yes</v>
      </c>
      <c r="K405" s="21" t="n">
        <f aca="false">IF(Data!K405="","",Data!K405)</f>
        <v>1</v>
      </c>
      <c r="L405" s="28" t="str">
        <f aca="false">IF(Data!L405="","",IFERROR(VLOOKUP(Data!L405,Codes!$A$34:$B$36,2,FALSE()),"Invalid ("&amp;Data!L405&amp;")"))</f>
        <v>Flat</v>
      </c>
      <c r="M405" s="20" t="str">
        <f aca="false">IF(Data!M405="","",Data!M405)</f>
        <v/>
      </c>
      <c r="N405" s="28" t="str">
        <f aca="false">IF(Data!N405="","",IFERROR(VLOOKUP(Data!N405,Codes!$A$47:$B$49,2,FALSE()),"Invalid ("&amp;Data!N405&amp;")"))</f>
        <v/>
      </c>
      <c r="O405" s="28" t="str">
        <f aca="false">IF(Data!O405="","",IFERROR(VLOOKUP(Data!O405,Codes!$A$53:$B$57,2,FALSE()),"Invalid ("&amp;Data!O405&amp;")"))</f>
        <v>Disease (4)</v>
      </c>
      <c r="P405" s="22" t="str">
        <f aca="false">IF(Data!P405="","",IFERROR(VLOOKUP(Data!P405,Codes!$A$61:$B$64,2,FALSE()),"Invalid ("&amp;Data!P405&amp;")"))</f>
        <v>Hungarian Inst. of Cardiology, Budapest</v>
      </c>
    </row>
    <row r="406" customFormat="false" ht="15" hidden="false" customHeight="false" outlineLevel="0" collapsed="false">
      <c r="A406" s="19" t="n">
        <f aca="false">Data!A406</f>
        <v>405</v>
      </c>
      <c r="B406" s="20" t="n">
        <f aca="false">IF(Data!B406="","",Data!B406)</f>
        <v>51</v>
      </c>
      <c r="C406" s="28" t="str">
        <f aca="false">IF(Data!C406="","",IFERROR(VLOOKUP(Data!C406,Codes!$A$6:$B$7,2,FALSE()),"Invalid ("&amp;Data!C406&amp;")"))</f>
        <v>Male</v>
      </c>
      <c r="D406" s="28" t="str">
        <f aca="false">IF(Data!D406="","",IFERROR(VLOOKUP(Data!D406,Codes!$A$11:$B$14,2,FALSE()),"Invalid ("&amp;Data!D406&amp;")"))</f>
        <v>Asymptomatic</v>
      </c>
      <c r="E406" s="20" t="n">
        <f aca="false">IF(Data!E406="","",Data!E406)</f>
        <v>130</v>
      </c>
      <c r="F406" s="20" t="n">
        <f aca="false">IF(Data!F406="","",Data!F406)</f>
        <v>179</v>
      </c>
      <c r="G406" s="28" t="str">
        <f aca="false">IF(Data!G406="","",IFERROR(VLOOKUP(Data!G406,Codes!$A$18:$B$19,2,FALSE()),"Invalid ("&amp;Data!G406&amp;")"))</f>
        <v>No</v>
      </c>
      <c r="H406" s="28" t="str">
        <f aca="false">IF(Data!H406="","",IFERROR(VLOOKUP(Data!H406,Codes!$A$23:$B$25,2,FALSE()),"Invalid ("&amp;Data!H406&amp;")"))</f>
        <v>Normal</v>
      </c>
      <c r="I406" s="20" t="n">
        <f aca="false">IF(Data!I406="","",Data!I406)</f>
        <v>100</v>
      </c>
      <c r="J406" s="28" t="str">
        <f aca="false">IF(Data!J406="","",IFERROR(VLOOKUP(Data!J406,Codes!$A$29:$B$30,2,FALSE()),"Invalid ("&amp;Data!J406&amp;")"))</f>
        <v>No</v>
      </c>
      <c r="K406" s="21" t="n">
        <f aca="false">IF(Data!K406="","",Data!K406)</f>
        <v>0</v>
      </c>
      <c r="L406" s="28" t="str">
        <f aca="false">IF(Data!L406="","",IFERROR(VLOOKUP(Data!L406,Codes!$A$34:$B$36,2,FALSE()),"Invalid ("&amp;Data!L406&amp;")"))</f>
        <v/>
      </c>
      <c r="M406" s="20" t="str">
        <f aca="false">IF(Data!M406="","",Data!M406)</f>
        <v/>
      </c>
      <c r="N406" s="28" t="str">
        <f aca="false">IF(Data!N406="","",IFERROR(VLOOKUP(Data!N406,Codes!$A$47:$B$49,2,FALSE()),"Invalid ("&amp;Data!N406&amp;")"))</f>
        <v>Reversible defect</v>
      </c>
      <c r="O406" s="28" t="str">
        <f aca="false">IF(Data!O406="","",IFERROR(VLOOKUP(Data!O406,Codes!$A$53:$B$57,2,FALSE()),"Invalid ("&amp;Data!O406&amp;")"))</f>
        <v>No disease</v>
      </c>
      <c r="P406" s="22" t="str">
        <f aca="false">IF(Data!P406="","",IFERROR(VLOOKUP(Data!P406,Codes!$A$61:$B$64,2,FALSE()),"Invalid ("&amp;Data!P406&amp;")"))</f>
        <v>Hungarian Inst. of Cardiology, Budapest</v>
      </c>
    </row>
    <row r="407" customFormat="false" ht="15" hidden="false" customHeight="false" outlineLevel="0" collapsed="false">
      <c r="A407" s="19" t="n">
        <f aca="false">Data!A407</f>
        <v>406</v>
      </c>
      <c r="B407" s="20" t="n">
        <f aca="false">IF(Data!B407="","",Data!B407)</f>
        <v>40</v>
      </c>
      <c r="C407" s="28" t="str">
        <f aca="false">IF(Data!C407="","",IFERROR(VLOOKUP(Data!C407,Codes!$A$6:$B$7,2,FALSE()),"Invalid ("&amp;Data!C407&amp;")"))</f>
        <v>Female</v>
      </c>
      <c r="D407" s="28" t="str">
        <f aca="false">IF(Data!D407="","",IFERROR(VLOOKUP(Data!D407,Codes!$A$11:$B$14,2,FALSE()),"Invalid ("&amp;Data!D407&amp;")"))</f>
        <v>Asymptomatic</v>
      </c>
      <c r="E407" s="20" t="n">
        <f aca="false">IF(Data!E407="","",Data!E407)</f>
        <v>150</v>
      </c>
      <c r="F407" s="20" t="n">
        <f aca="false">IF(Data!F407="","",Data!F407)</f>
        <v>392</v>
      </c>
      <c r="G407" s="28" t="str">
        <f aca="false">IF(Data!G407="","",IFERROR(VLOOKUP(Data!G407,Codes!$A$18:$B$19,2,FALSE()),"Invalid ("&amp;Data!G407&amp;")"))</f>
        <v>No</v>
      </c>
      <c r="H407" s="28" t="str">
        <f aca="false">IF(Data!H407="","",IFERROR(VLOOKUP(Data!H407,Codes!$A$23:$B$25,2,FALSE()),"Invalid ("&amp;Data!H407&amp;")"))</f>
        <v>Normal</v>
      </c>
      <c r="I407" s="20" t="n">
        <f aca="false">IF(Data!I407="","",Data!I407)</f>
        <v>130</v>
      </c>
      <c r="J407" s="28" t="str">
        <f aca="false">IF(Data!J407="","",IFERROR(VLOOKUP(Data!J407,Codes!$A$29:$B$30,2,FALSE()),"Invalid ("&amp;Data!J407&amp;")"))</f>
        <v>No</v>
      </c>
      <c r="K407" s="21" t="n">
        <f aca="false">IF(Data!K407="","",Data!K407)</f>
        <v>2</v>
      </c>
      <c r="L407" s="28" t="str">
        <f aca="false">IF(Data!L407="","",IFERROR(VLOOKUP(Data!L407,Codes!$A$34:$B$36,2,FALSE()),"Invalid ("&amp;Data!L407&amp;")"))</f>
        <v>Flat</v>
      </c>
      <c r="M407" s="20" t="str">
        <f aca="false">IF(Data!M407="","",Data!M407)</f>
        <v/>
      </c>
      <c r="N407" s="28" t="str">
        <f aca="false">IF(Data!N407="","",IFERROR(VLOOKUP(Data!N407,Codes!$A$47:$B$49,2,FALSE()),"Invalid ("&amp;Data!N407&amp;")"))</f>
        <v>Fixed defect</v>
      </c>
      <c r="O407" s="28" t="str">
        <f aca="false">IF(Data!O407="","",IFERROR(VLOOKUP(Data!O407,Codes!$A$53:$B$57,2,FALSE()),"Invalid ("&amp;Data!O407&amp;")"))</f>
        <v>Disease (2)</v>
      </c>
      <c r="P407" s="22" t="str">
        <f aca="false">IF(Data!P407="","",IFERROR(VLOOKUP(Data!P407,Codes!$A$61:$B$64,2,FALSE()),"Invalid ("&amp;Data!P407&amp;")"))</f>
        <v>Hungarian Inst. of Cardiology, Budapest</v>
      </c>
    </row>
    <row r="408" customFormat="false" ht="15" hidden="false" customHeight="false" outlineLevel="0" collapsed="false">
      <c r="A408" s="19" t="n">
        <f aca="false">Data!A408</f>
        <v>407</v>
      </c>
      <c r="B408" s="20" t="n">
        <f aca="false">IF(Data!B408="","",Data!B408)</f>
        <v>40</v>
      </c>
      <c r="C408" s="28" t="str">
        <f aca="false">IF(Data!C408="","",IFERROR(VLOOKUP(Data!C408,Codes!$A$6:$B$7,2,FALSE()),"Invalid ("&amp;Data!C408&amp;")"))</f>
        <v>Male</v>
      </c>
      <c r="D408" s="28" t="str">
        <f aca="false">IF(Data!D408="","",IFERROR(VLOOKUP(Data!D408,Codes!$A$11:$B$14,2,FALSE()),"Invalid ("&amp;Data!D408&amp;")"))</f>
        <v>Asymptomatic</v>
      </c>
      <c r="E408" s="20" t="n">
        <f aca="false">IF(Data!E408="","",Data!E408)</f>
        <v>120</v>
      </c>
      <c r="F408" s="20" t="n">
        <f aca="false">IF(Data!F408="","",Data!F408)</f>
        <v>466</v>
      </c>
      <c r="G408" s="28" t="str">
        <f aca="false">IF(Data!G408="","",IFERROR(VLOOKUP(Data!G408,Codes!$A$18:$B$19,2,FALSE()),"Invalid ("&amp;Data!G408&amp;")"))</f>
        <v/>
      </c>
      <c r="H408" s="28" t="str">
        <f aca="false">IF(Data!H408="","",IFERROR(VLOOKUP(Data!H408,Codes!$A$23:$B$25,2,FALSE()),"Invalid ("&amp;Data!H408&amp;")"))</f>
        <v>Normal</v>
      </c>
      <c r="I408" s="20" t="n">
        <f aca="false">IF(Data!I408="","",Data!I408)</f>
        <v>152</v>
      </c>
      <c r="J408" s="28" t="str">
        <f aca="false">IF(Data!J408="","",IFERROR(VLOOKUP(Data!J408,Codes!$A$29:$B$30,2,FALSE()),"Invalid ("&amp;Data!J408&amp;")"))</f>
        <v>Yes</v>
      </c>
      <c r="K408" s="21" t="n">
        <f aca="false">IF(Data!K408="","",Data!K408)</f>
        <v>1</v>
      </c>
      <c r="L408" s="28" t="str">
        <f aca="false">IF(Data!L408="","",IFERROR(VLOOKUP(Data!L408,Codes!$A$34:$B$36,2,FALSE()),"Invalid ("&amp;Data!L408&amp;")"))</f>
        <v>Flat</v>
      </c>
      <c r="M408" s="20" t="str">
        <f aca="false">IF(Data!M408="","",Data!M408)</f>
        <v/>
      </c>
      <c r="N408" s="28" t="str">
        <f aca="false">IF(Data!N408="","",IFERROR(VLOOKUP(Data!N408,Codes!$A$47:$B$49,2,FALSE()),"Invalid ("&amp;Data!N408&amp;")"))</f>
        <v>Fixed defect</v>
      </c>
      <c r="O408" s="28" t="str">
        <f aca="false">IF(Data!O408="","",IFERROR(VLOOKUP(Data!O408,Codes!$A$53:$B$57,2,FALSE()),"Invalid ("&amp;Data!O408&amp;")"))</f>
        <v>Disease (1)</v>
      </c>
      <c r="P408" s="22" t="str">
        <f aca="false">IF(Data!P408="","",IFERROR(VLOOKUP(Data!P408,Codes!$A$61:$B$64,2,FALSE()),"Invalid ("&amp;Data!P408&amp;")"))</f>
        <v>Hungarian Inst. of Cardiology, Budapest</v>
      </c>
    </row>
    <row r="409" customFormat="false" ht="15" hidden="false" customHeight="false" outlineLevel="0" collapsed="false">
      <c r="A409" s="19" t="n">
        <f aca="false">Data!A409</f>
        <v>408</v>
      </c>
      <c r="B409" s="20" t="n">
        <f aca="false">IF(Data!B409="","",Data!B409)</f>
        <v>46</v>
      </c>
      <c r="C409" s="28" t="str">
        <f aca="false">IF(Data!C409="","",IFERROR(VLOOKUP(Data!C409,Codes!$A$6:$B$7,2,FALSE()),"Invalid ("&amp;Data!C409&amp;")"))</f>
        <v>Male</v>
      </c>
      <c r="D409" s="28" t="str">
        <f aca="false">IF(Data!D409="","",IFERROR(VLOOKUP(Data!D409,Codes!$A$11:$B$14,2,FALSE()),"Invalid ("&amp;Data!D409&amp;")"))</f>
        <v>Asymptomatic</v>
      </c>
      <c r="E409" s="20" t="n">
        <f aca="false">IF(Data!E409="","",Data!E409)</f>
        <v>118</v>
      </c>
      <c r="F409" s="20" t="n">
        <f aca="false">IF(Data!F409="","",Data!F409)</f>
        <v>186</v>
      </c>
      <c r="G409" s="28" t="str">
        <f aca="false">IF(Data!G409="","",IFERROR(VLOOKUP(Data!G409,Codes!$A$18:$B$19,2,FALSE()),"Invalid ("&amp;Data!G409&amp;")"))</f>
        <v>No</v>
      </c>
      <c r="H409" s="28" t="str">
        <f aca="false">IF(Data!H409="","",IFERROR(VLOOKUP(Data!H409,Codes!$A$23:$B$25,2,FALSE()),"Invalid ("&amp;Data!H409&amp;")"))</f>
        <v>Normal</v>
      </c>
      <c r="I409" s="20" t="n">
        <f aca="false">IF(Data!I409="","",Data!I409)</f>
        <v>124</v>
      </c>
      <c r="J409" s="28" t="str">
        <f aca="false">IF(Data!J409="","",IFERROR(VLOOKUP(Data!J409,Codes!$A$29:$B$30,2,FALSE()),"Invalid ("&amp;Data!J409&amp;")"))</f>
        <v>No</v>
      </c>
      <c r="K409" s="21" t="n">
        <f aca="false">IF(Data!K409="","",Data!K409)</f>
        <v>0</v>
      </c>
      <c r="L409" s="28" t="str">
        <f aca="false">IF(Data!L409="","",IFERROR(VLOOKUP(Data!L409,Codes!$A$34:$B$36,2,FALSE()),"Invalid ("&amp;Data!L409&amp;")"))</f>
        <v/>
      </c>
      <c r="M409" s="20" t="str">
        <f aca="false">IF(Data!M409="","",Data!M409)</f>
        <v/>
      </c>
      <c r="N409" s="28" t="str">
        <f aca="false">IF(Data!N409="","",IFERROR(VLOOKUP(Data!N409,Codes!$A$47:$B$49,2,FALSE()),"Invalid ("&amp;Data!N409&amp;")"))</f>
        <v>Reversible defect</v>
      </c>
      <c r="O409" s="28" t="str">
        <f aca="false">IF(Data!O409="","",IFERROR(VLOOKUP(Data!O409,Codes!$A$53:$B$57,2,FALSE()),"Invalid ("&amp;Data!O409&amp;")"))</f>
        <v>Disease (1)</v>
      </c>
      <c r="P409" s="22" t="str">
        <f aca="false">IF(Data!P409="","",IFERROR(VLOOKUP(Data!P409,Codes!$A$61:$B$64,2,FALSE()),"Invalid ("&amp;Data!P409&amp;")"))</f>
        <v>Hungarian Inst. of Cardiology, Budapest</v>
      </c>
    </row>
    <row r="410" customFormat="false" ht="15" hidden="false" customHeight="false" outlineLevel="0" collapsed="false">
      <c r="A410" s="19" t="n">
        <f aca="false">Data!A410</f>
        <v>409</v>
      </c>
      <c r="B410" s="20" t="n">
        <f aca="false">IF(Data!B410="","",Data!B410)</f>
        <v>57</v>
      </c>
      <c r="C410" s="28" t="str">
        <f aca="false">IF(Data!C410="","",IFERROR(VLOOKUP(Data!C410,Codes!$A$6:$B$7,2,FALSE()),"Invalid ("&amp;Data!C410&amp;")"))</f>
        <v>Male</v>
      </c>
      <c r="D410" s="28" t="str">
        <f aca="false">IF(Data!D410="","",IFERROR(VLOOKUP(Data!D410,Codes!$A$11:$B$14,2,FALSE()),"Invalid ("&amp;Data!D410&amp;")"))</f>
        <v>Atypical angina</v>
      </c>
      <c r="E410" s="20" t="n">
        <f aca="false">IF(Data!E410="","",Data!E410)</f>
        <v>140</v>
      </c>
      <c r="F410" s="20" t="n">
        <f aca="false">IF(Data!F410="","",Data!F410)</f>
        <v>260</v>
      </c>
      <c r="G410" s="28" t="str">
        <f aca="false">IF(Data!G410="","",IFERROR(VLOOKUP(Data!G410,Codes!$A$18:$B$19,2,FALSE()),"Invalid ("&amp;Data!G410&amp;")"))</f>
        <v>Yes</v>
      </c>
      <c r="H410" s="28" t="str">
        <f aca="false">IF(Data!H410="","",IFERROR(VLOOKUP(Data!H410,Codes!$A$23:$B$25,2,FALSE()),"Invalid ("&amp;Data!H410&amp;")"))</f>
        <v>Normal</v>
      </c>
      <c r="I410" s="20" t="n">
        <f aca="false">IF(Data!I410="","",Data!I410)</f>
        <v>140</v>
      </c>
      <c r="J410" s="28" t="str">
        <f aca="false">IF(Data!J410="","",IFERROR(VLOOKUP(Data!J410,Codes!$A$29:$B$30,2,FALSE()),"Invalid ("&amp;Data!J410&amp;")"))</f>
        <v>No</v>
      </c>
      <c r="K410" s="21" t="n">
        <f aca="false">IF(Data!K410="","",Data!K410)</f>
        <v>0</v>
      </c>
      <c r="L410" s="28" t="str">
        <f aca="false">IF(Data!L410="","",IFERROR(VLOOKUP(Data!L410,Codes!$A$34:$B$36,2,FALSE()),"Invalid ("&amp;Data!L410&amp;")"))</f>
        <v/>
      </c>
      <c r="M410" s="20" t="str">
        <f aca="false">IF(Data!M410="","",Data!M410)</f>
        <v/>
      </c>
      <c r="N410" s="28" t="str">
        <f aca="false">IF(Data!N410="","",IFERROR(VLOOKUP(Data!N410,Codes!$A$47:$B$49,2,FALSE()),"Invalid ("&amp;Data!N410&amp;")"))</f>
        <v>Fixed defect</v>
      </c>
      <c r="O410" s="28" t="str">
        <f aca="false">IF(Data!O410="","",IFERROR(VLOOKUP(Data!O410,Codes!$A$53:$B$57,2,FALSE()),"Invalid ("&amp;Data!O410&amp;")"))</f>
        <v>No disease</v>
      </c>
      <c r="P410" s="22" t="str">
        <f aca="false">IF(Data!P410="","",IFERROR(VLOOKUP(Data!P410,Codes!$A$61:$B$64,2,FALSE()),"Invalid ("&amp;Data!P410&amp;")"))</f>
        <v>Hungarian Inst. of Cardiology, Budapest</v>
      </c>
    </row>
    <row r="411" customFormat="false" ht="15" hidden="false" customHeight="false" outlineLevel="0" collapsed="false">
      <c r="A411" s="19" t="n">
        <f aca="false">Data!A411</f>
        <v>410</v>
      </c>
      <c r="B411" s="20" t="n">
        <f aca="false">IF(Data!B411="","",Data!B411)</f>
        <v>48</v>
      </c>
      <c r="C411" s="28" t="str">
        <f aca="false">IF(Data!C411="","",IFERROR(VLOOKUP(Data!C411,Codes!$A$6:$B$7,2,FALSE()),"Invalid ("&amp;Data!C411&amp;")"))</f>
        <v>Female</v>
      </c>
      <c r="D411" s="28" t="str">
        <f aca="false">IF(Data!D411="","",IFERROR(VLOOKUP(Data!D411,Codes!$A$11:$B$14,2,FALSE()),"Invalid ("&amp;Data!D411&amp;")"))</f>
        <v>Asymptomatic</v>
      </c>
      <c r="E411" s="20" t="n">
        <f aca="false">IF(Data!E411="","",Data!E411)</f>
        <v>120</v>
      </c>
      <c r="F411" s="20" t="n">
        <f aca="false">IF(Data!F411="","",Data!F411)</f>
        <v>254</v>
      </c>
      <c r="G411" s="28" t="str">
        <f aca="false">IF(Data!G411="","",IFERROR(VLOOKUP(Data!G411,Codes!$A$18:$B$19,2,FALSE()),"Invalid ("&amp;Data!G411&amp;")"))</f>
        <v>No</v>
      </c>
      <c r="H411" s="28" t="str">
        <f aca="false">IF(Data!H411="","",IFERROR(VLOOKUP(Data!H411,Codes!$A$23:$B$25,2,FALSE()),"Invalid ("&amp;Data!H411&amp;")"))</f>
        <v>ST-T wave abnormality</v>
      </c>
      <c r="I411" s="20" t="n">
        <f aca="false">IF(Data!I411="","",Data!I411)</f>
        <v>110</v>
      </c>
      <c r="J411" s="28" t="str">
        <f aca="false">IF(Data!J411="","",IFERROR(VLOOKUP(Data!J411,Codes!$A$29:$B$30,2,FALSE()),"Invalid ("&amp;Data!J411&amp;")"))</f>
        <v>No</v>
      </c>
      <c r="K411" s="21" t="n">
        <f aca="false">IF(Data!K411="","",Data!K411)</f>
        <v>0</v>
      </c>
      <c r="L411" s="28" t="str">
        <f aca="false">IF(Data!L411="","",IFERROR(VLOOKUP(Data!L411,Codes!$A$34:$B$36,2,FALSE()),"Invalid ("&amp;Data!L411&amp;")"))</f>
        <v/>
      </c>
      <c r="M411" s="20" t="str">
        <f aca="false">IF(Data!M411="","",Data!M411)</f>
        <v/>
      </c>
      <c r="N411" s="28" t="str">
        <f aca="false">IF(Data!N411="","",IFERROR(VLOOKUP(Data!N411,Codes!$A$47:$B$49,2,FALSE()),"Invalid ("&amp;Data!N411&amp;")"))</f>
        <v/>
      </c>
      <c r="O411" s="28" t="str">
        <f aca="false">IF(Data!O411="","",IFERROR(VLOOKUP(Data!O411,Codes!$A$53:$B$57,2,FALSE()),"Invalid ("&amp;Data!O411&amp;")"))</f>
        <v>No disease</v>
      </c>
      <c r="P411" s="22" t="str">
        <f aca="false">IF(Data!P411="","",IFERROR(VLOOKUP(Data!P411,Codes!$A$61:$B$64,2,FALSE()),"Invalid ("&amp;Data!P411&amp;")"))</f>
        <v>Hungarian Inst. of Cardiology, Budapest</v>
      </c>
    </row>
    <row r="412" customFormat="false" ht="15" hidden="false" customHeight="false" outlineLevel="0" collapsed="false">
      <c r="A412" s="19" t="n">
        <f aca="false">Data!A412</f>
        <v>411</v>
      </c>
      <c r="B412" s="20" t="n">
        <f aca="false">IF(Data!B412="","",Data!B412)</f>
        <v>34</v>
      </c>
      <c r="C412" s="28" t="str">
        <f aca="false">IF(Data!C412="","",IFERROR(VLOOKUP(Data!C412,Codes!$A$6:$B$7,2,FALSE()),"Invalid ("&amp;Data!C412&amp;")"))</f>
        <v>Male</v>
      </c>
      <c r="D412" s="28" t="str">
        <f aca="false">IF(Data!D412="","",IFERROR(VLOOKUP(Data!D412,Codes!$A$11:$B$14,2,FALSE()),"Invalid ("&amp;Data!D412&amp;")"))</f>
        <v>Atypical angina</v>
      </c>
      <c r="E412" s="20" t="n">
        <f aca="false">IF(Data!E412="","",Data!E412)</f>
        <v>150</v>
      </c>
      <c r="F412" s="20" t="n">
        <f aca="false">IF(Data!F412="","",Data!F412)</f>
        <v>214</v>
      </c>
      <c r="G412" s="28" t="str">
        <f aca="false">IF(Data!G412="","",IFERROR(VLOOKUP(Data!G412,Codes!$A$18:$B$19,2,FALSE()),"Invalid ("&amp;Data!G412&amp;")"))</f>
        <v>No</v>
      </c>
      <c r="H412" s="28" t="str">
        <f aca="false">IF(Data!H412="","",IFERROR(VLOOKUP(Data!H412,Codes!$A$23:$B$25,2,FALSE()),"Invalid ("&amp;Data!H412&amp;")"))</f>
        <v>ST-T wave abnormality</v>
      </c>
      <c r="I412" s="20" t="n">
        <f aca="false">IF(Data!I412="","",Data!I412)</f>
        <v>168</v>
      </c>
      <c r="J412" s="28" t="str">
        <f aca="false">IF(Data!J412="","",IFERROR(VLOOKUP(Data!J412,Codes!$A$29:$B$30,2,FALSE()),"Invalid ("&amp;Data!J412&amp;")"))</f>
        <v>No</v>
      </c>
      <c r="K412" s="21" t="n">
        <f aca="false">IF(Data!K412="","",Data!K412)</f>
        <v>0</v>
      </c>
      <c r="L412" s="28" t="str">
        <f aca="false">IF(Data!L412="","",IFERROR(VLOOKUP(Data!L412,Codes!$A$34:$B$36,2,FALSE()),"Invalid ("&amp;Data!L412&amp;")"))</f>
        <v/>
      </c>
      <c r="M412" s="20" t="str">
        <f aca="false">IF(Data!M412="","",Data!M412)</f>
        <v/>
      </c>
      <c r="N412" s="28" t="str">
        <f aca="false">IF(Data!N412="","",IFERROR(VLOOKUP(Data!N412,Codes!$A$47:$B$49,2,FALSE()),"Invalid ("&amp;Data!N412&amp;")"))</f>
        <v/>
      </c>
      <c r="O412" s="28" t="str">
        <f aca="false">IF(Data!O412="","",IFERROR(VLOOKUP(Data!O412,Codes!$A$53:$B$57,2,FALSE()),"Invalid ("&amp;Data!O412&amp;")"))</f>
        <v>No disease</v>
      </c>
      <c r="P412" s="22" t="str">
        <f aca="false">IF(Data!P412="","",IFERROR(VLOOKUP(Data!P412,Codes!$A$61:$B$64,2,FALSE()),"Invalid ("&amp;Data!P412&amp;")"))</f>
        <v>Hungarian Inst. of Cardiology, Budapest</v>
      </c>
    </row>
    <row r="413" customFormat="false" ht="15" hidden="false" customHeight="false" outlineLevel="0" collapsed="false">
      <c r="A413" s="19" t="n">
        <f aca="false">Data!A413</f>
        <v>412</v>
      </c>
      <c r="B413" s="20" t="n">
        <f aca="false">IF(Data!B413="","",Data!B413)</f>
        <v>50</v>
      </c>
      <c r="C413" s="28" t="str">
        <f aca="false">IF(Data!C413="","",IFERROR(VLOOKUP(Data!C413,Codes!$A$6:$B$7,2,FALSE()),"Invalid ("&amp;Data!C413&amp;")"))</f>
        <v>Male</v>
      </c>
      <c r="D413" s="28" t="str">
        <f aca="false">IF(Data!D413="","",IFERROR(VLOOKUP(Data!D413,Codes!$A$11:$B$14,2,FALSE()),"Invalid ("&amp;Data!D413&amp;")"))</f>
        <v>Asymptomatic</v>
      </c>
      <c r="E413" s="20" t="n">
        <f aca="false">IF(Data!E413="","",Data!E413)</f>
        <v>140</v>
      </c>
      <c r="F413" s="20" t="n">
        <f aca="false">IF(Data!F413="","",Data!F413)</f>
        <v>129</v>
      </c>
      <c r="G413" s="28" t="str">
        <f aca="false">IF(Data!G413="","",IFERROR(VLOOKUP(Data!G413,Codes!$A$18:$B$19,2,FALSE()),"Invalid ("&amp;Data!G413&amp;")"))</f>
        <v>No</v>
      </c>
      <c r="H413" s="28" t="str">
        <f aca="false">IF(Data!H413="","",IFERROR(VLOOKUP(Data!H413,Codes!$A$23:$B$25,2,FALSE()),"Invalid ("&amp;Data!H413&amp;")"))</f>
        <v>Normal</v>
      </c>
      <c r="I413" s="20" t="n">
        <f aca="false">IF(Data!I413="","",Data!I413)</f>
        <v>135</v>
      </c>
      <c r="J413" s="28" t="str">
        <f aca="false">IF(Data!J413="","",IFERROR(VLOOKUP(Data!J413,Codes!$A$29:$B$30,2,FALSE()),"Invalid ("&amp;Data!J413&amp;")"))</f>
        <v>No</v>
      </c>
      <c r="K413" s="21" t="n">
        <f aca="false">IF(Data!K413="","",Data!K413)</f>
        <v>0</v>
      </c>
      <c r="L413" s="28" t="str">
        <f aca="false">IF(Data!L413="","",IFERROR(VLOOKUP(Data!L413,Codes!$A$34:$B$36,2,FALSE()),"Invalid ("&amp;Data!L413&amp;")"))</f>
        <v/>
      </c>
      <c r="M413" s="20" t="str">
        <f aca="false">IF(Data!M413="","",Data!M413)</f>
        <v/>
      </c>
      <c r="N413" s="28" t="str">
        <f aca="false">IF(Data!N413="","",IFERROR(VLOOKUP(Data!N413,Codes!$A$47:$B$49,2,FALSE()),"Invalid ("&amp;Data!N413&amp;")"))</f>
        <v/>
      </c>
      <c r="O413" s="28" t="str">
        <f aca="false">IF(Data!O413="","",IFERROR(VLOOKUP(Data!O413,Codes!$A$53:$B$57,2,FALSE()),"Invalid ("&amp;Data!O413&amp;")"))</f>
        <v>No disease</v>
      </c>
      <c r="P413" s="22" t="str">
        <f aca="false">IF(Data!P413="","",IFERROR(VLOOKUP(Data!P413,Codes!$A$61:$B$64,2,FALSE()),"Invalid ("&amp;Data!P413&amp;")"))</f>
        <v>Hungarian Inst. of Cardiology, Budapest</v>
      </c>
    </row>
    <row r="414" customFormat="false" ht="15" hidden="false" customHeight="false" outlineLevel="0" collapsed="false">
      <c r="A414" s="19" t="n">
        <f aca="false">Data!A414</f>
        <v>413</v>
      </c>
      <c r="B414" s="20" t="n">
        <f aca="false">IF(Data!B414="","",Data!B414)</f>
        <v>39</v>
      </c>
      <c r="C414" s="28" t="str">
        <f aca="false">IF(Data!C414="","",IFERROR(VLOOKUP(Data!C414,Codes!$A$6:$B$7,2,FALSE()),"Invalid ("&amp;Data!C414&amp;")"))</f>
        <v>Male</v>
      </c>
      <c r="D414" s="28" t="str">
        <f aca="false">IF(Data!D414="","",IFERROR(VLOOKUP(Data!D414,Codes!$A$11:$B$14,2,FALSE()),"Invalid ("&amp;Data!D414&amp;")"))</f>
        <v>Atypical angina</v>
      </c>
      <c r="E414" s="20" t="n">
        <f aca="false">IF(Data!E414="","",Data!E414)</f>
        <v>190</v>
      </c>
      <c r="F414" s="20" t="n">
        <f aca="false">IF(Data!F414="","",Data!F414)</f>
        <v>241</v>
      </c>
      <c r="G414" s="28" t="str">
        <f aca="false">IF(Data!G414="","",IFERROR(VLOOKUP(Data!G414,Codes!$A$18:$B$19,2,FALSE()),"Invalid ("&amp;Data!G414&amp;")"))</f>
        <v>No</v>
      </c>
      <c r="H414" s="28" t="str">
        <f aca="false">IF(Data!H414="","",IFERROR(VLOOKUP(Data!H414,Codes!$A$23:$B$25,2,FALSE()),"Invalid ("&amp;Data!H414&amp;")"))</f>
        <v>Normal</v>
      </c>
      <c r="I414" s="20" t="n">
        <f aca="false">IF(Data!I414="","",Data!I414)</f>
        <v>106</v>
      </c>
      <c r="J414" s="28" t="str">
        <f aca="false">IF(Data!J414="","",IFERROR(VLOOKUP(Data!J414,Codes!$A$29:$B$30,2,FALSE()),"Invalid ("&amp;Data!J414&amp;")"))</f>
        <v>No</v>
      </c>
      <c r="K414" s="21" t="n">
        <f aca="false">IF(Data!K414="","",Data!K414)</f>
        <v>0</v>
      </c>
      <c r="L414" s="28" t="str">
        <f aca="false">IF(Data!L414="","",IFERROR(VLOOKUP(Data!L414,Codes!$A$34:$B$36,2,FALSE()),"Invalid ("&amp;Data!L414&amp;")"))</f>
        <v/>
      </c>
      <c r="M414" s="20" t="str">
        <f aca="false">IF(Data!M414="","",Data!M414)</f>
        <v/>
      </c>
      <c r="N414" s="28" t="str">
        <f aca="false">IF(Data!N414="","",IFERROR(VLOOKUP(Data!N414,Codes!$A$47:$B$49,2,FALSE()),"Invalid ("&amp;Data!N414&amp;")"))</f>
        <v/>
      </c>
      <c r="O414" s="28" t="str">
        <f aca="false">IF(Data!O414="","",IFERROR(VLOOKUP(Data!O414,Codes!$A$53:$B$57,2,FALSE()),"Invalid ("&amp;Data!O414&amp;")"))</f>
        <v>No disease</v>
      </c>
      <c r="P414" s="22" t="str">
        <f aca="false">IF(Data!P414="","",IFERROR(VLOOKUP(Data!P414,Codes!$A$61:$B$64,2,FALSE()),"Invalid ("&amp;Data!P414&amp;")"))</f>
        <v>Hungarian Inst. of Cardiology, Budapest</v>
      </c>
    </row>
    <row r="415" customFormat="false" ht="15" hidden="false" customHeight="false" outlineLevel="0" collapsed="false">
      <c r="A415" s="19" t="n">
        <f aca="false">Data!A415</f>
        <v>414</v>
      </c>
      <c r="B415" s="20" t="n">
        <f aca="false">IF(Data!B415="","",Data!B415)</f>
        <v>59</v>
      </c>
      <c r="C415" s="28" t="str">
        <f aca="false">IF(Data!C415="","",IFERROR(VLOOKUP(Data!C415,Codes!$A$6:$B$7,2,FALSE()),"Invalid ("&amp;Data!C415&amp;")"))</f>
        <v>Female</v>
      </c>
      <c r="D415" s="28" t="str">
        <f aca="false">IF(Data!D415="","",IFERROR(VLOOKUP(Data!D415,Codes!$A$11:$B$14,2,FALSE()),"Invalid ("&amp;Data!D415&amp;")"))</f>
        <v>Atypical angina</v>
      </c>
      <c r="E415" s="20" t="n">
        <f aca="false">IF(Data!E415="","",Data!E415)</f>
        <v>130</v>
      </c>
      <c r="F415" s="20" t="n">
        <f aca="false">IF(Data!F415="","",Data!F415)</f>
        <v>188</v>
      </c>
      <c r="G415" s="28" t="str">
        <f aca="false">IF(Data!G415="","",IFERROR(VLOOKUP(Data!G415,Codes!$A$18:$B$19,2,FALSE()),"Invalid ("&amp;Data!G415&amp;")"))</f>
        <v>No</v>
      </c>
      <c r="H415" s="28" t="str">
        <f aca="false">IF(Data!H415="","",IFERROR(VLOOKUP(Data!H415,Codes!$A$23:$B$25,2,FALSE()),"Invalid ("&amp;Data!H415&amp;")"))</f>
        <v>Normal</v>
      </c>
      <c r="I415" s="20" t="n">
        <f aca="false">IF(Data!I415="","",Data!I415)</f>
        <v>124</v>
      </c>
      <c r="J415" s="28" t="str">
        <f aca="false">IF(Data!J415="","",IFERROR(VLOOKUP(Data!J415,Codes!$A$29:$B$30,2,FALSE()),"Invalid ("&amp;Data!J415&amp;")"))</f>
        <v>No</v>
      </c>
      <c r="K415" s="21" t="n">
        <f aca="false">IF(Data!K415="","",Data!K415)</f>
        <v>1</v>
      </c>
      <c r="L415" s="28" t="str">
        <f aca="false">IF(Data!L415="","",IFERROR(VLOOKUP(Data!L415,Codes!$A$34:$B$36,2,FALSE()),"Invalid ("&amp;Data!L415&amp;")"))</f>
        <v>Flat</v>
      </c>
      <c r="M415" s="20" t="str">
        <f aca="false">IF(Data!M415="","",Data!M415)</f>
        <v/>
      </c>
      <c r="N415" s="28" t="str">
        <f aca="false">IF(Data!N415="","",IFERROR(VLOOKUP(Data!N415,Codes!$A$47:$B$49,2,FALSE()),"Invalid ("&amp;Data!N415&amp;")"))</f>
        <v/>
      </c>
      <c r="O415" s="28" t="str">
        <f aca="false">IF(Data!O415="","",IFERROR(VLOOKUP(Data!O415,Codes!$A$53:$B$57,2,FALSE()),"Invalid ("&amp;Data!O415&amp;")"))</f>
        <v>No disease</v>
      </c>
      <c r="P415" s="22" t="str">
        <f aca="false">IF(Data!P415="","",IFERROR(VLOOKUP(Data!P415,Codes!$A$61:$B$64,2,FALSE()),"Invalid ("&amp;Data!P415&amp;")"))</f>
        <v>Hungarian Inst. of Cardiology, Budapest</v>
      </c>
    </row>
    <row r="416" customFormat="false" ht="15" hidden="false" customHeight="false" outlineLevel="0" collapsed="false">
      <c r="A416" s="19" t="n">
        <f aca="false">Data!A416</f>
        <v>415</v>
      </c>
      <c r="B416" s="20" t="n">
        <f aca="false">IF(Data!B416="","",Data!B416)</f>
        <v>57</v>
      </c>
      <c r="C416" s="28" t="str">
        <f aca="false">IF(Data!C416="","",IFERROR(VLOOKUP(Data!C416,Codes!$A$6:$B$7,2,FALSE()),"Invalid ("&amp;Data!C416&amp;")"))</f>
        <v>Male</v>
      </c>
      <c r="D416" s="28" t="str">
        <f aca="false">IF(Data!D416="","",IFERROR(VLOOKUP(Data!D416,Codes!$A$11:$B$14,2,FALSE()),"Invalid ("&amp;Data!D416&amp;")"))</f>
        <v>Asymptomatic</v>
      </c>
      <c r="E416" s="20" t="n">
        <f aca="false">IF(Data!E416="","",Data!E416)</f>
        <v>150</v>
      </c>
      <c r="F416" s="20" t="n">
        <f aca="false">IF(Data!F416="","",Data!F416)</f>
        <v>255</v>
      </c>
      <c r="G416" s="28" t="str">
        <f aca="false">IF(Data!G416="","",IFERROR(VLOOKUP(Data!G416,Codes!$A$18:$B$19,2,FALSE()),"Invalid ("&amp;Data!G416&amp;")"))</f>
        <v>No</v>
      </c>
      <c r="H416" s="28" t="str">
        <f aca="false">IF(Data!H416="","",IFERROR(VLOOKUP(Data!H416,Codes!$A$23:$B$25,2,FALSE()),"Invalid ("&amp;Data!H416&amp;")"))</f>
        <v>Normal</v>
      </c>
      <c r="I416" s="20" t="n">
        <f aca="false">IF(Data!I416="","",Data!I416)</f>
        <v>92</v>
      </c>
      <c r="J416" s="28" t="str">
        <f aca="false">IF(Data!J416="","",IFERROR(VLOOKUP(Data!J416,Codes!$A$29:$B$30,2,FALSE()),"Invalid ("&amp;Data!J416&amp;")"))</f>
        <v>Yes</v>
      </c>
      <c r="K416" s="21" t="n">
        <f aca="false">IF(Data!K416="","",Data!K416)</f>
        <v>3</v>
      </c>
      <c r="L416" s="28" t="str">
        <f aca="false">IF(Data!L416="","",IFERROR(VLOOKUP(Data!L416,Codes!$A$34:$B$36,2,FALSE()),"Invalid ("&amp;Data!L416&amp;")"))</f>
        <v>Flat</v>
      </c>
      <c r="M416" s="20" t="str">
        <f aca="false">IF(Data!M416="","",Data!M416)</f>
        <v/>
      </c>
      <c r="N416" s="28" t="str">
        <f aca="false">IF(Data!N416="","",IFERROR(VLOOKUP(Data!N416,Codes!$A$47:$B$49,2,FALSE()),"Invalid ("&amp;Data!N416&amp;")"))</f>
        <v/>
      </c>
      <c r="O416" s="28" t="str">
        <f aca="false">IF(Data!O416="","",IFERROR(VLOOKUP(Data!O416,Codes!$A$53:$B$57,2,FALSE()),"Invalid ("&amp;Data!O416&amp;")"))</f>
        <v>Disease (2)</v>
      </c>
      <c r="P416" s="22" t="str">
        <f aca="false">IF(Data!P416="","",IFERROR(VLOOKUP(Data!P416,Codes!$A$61:$B$64,2,FALSE()),"Invalid ("&amp;Data!P416&amp;")"))</f>
        <v>Hungarian Inst. of Cardiology, Budapest</v>
      </c>
    </row>
    <row r="417" customFormat="false" ht="15" hidden="false" customHeight="false" outlineLevel="0" collapsed="false">
      <c r="A417" s="19" t="n">
        <f aca="false">Data!A417</f>
        <v>416</v>
      </c>
      <c r="B417" s="20" t="n">
        <f aca="false">IF(Data!B417="","",Data!B417)</f>
        <v>47</v>
      </c>
      <c r="C417" s="28" t="str">
        <f aca="false">IF(Data!C417="","",IFERROR(VLOOKUP(Data!C417,Codes!$A$6:$B$7,2,FALSE()),"Invalid ("&amp;Data!C417&amp;")"))</f>
        <v>Male</v>
      </c>
      <c r="D417" s="28" t="str">
        <f aca="false">IF(Data!D417="","",IFERROR(VLOOKUP(Data!D417,Codes!$A$11:$B$14,2,FALSE()),"Invalid ("&amp;Data!D417&amp;")"))</f>
        <v>Asymptomatic</v>
      </c>
      <c r="E417" s="20" t="n">
        <f aca="false">IF(Data!E417="","",Data!E417)</f>
        <v>140</v>
      </c>
      <c r="F417" s="20" t="n">
        <f aca="false">IF(Data!F417="","",Data!F417)</f>
        <v>276</v>
      </c>
      <c r="G417" s="28" t="str">
        <f aca="false">IF(Data!G417="","",IFERROR(VLOOKUP(Data!G417,Codes!$A$18:$B$19,2,FALSE()),"Invalid ("&amp;Data!G417&amp;")"))</f>
        <v>Yes</v>
      </c>
      <c r="H417" s="28" t="str">
        <f aca="false">IF(Data!H417="","",IFERROR(VLOOKUP(Data!H417,Codes!$A$23:$B$25,2,FALSE()),"Invalid ("&amp;Data!H417&amp;")"))</f>
        <v>Normal</v>
      </c>
      <c r="I417" s="20" t="n">
        <f aca="false">IF(Data!I417="","",Data!I417)</f>
        <v>125</v>
      </c>
      <c r="J417" s="28" t="str">
        <f aca="false">IF(Data!J417="","",IFERROR(VLOOKUP(Data!J417,Codes!$A$29:$B$30,2,FALSE()),"Invalid ("&amp;Data!J417&amp;")"))</f>
        <v>Yes</v>
      </c>
      <c r="K417" s="21" t="n">
        <f aca="false">IF(Data!K417="","",Data!K417)</f>
        <v>0</v>
      </c>
      <c r="L417" s="28" t="str">
        <f aca="false">IF(Data!L417="","",IFERROR(VLOOKUP(Data!L417,Codes!$A$34:$B$36,2,FALSE()),"Invalid ("&amp;Data!L417&amp;")"))</f>
        <v/>
      </c>
      <c r="M417" s="20" t="str">
        <f aca="false">IF(Data!M417="","",Data!M417)</f>
        <v/>
      </c>
      <c r="N417" s="28" t="str">
        <f aca="false">IF(Data!N417="","",IFERROR(VLOOKUP(Data!N417,Codes!$A$47:$B$49,2,FALSE()),"Invalid ("&amp;Data!N417&amp;")"))</f>
        <v/>
      </c>
      <c r="O417" s="28" t="str">
        <f aca="false">IF(Data!O417="","",IFERROR(VLOOKUP(Data!O417,Codes!$A$53:$B$57,2,FALSE()),"Invalid ("&amp;Data!O417&amp;")"))</f>
        <v>No disease</v>
      </c>
      <c r="P417" s="22" t="str">
        <f aca="false">IF(Data!P417="","",IFERROR(VLOOKUP(Data!P417,Codes!$A$61:$B$64,2,FALSE()),"Invalid ("&amp;Data!P417&amp;")"))</f>
        <v>Hungarian Inst. of Cardiology, Budapest</v>
      </c>
    </row>
    <row r="418" customFormat="false" ht="15" hidden="false" customHeight="false" outlineLevel="0" collapsed="false">
      <c r="A418" s="19" t="n">
        <f aca="false">Data!A418</f>
        <v>417</v>
      </c>
      <c r="B418" s="20" t="n">
        <f aca="false">IF(Data!B418="","",Data!B418)</f>
        <v>38</v>
      </c>
      <c r="C418" s="28" t="str">
        <f aca="false">IF(Data!C418="","",IFERROR(VLOOKUP(Data!C418,Codes!$A$6:$B$7,2,FALSE()),"Invalid ("&amp;Data!C418&amp;")"))</f>
        <v>Male</v>
      </c>
      <c r="D418" s="28" t="str">
        <f aca="false">IF(Data!D418="","",IFERROR(VLOOKUP(Data!D418,Codes!$A$11:$B$14,2,FALSE()),"Invalid ("&amp;Data!D418&amp;")"))</f>
        <v>Atypical angina</v>
      </c>
      <c r="E418" s="20" t="n">
        <f aca="false">IF(Data!E418="","",Data!E418)</f>
        <v>140</v>
      </c>
      <c r="F418" s="20" t="n">
        <f aca="false">IF(Data!F418="","",Data!F418)</f>
        <v>297</v>
      </c>
      <c r="G418" s="28" t="str">
        <f aca="false">IF(Data!G418="","",IFERROR(VLOOKUP(Data!G418,Codes!$A$18:$B$19,2,FALSE()),"Invalid ("&amp;Data!G418&amp;")"))</f>
        <v>No</v>
      </c>
      <c r="H418" s="28" t="str">
        <f aca="false">IF(Data!H418="","",IFERROR(VLOOKUP(Data!H418,Codes!$A$23:$B$25,2,FALSE()),"Invalid ("&amp;Data!H418&amp;")"))</f>
        <v>Normal</v>
      </c>
      <c r="I418" s="20" t="n">
        <f aca="false">IF(Data!I418="","",Data!I418)</f>
        <v>150</v>
      </c>
      <c r="J418" s="28" t="str">
        <f aca="false">IF(Data!J418="","",IFERROR(VLOOKUP(Data!J418,Codes!$A$29:$B$30,2,FALSE()),"Invalid ("&amp;Data!J418&amp;")"))</f>
        <v>No</v>
      </c>
      <c r="K418" s="21" t="n">
        <f aca="false">IF(Data!K418="","",Data!K418)</f>
        <v>0</v>
      </c>
      <c r="L418" s="28" t="str">
        <f aca="false">IF(Data!L418="","",IFERROR(VLOOKUP(Data!L418,Codes!$A$34:$B$36,2,FALSE()),"Invalid ("&amp;Data!L418&amp;")"))</f>
        <v/>
      </c>
      <c r="M418" s="20" t="str">
        <f aca="false">IF(Data!M418="","",Data!M418)</f>
        <v/>
      </c>
      <c r="N418" s="28" t="str">
        <f aca="false">IF(Data!N418="","",IFERROR(VLOOKUP(Data!N418,Codes!$A$47:$B$49,2,FALSE()),"Invalid ("&amp;Data!N418&amp;")"))</f>
        <v/>
      </c>
      <c r="O418" s="28" t="str">
        <f aca="false">IF(Data!O418="","",IFERROR(VLOOKUP(Data!O418,Codes!$A$53:$B$57,2,FALSE()),"Invalid ("&amp;Data!O418&amp;")"))</f>
        <v>No disease</v>
      </c>
      <c r="P418" s="22" t="str">
        <f aca="false">IF(Data!P418="","",IFERROR(VLOOKUP(Data!P418,Codes!$A$61:$B$64,2,FALSE()),"Invalid ("&amp;Data!P418&amp;")"))</f>
        <v>Hungarian Inst. of Cardiology, Budapest</v>
      </c>
    </row>
    <row r="419" customFormat="false" ht="15" hidden="false" customHeight="false" outlineLevel="0" collapsed="false">
      <c r="A419" s="19" t="n">
        <f aca="false">Data!A419</f>
        <v>418</v>
      </c>
      <c r="B419" s="20" t="n">
        <f aca="false">IF(Data!B419="","",Data!B419)</f>
        <v>49</v>
      </c>
      <c r="C419" s="28" t="str">
        <f aca="false">IF(Data!C419="","",IFERROR(VLOOKUP(Data!C419,Codes!$A$6:$B$7,2,FALSE()),"Invalid ("&amp;Data!C419&amp;")"))</f>
        <v>Female</v>
      </c>
      <c r="D419" s="28" t="str">
        <f aca="false">IF(Data!D419="","",IFERROR(VLOOKUP(Data!D419,Codes!$A$11:$B$14,2,FALSE()),"Invalid ("&amp;Data!D419&amp;")"))</f>
        <v>Non-anginal pain</v>
      </c>
      <c r="E419" s="20" t="n">
        <f aca="false">IF(Data!E419="","",Data!E419)</f>
        <v>130</v>
      </c>
      <c r="F419" s="20" t="n">
        <f aca="false">IF(Data!F419="","",Data!F419)</f>
        <v>207</v>
      </c>
      <c r="G419" s="28" t="str">
        <f aca="false">IF(Data!G419="","",IFERROR(VLOOKUP(Data!G419,Codes!$A$18:$B$19,2,FALSE()),"Invalid ("&amp;Data!G419&amp;")"))</f>
        <v>No</v>
      </c>
      <c r="H419" s="28" t="str">
        <f aca="false">IF(Data!H419="","",IFERROR(VLOOKUP(Data!H419,Codes!$A$23:$B$25,2,FALSE()),"Invalid ("&amp;Data!H419&amp;")"))</f>
        <v>ST-T wave abnormality</v>
      </c>
      <c r="I419" s="20" t="n">
        <f aca="false">IF(Data!I419="","",Data!I419)</f>
        <v>135</v>
      </c>
      <c r="J419" s="28" t="str">
        <f aca="false">IF(Data!J419="","",IFERROR(VLOOKUP(Data!J419,Codes!$A$29:$B$30,2,FALSE()),"Invalid ("&amp;Data!J419&amp;")"))</f>
        <v>No</v>
      </c>
      <c r="K419" s="21" t="n">
        <f aca="false">IF(Data!K419="","",Data!K419)</f>
        <v>0</v>
      </c>
      <c r="L419" s="28" t="str">
        <f aca="false">IF(Data!L419="","",IFERROR(VLOOKUP(Data!L419,Codes!$A$34:$B$36,2,FALSE()),"Invalid ("&amp;Data!L419&amp;")"))</f>
        <v/>
      </c>
      <c r="M419" s="20" t="str">
        <f aca="false">IF(Data!M419="","",Data!M419)</f>
        <v/>
      </c>
      <c r="N419" s="28" t="str">
        <f aca="false">IF(Data!N419="","",IFERROR(VLOOKUP(Data!N419,Codes!$A$47:$B$49,2,FALSE()),"Invalid ("&amp;Data!N419&amp;")"))</f>
        <v/>
      </c>
      <c r="O419" s="28" t="str">
        <f aca="false">IF(Data!O419="","",IFERROR(VLOOKUP(Data!O419,Codes!$A$53:$B$57,2,FALSE()),"Invalid ("&amp;Data!O419&amp;")"))</f>
        <v>No disease</v>
      </c>
      <c r="P419" s="22" t="str">
        <f aca="false">IF(Data!P419="","",IFERROR(VLOOKUP(Data!P419,Codes!$A$61:$B$64,2,FALSE()),"Invalid ("&amp;Data!P419&amp;")"))</f>
        <v>Hungarian Inst. of Cardiology, Budapest</v>
      </c>
    </row>
    <row r="420" customFormat="false" ht="15" hidden="false" customHeight="false" outlineLevel="0" collapsed="false">
      <c r="A420" s="19" t="n">
        <f aca="false">Data!A420</f>
        <v>419</v>
      </c>
      <c r="B420" s="20" t="n">
        <f aca="false">IF(Data!B420="","",Data!B420)</f>
        <v>33</v>
      </c>
      <c r="C420" s="28" t="str">
        <f aca="false">IF(Data!C420="","",IFERROR(VLOOKUP(Data!C420,Codes!$A$6:$B$7,2,FALSE()),"Invalid ("&amp;Data!C420&amp;")"))</f>
        <v>Female</v>
      </c>
      <c r="D420" s="28" t="str">
        <f aca="false">IF(Data!D420="","",IFERROR(VLOOKUP(Data!D420,Codes!$A$11:$B$14,2,FALSE()),"Invalid ("&amp;Data!D420&amp;")"))</f>
        <v>Asymptomatic</v>
      </c>
      <c r="E420" s="20" t="n">
        <f aca="false">IF(Data!E420="","",Data!E420)</f>
        <v>100</v>
      </c>
      <c r="F420" s="20" t="n">
        <f aca="false">IF(Data!F420="","",Data!F420)</f>
        <v>246</v>
      </c>
      <c r="G420" s="28" t="str">
        <f aca="false">IF(Data!G420="","",IFERROR(VLOOKUP(Data!G420,Codes!$A$18:$B$19,2,FALSE()),"Invalid ("&amp;Data!G420&amp;")"))</f>
        <v>No</v>
      </c>
      <c r="H420" s="28" t="str">
        <f aca="false">IF(Data!H420="","",IFERROR(VLOOKUP(Data!H420,Codes!$A$23:$B$25,2,FALSE()),"Invalid ("&amp;Data!H420&amp;")"))</f>
        <v>Normal</v>
      </c>
      <c r="I420" s="20" t="n">
        <f aca="false">IF(Data!I420="","",Data!I420)</f>
        <v>150</v>
      </c>
      <c r="J420" s="28" t="str">
        <f aca="false">IF(Data!J420="","",IFERROR(VLOOKUP(Data!J420,Codes!$A$29:$B$30,2,FALSE()),"Invalid ("&amp;Data!J420&amp;")"))</f>
        <v>Yes</v>
      </c>
      <c r="K420" s="21" t="n">
        <f aca="false">IF(Data!K420="","",Data!K420)</f>
        <v>1</v>
      </c>
      <c r="L420" s="28" t="str">
        <f aca="false">IF(Data!L420="","",IFERROR(VLOOKUP(Data!L420,Codes!$A$34:$B$36,2,FALSE()),"Invalid ("&amp;Data!L420&amp;")"))</f>
        <v>Flat</v>
      </c>
      <c r="M420" s="20" t="str">
        <f aca="false">IF(Data!M420="","",Data!M420)</f>
        <v/>
      </c>
      <c r="N420" s="28" t="str">
        <f aca="false">IF(Data!N420="","",IFERROR(VLOOKUP(Data!N420,Codes!$A$47:$B$49,2,FALSE()),"Invalid ("&amp;Data!N420&amp;")"))</f>
        <v/>
      </c>
      <c r="O420" s="28" t="str">
        <f aca="false">IF(Data!O420="","",IFERROR(VLOOKUP(Data!O420,Codes!$A$53:$B$57,2,FALSE()),"Invalid ("&amp;Data!O420&amp;")"))</f>
        <v>Disease (1)</v>
      </c>
      <c r="P420" s="22" t="str">
        <f aca="false">IF(Data!P420="","",IFERROR(VLOOKUP(Data!P420,Codes!$A$61:$B$64,2,FALSE()),"Invalid ("&amp;Data!P420&amp;")"))</f>
        <v>Hungarian Inst. of Cardiology, Budapest</v>
      </c>
    </row>
    <row r="421" customFormat="false" ht="15" hidden="false" customHeight="false" outlineLevel="0" collapsed="false">
      <c r="A421" s="19" t="n">
        <f aca="false">Data!A421</f>
        <v>420</v>
      </c>
      <c r="B421" s="20" t="n">
        <f aca="false">IF(Data!B421="","",Data!B421)</f>
        <v>38</v>
      </c>
      <c r="C421" s="28" t="str">
        <f aca="false">IF(Data!C421="","",IFERROR(VLOOKUP(Data!C421,Codes!$A$6:$B$7,2,FALSE()),"Invalid ("&amp;Data!C421&amp;")"))</f>
        <v>Male</v>
      </c>
      <c r="D421" s="28" t="str">
        <f aca="false">IF(Data!D421="","",IFERROR(VLOOKUP(Data!D421,Codes!$A$11:$B$14,2,FALSE()),"Invalid ("&amp;Data!D421&amp;")"))</f>
        <v>Asymptomatic</v>
      </c>
      <c r="E421" s="20" t="n">
        <f aca="false">IF(Data!E421="","",Data!E421)</f>
        <v>120</v>
      </c>
      <c r="F421" s="20" t="n">
        <f aca="false">IF(Data!F421="","",Data!F421)</f>
        <v>282</v>
      </c>
      <c r="G421" s="28" t="str">
        <f aca="false">IF(Data!G421="","",IFERROR(VLOOKUP(Data!G421,Codes!$A$18:$B$19,2,FALSE()),"Invalid ("&amp;Data!G421&amp;")"))</f>
        <v>No</v>
      </c>
      <c r="H421" s="28" t="str">
        <f aca="false">IF(Data!H421="","",IFERROR(VLOOKUP(Data!H421,Codes!$A$23:$B$25,2,FALSE()),"Invalid ("&amp;Data!H421&amp;")"))</f>
        <v>Normal</v>
      </c>
      <c r="I421" s="20" t="n">
        <f aca="false">IF(Data!I421="","",Data!I421)</f>
        <v>170</v>
      </c>
      <c r="J421" s="28" t="str">
        <f aca="false">IF(Data!J421="","",IFERROR(VLOOKUP(Data!J421,Codes!$A$29:$B$30,2,FALSE()),"Invalid ("&amp;Data!J421&amp;")"))</f>
        <v>No</v>
      </c>
      <c r="K421" s="21" t="n">
        <f aca="false">IF(Data!K421="","",Data!K421)</f>
        <v>0</v>
      </c>
      <c r="L421" s="28" t="str">
        <f aca="false">IF(Data!L421="","",IFERROR(VLOOKUP(Data!L421,Codes!$A$34:$B$36,2,FALSE()),"Invalid ("&amp;Data!L421&amp;")"))</f>
        <v/>
      </c>
      <c r="M421" s="20" t="str">
        <f aca="false">IF(Data!M421="","",Data!M421)</f>
        <v/>
      </c>
      <c r="N421" s="28" t="str">
        <f aca="false">IF(Data!N421="","",IFERROR(VLOOKUP(Data!N421,Codes!$A$47:$B$49,2,FALSE()),"Invalid ("&amp;Data!N421&amp;")"))</f>
        <v/>
      </c>
      <c r="O421" s="28" t="str">
        <f aca="false">IF(Data!O421="","",IFERROR(VLOOKUP(Data!O421,Codes!$A$53:$B$57,2,FALSE()),"Invalid ("&amp;Data!O421&amp;")"))</f>
        <v>Disease (1)</v>
      </c>
      <c r="P421" s="22" t="str">
        <f aca="false">IF(Data!P421="","",IFERROR(VLOOKUP(Data!P421,Codes!$A$61:$B$64,2,FALSE()),"Invalid ("&amp;Data!P421&amp;")"))</f>
        <v>Hungarian Inst. of Cardiology, Budapest</v>
      </c>
    </row>
    <row r="422" customFormat="false" ht="15" hidden="false" customHeight="false" outlineLevel="0" collapsed="false">
      <c r="A422" s="19" t="n">
        <f aca="false">Data!A422</f>
        <v>421</v>
      </c>
      <c r="B422" s="20" t="n">
        <f aca="false">IF(Data!B422="","",Data!B422)</f>
        <v>59</v>
      </c>
      <c r="C422" s="28" t="str">
        <f aca="false">IF(Data!C422="","",IFERROR(VLOOKUP(Data!C422,Codes!$A$6:$B$7,2,FALSE()),"Invalid ("&amp;Data!C422&amp;")"))</f>
        <v>Female</v>
      </c>
      <c r="D422" s="28" t="str">
        <f aca="false">IF(Data!D422="","",IFERROR(VLOOKUP(Data!D422,Codes!$A$11:$B$14,2,FALSE()),"Invalid ("&amp;Data!D422&amp;")"))</f>
        <v>Asymptomatic</v>
      </c>
      <c r="E422" s="20" t="n">
        <f aca="false">IF(Data!E422="","",Data!E422)</f>
        <v>130</v>
      </c>
      <c r="F422" s="20" t="n">
        <f aca="false">IF(Data!F422="","",Data!F422)</f>
        <v>338</v>
      </c>
      <c r="G422" s="28" t="str">
        <f aca="false">IF(Data!G422="","",IFERROR(VLOOKUP(Data!G422,Codes!$A$18:$B$19,2,FALSE()),"Invalid ("&amp;Data!G422&amp;")"))</f>
        <v>Yes</v>
      </c>
      <c r="H422" s="28" t="str">
        <f aca="false">IF(Data!H422="","",IFERROR(VLOOKUP(Data!H422,Codes!$A$23:$B$25,2,FALSE()),"Invalid ("&amp;Data!H422&amp;")"))</f>
        <v>ST-T wave abnormality</v>
      </c>
      <c r="I422" s="20" t="n">
        <f aca="false">IF(Data!I422="","",Data!I422)</f>
        <v>130</v>
      </c>
      <c r="J422" s="28" t="str">
        <f aca="false">IF(Data!J422="","",IFERROR(VLOOKUP(Data!J422,Codes!$A$29:$B$30,2,FALSE()),"Invalid ("&amp;Data!J422&amp;")"))</f>
        <v>Yes</v>
      </c>
      <c r="K422" s="21" t="n">
        <f aca="false">IF(Data!K422="","",Data!K422)</f>
        <v>1.5</v>
      </c>
      <c r="L422" s="28" t="str">
        <f aca="false">IF(Data!L422="","",IFERROR(VLOOKUP(Data!L422,Codes!$A$34:$B$36,2,FALSE()),"Invalid ("&amp;Data!L422&amp;")"))</f>
        <v>Flat</v>
      </c>
      <c r="M422" s="20" t="str">
        <f aca="false">IF(Data!M422="","",Data!M422)</f>
        <v/>
      </c>
      <c r="N422" s="28" t="str">
        <f aca="false">IF(Data!N422="","",IFERROR(VLOOKUP(Data!N422,Codes!$A$47:$B$49,2,FALSE()),"Invalid ("&amp;Data!N422&amp;")"))</f>
        <v/>
      </c>
      <c r="O422" s="28" t="str">
        <f aca="false">IF(Data!O422="","",IFERROR(VLOOKUP(Data!O422,Codes!$A$53:$B$57,2,FALSE()),"Invalid ("&amp;Data!O422&amp;")"))</f>
        <v>Disease (1)</v>
      </c>
      <c r="P422" s="22" t="str">
        <f aca="false">IF(Data!P422="","",IFERROR(VLOOKUP(Data!P422,Codes!$A$61:$B$64,2,FALSE()),"Invalid ("&amp;Data!P422&amp;")"))</f>
        <v>Hungarian Inst. of Cardiology, Budapest</v>
      </c>
    </row>
    <row r="423" customFormat="false" ht="15" hidden="false" customHeight="false" outlineLevel="0" collapsed="false">
      <c r="A423" s="19" t="n">
        <f aca="false">Data!A423</f>
        <v>422</v>
      </c>
      <c r="B423" s="20" t="n">
        <f aca="false">IF(Data!B423="","",Data!B423)</f>
        <v>35</v>
      </c>
      <c r="C423" s="28" t="str">
        <f aca="false">IF(Data!C423="","",IFERROR(VLOOKUP(Data!C423,Codes!$A$6:$B$7,2,FALSE()),"Invalid ("&amp;Data!C423&amp;")"))</f>
        <v>Female</v>
      </c>
      <c r="D423" s="28" t="str">
        <f aca="false">IF(Data!D423="","",IFERROR(VLOOKUP(Data!D423,Codes!$A$11:$B$14,2,FALSE()),"Invalid ("&amp;Data!D423&amp;")"))</f>
        <v>Typical angina</v>
      </c>
      <c r="E423" s="20" t="n">
        <f aca="false">IF(Data!E423="","",Data!E423)</f>
        <v>120</v>
      </c>
      <c r="F423" s="20" t="n">
        <f aca="false">IF(Data!F423="","",Data!F423)</f>
        <v>160</v>
      </c>
      <c r="G423" s="28" t="str">
        <f aca="false">IF(Data!G423="","",IFERROR(VLOOKUP(Data!G423,Codes!$A$18:$B$19,2,FALSE()),"Invalid ("&amp;Data!G423&amp;")"))</f>
        <v>No</v>
      </c>
      <c r="H423" s="28" t="str">
        <f aca="false">IF(Data!H423="","",IFERROR(VLOOKUP(Data!H423,Codes!$A$23:$B$25,2,FALSE()),"Invalid ("&amp;Data!H423&amp;")"))</f>
        <v>ST-T wave abnormality</v>
      </c>
      <c r="I423" s="20" t="n">
        <f aca="false">IF(Data!I423="","",Data!I423)</f>
        <v>185</v>
      </c>
      <c r="J423" s="28" t="str">
        <f aca="false">IF(Data!J423="","",IFERROR(VLOOKUP(Data!J423,Codes!$A$29:$B$30,2,FALSE()),"Invalid ("&amp;Data!J423&amp;")"))</f>
        <v>No</v>
      </c>
      <c r="K423" s="21" t="n">
        <f aca="false">IF(Data!K423="","",Data!K423)</f>
        <v>0</v>
      </c>
      <c r="L423" s="28" t="str">
        <f aca="false">IF(Data!L423="","",IFERROR(VLOOKUP(Data!L423,Codes!$A$34:$B$36,2,FALSE()),"Invalid ("&amp;Data!L423&amp;")"))</f>
        <v/>
      </c>
      <c r="M423" s="20" t="str">
        <f aca="false">IF(Data!M423="","",Data!M423)</f>
        <v/>
      </c>
      <c r="N423" s="28" t="str">
        <f aca="false">IF(Data!N423="","",IFERROR(VLOOKUP(Data!N423,Codes!$A$47:$B$49,2,FALSE()),"Invalid ("&amp;Data!N423&amp;")"))</f>
        <v/>
      </c>
      <c r="O423" s="28" t="str">
        <f aca="false">IF(Data!O423="","",IFERROR(VLOOKUP(Data!O423,Codes!$A$53:$B$57,2,FALSE()),"Invalid ("&amp;Data!O423&amp;")"))</f>
        <v>No disease</v>
      </c>
      <c r="P423" s="22" t="str">
        <f aca="false">IF(Data!P423="","",IFERROR(VLOOKUP(Data!P423,Codes!$A$61:$B$64,2,FALSE()),"Invalid ("&amp;Data!P423&amp;")"))</f>
        <v>Hungarian Inst. of Cardiology, Budapest</v>
      </c>
    </row>
    <row r="424" customFormat="false" ht="15" hidden="false" customHeight="false" outlineLevel="0" collapsed="false">
      <c r="A424" s="19" t="n">
        <f aca="false">Data!A424</f>
        <v>423</v>
      </c>
      <c r="B424" s="20" t="n">
        <f aca="false">IF(Data!B424="","",Data!B424)</f>
        <v>34</v>
      </c>
      <c r="C424" s="28" t="str">
        <f aca="false">IF(Data!C424="","",IFERROR(VLOOKUP(Data!C424,Codes!$A$6:$B$7,2,FALSE()),"Invalid ("&amp;Data!C424&amp;")"))</f>
        <v>Male</v>
      </c>
      <c r="D424" s="28" t="str">
        <f aca="false">IF(Data!D424="","",IFERROR(VLOOKUP(Data!D424,Codes!$A$11:$B$14,2,FALSE()),"Invalid ("&amp;Data!D424&amp;")"))</f>
        <v>Typical angina</v>
      </c>
      <c r="E424" s="20" t="n">
        <f aca="false">IF(Data!E424="","",Data!E424)</f>
        <v>140</v>
      </c>
      <c r="F424" s="20" t="n">
        <f aca="false">IF(Data!F424="","",Data!F424)</f>
        <v>156</v>
      </c>
      <c r="G424" s="28" t="str">
        <f aca="false">IF(Data!G424="","",IFERROR(VLOOKUP(Data!G424,Codes!$A$18:$B$19,2,FALSE()),"Invalid ("&amp;Data!G424&amp;")"))</f>
        <v>No</v>
      </c>
      <c r="H424" s="28" t="str">
        <f aca="false">IF(Data!H424="","",IFERROR(VLOOKUP(Data!H424,Codes!$A$23:$B$25,2,FALSE()),"Invalid ("&amp;Data!H424&amp;")"))</f>
        <v>Normal</v>
      </c>
      <c r="I424" s="20" t="n">
        <f aca="false">IF(Data!I424="","",Data!I424)</f>
        <v>180</v>
      </c>
      <c r="J424" s="28" t="str">
        <f aca="false">IF(Data!J424="","",IFERROR(VLOOKUP(Data!J424,Codes!$A$29:$B$30,2,FALSE()),"Invalid ("&amp;Data!J424&amp;")"))</f>
        <v>No</v>
      </c>
      <c r="K424" s="21" t="n">
        <f aca="false">IF(Data!K424="","",Data!K424)</f>
        <v>0</v>
      </c>
      <c r="L424" s="28" t="str">
        <f aca="false">IF(Data!L424="","",IFERROR(VLOOKUP(Data!L424,Codes!$A$34:$B$36,2,FALSE()),"Invalid ("&amp;Data!L424&amp;")"))</f>
        <v/>
      </c>
      <c r="M424" s="20" t="str">
        <f aca="false">IF(Data!M424="","",Data!M424)</f>
        <v/>
      </c>
      <c r="N424" s="28" t="str">
        <f aca="false">IF(Data!N424="","",IFERROR(VLOOKUP(Data!N424,Codes!$A$47:$B$49,2,FALSE()),"Invalid ("&amp;Data!N424&amp;")"))</f>
        <v/>
      </c>
      <c r="O424" s="28" t="str">
        <f aca="false">IF(Data!O424="","",IFERROR(VLOOKUP(Data!O424,Codes!$A$53:$B$57,2,FALSE()),"Invalid ("&amp;Data!O424&amp;")"))</f>
        <v>Disease (1)</v>
      </c>
      <c r="P424" s="22" t="str">
        <f aca="false">IF(Data!P424="","",IFERROR(VLOOKUP(Data!P424,Codes!$A$61:$B$64,2,FALSE()),"Invalid ("&amp;Data!P424&amp;")"))</f>
        <v>Hungarian Inst. of Cardiology, Budapest</v>
      </c>
    </row>
    <row r="425" customFormat="false" ht="15" hidden="false" customHeight="false" outlineLevel="0" collapsed="false">
      <c r="A425" s="19" t="n">
        <f aca="false">Data!A425</f>
        <v>424</v>
      </c>
      <c r="B425" s="20" t="n">
        <f aca="false">IF(Data!B425="","",Data!B425)</f>
        <v>47</v>
      </c>
      <c r="C425" s="28" t="str">
        <f aca="false">IF(Data!C425="","",IFERROR(VLOOKUP(Data!C425,Codes!$A$6:$B$7,2,FALSE()),"Invalid ("&amp;Data!C425&amp;")"))</f>
        <v>Female</v>
      </c>
      <c r="D425" s="28" t="str">
        <f aca="false">IF(Data!D425="","",IFERROR(VLOOKUP(Data!D425,Codes!$A$11:$B$14,2,FALSE()),"Invalid ("&amp;Data!D425&amp;")"))</f>
        <v>Non-anginal pain</v>
      </c>
      <c r="E425" s="20" t="n">
        <f aca="false">IF(Data!E425="","",Data!E425)</f>
        <v>135</v>
      </c>
      <c r="F425" s="20" t="n">
        <f aca="false">IF(Data!F425="","",Data!F425)</f>
        <v>248</v>
      </c>
      <c r="G425" s="28" t="str">
        <f aca="false">IF(Data!G425="","",IFERROR(VLOOKUP(Data!G425,Codes!$A$18:$B$19,2,FALSE()),"Invalid ("&amp;Data!G425&amp;")"))</f>
        <v>Yes</v>
      </c>
      <c r="H425" s="28" t="str">
        <f aca="false">IF(Data!H425="","",IFERROR(VLOOKUP(Data!H425,Codes!$A$23:$B$25,2,FALSE()),"Invalid ("&amp;Data!H425&amp;")"))</f>
        <v>Normal</v>
      </c>
      <c r="I425" s="20" t="n">
        <f aca="false">IF(Data!I425="","",Data!I425)</f>
        <v>170</v>
      </c>
      <c r="J425" s="28" t="str">
        <f aca="false">IF(Data!J425="","",IFERROR(VLOOKUP(Data!J425,Codes!$A$29:$B$30,2,FALSE()),"Invalid ("&amp;Data!J425&amp;")"))</f>
        <v>No</v>
      </c>
      <c r="K425" s="21" t="n">
        <f aca="false">IF(Data!K425="","",Data!K425)</f>
        <v>0</v>
      </c>
      <c r="L425" s="28" t="str">
        <f aca="false">IF(Data!L425="","",IFERROR(VLOOKUP(Data!L425,Codes!$A$34:$B$36,2,FALSE()),"Invalid ("&amp;Data!L425&amp;")"))</f>
        <v/>
      </c>
      <c r="M425" s="20" t="str">
        <f aca="false">IF(Data!M425="","",Data!M425)</f>
        <v/>
      </c>
      <c r="N425" s="28" t="str">
        <f aca="false">IF(Data!N425="","",IFERROR(VLOOKUP(Data!N425,Codes!$A$47:$B$49,2,FALSE()),"Invalid ("&amp;Data!N425&amp;")"))</f>
        <v/>
      </c>
      <c r="O425" s="28" t="str">
        <f aca="false">IF(Data!O425="","",IFERROR(VLOOKUP(Data!O425,Codes!$A$53:$B$57,2,FALSE()),"Invalid ("&amp;Data!O425&amp;")"))</f>
        <v>Disease (3)</v>
      </c>
      <c r="P425" s="22" t="str">
        <f aca="false">IF(Data!P425="","",IFERROR(VLOOKUP(Data!P425,Codes!$A$61:$B$64,2,FALSE()),"Invalid ("&amp;Data!P425&amp;")"))</f>
        <v>Hungarian Inst. of Cardiology, Budapest</v>
      </c>
    </row>
    <row r="426" customFormat="false" ht="15" hidden="false" customHeight="false" outlineLevel="0" collapsed="false">
      <c r="A426" s="19" t="n">
        <f aca="false">Data!A426</f>
        <v>425</v>
      </c>
      <c r="B426" s="20" t="n">
        <f aca="false">IF(Data!B426="","",Data!B426)</f>
        <v>52</v>
      </c>
      <c r="C426" s="28" t="str">
        <f aca="false">IF(Data!C426="","",IFERROR(VLOOKUP(Data!C426,Codes!$A$6:$B$7,2,FALSE()),"Invalid ("&amp;Data!C426&amp;")"))</f>
        <v>Female</v>
      </c>
      <c r="D426" s="28" t="str">
        <f aca="false">IF(Data!D426="","",IFERROR(VLOOKUP(Data!D426,Codes!$A$11:$B$14,2,FALSE()),"Invalid ("&amp;Data!D426&amp;")"))</f>
        <v>Non-anginal pain</v>
      </c>
      <c r="E426" s="20" t="n">
        <f aca="false">IF(Data!E426="","",Data!E426)</f>
        <v>125</v>
      </c>
      <c r="F426" s="20" t="n">
        <f aca="false">IF(Data!F426="","",Data!F426)</f>
        <v>272</v>
      </c>
      <c r="G426" s="28" t="str">
        <f aca="false">IF(Data!G426="","",IFERROR(VLOOKUP(Data!G426,Codes!$A$18:$B$19,2,FALSE()),"Invalid ("&amp;Data!G426&amp;")"))</f>
        <v>No</v>
      </c>
      <c r="H426" s="28" t="str">
        <f aca="false">IF(Data!H426="","",IFERROR(VLOOKUP(Data!H426,Codes!$A$23:$B$25,2,FALSE()),"Invalid ("&amp;Data!H426&amp;")"))</f>
        <v>Normal</v>
      </c>
      <c r="I426" s="20" t="n">
        <f aca="false">IF(Data!I426="","",Data!I426)</f>
        <v>139</v>
      </c>
      <c r="J426" s="28" t="str">
        <f aca="false">IF(Data!J426="","",IFERROR(VLOOKUP(Data!J426,Codes!$A$29:$B$30,2,FALSE()),"Invalid ("&amp;Data!J426&amp;")"))</f>
        <v>No</v>
      </c>
      <c r="K426" s="21" t="n">
        <f aca="false">IF(Data!K426="","",Data!K426)</f>
        <v>0</v>
      </c>
      <c r="L426" s="28" t="str">
        <f aca="false">IF(Data!L426="","",IFERROR(VLOOKUP(Data!L426,Codes!$A$34:$B$36,2,FALSE()),"Invalid ("&amp;Data!L426&amp;")"))</f>
        <v/>
      </c>
      <c r="M426" s="20" t="str">
        <f aca="false">IF(Data!M426="","",Data!M426)</f>
        <v/>
      </c>
      <c r="N426" s="28" t="str">
        <f aca="false">IF(Data!N426="","",IFERROR(VLOOKUP(Data!N426,Codes!$A$47:$B$49,2,FALSE()),"Invalid ("&amp;Data!N426&amp;")"))</f>
        <v/>
      </c>
      <c r="O426" s="28" t="str">
        <f aca="false">IF(Data!O426="","",IFERROR(VLOOKUP(Data!O426,Codes!$A$53:$B$57,2,FALSE()),"Invalid ("&amp;Data!O426&amp;")"))</f>
        <v>No disease</v>
      </c>
      <c r="P426" s="22" t="str">
        <f aca="false">IF(Data!P426="","",IFERROR(VLOOKUP(Data!P426,Codes!$A$61:$B$64,2,FALSE()),"Invalid ("&amp;Data!P426&amp;")"))</f>
        <v>Hungarian Inst. of Cardiology, Budapest</v>
      </c>
    </row>
    <row r="427" customFormat="false" ht="15" hidden="false" customHeight="false" outlineLevel="0" collapsed="false">
      <c r="A427" s="19" t="n">
        <f aca="false">Data!A427</f>
        <v>426</v>
      </c>
      <c r="B427" s="20" t="n">
        <f aca="false">IF(Data!B427="","",Data!B427)</f>
        <v>46</v>
      </c>
      <c r="C427" s="28" t="str">
        <f aca="false">IF(Data!C427="","",IFERROR(VLOOKUP(Data!C427,Codes!$A$6:$B$7,2,FALSE()),"Invalid ("&amp;Data!C427&amp;")"))</f>
        <v>Male</v>
      </c>
      <c r="D427" s="28" t="str">
        <f aca="false">IF(Data!D427="","",IFERROR(VLOOKUP(Data!D427,Codes!$A$11:$B$14,2,FALSE()),"Invalid ("&amp;Data!D427&amp;")"))</f>
        <v>Asymptomatic</v>
      </c>
      <c r="E427" s="20" t="n">
        <f aca="false">IF(Data!E427="","",Data!E427)</f>
        <v>110</v>
      </c>
      <c r="F427" s="20" t="n">
        <f aca="false">IF(Data!F427="","",Data!F427)</f>
        <v>240</v>
      </c>
      <c r="G427" s="28" t="str">
        <f aca="false">IF(Data!G427="","",IFERROR(VLOOKUP(Data!G427,Codes!$A$18:$B$19,2,FALSE()),"Invalid ("&amp;Data!G427&amp;")"))</f>
        <v>No</v>
      </c>
      <c r="H427" s="28" t="str">
        <f aca="false">IF(Data!H427="","",IFERROR(VLOOKUP(Data!H427,Codes!$A$23:$B$25,2,FALSE()),"Invalid ("&amp;Data!H427&amp;")"))</f>
        <v>ST-T wave abnormality</v>
      </c>
      <c r="I427" s="20" t="n">
        <f aca="false">IF(Data!I427="","",Data!I427)</f>
        <v>140</v>
      </c>
      <c r="J427" s="28" t="str">
        <f aca="false">IF(Data!J427="","",IFERROR(VLOOKUP(Data!J427,Codes!$A$29:$B$30,2,FALSE()),"Invalid ("&amp;Data!J427&amp;")"))</f>
        <v>No</v>
      </c>
      <c r="K427" s="21" t="n">
        <f aca="false">IF(Data!K427="","",Data!K427)</f>
        <v>0</v>
      </c>
      <c r="L427" s="28" t="str">
        <f aca="false">IF(Data!L427="","",IFERROR(VLOOKUP(Data!L427,Codes!$A$34:$B$36,2,FALSE()),"Invalid ("&amp;Data!L427&amp;")"))</f>
        <v/>
      </c>
      <c r="M427" s="20" t="str">
        <f aca="false">IF(Data!M427="","",Data!M427)</f>
        <v/>
      </c>
      <c r="N427" s="28" t="str">
        <f aca="false">IF(Data!N427="","",IFERROR(VLOOKUP(Data!N427,Codes!$A$47:$B$49,2,FALSE()),"Invalid ("&amp;Data!N427&amp;")"))</f>
        <v>Normal</v>
      </c>
      <c r="O427" s="28" t="str">
        <f aca="false">IF(Data!O427="","",IFERROR(VLOOKUP(Data!O427,Codes!$A$53:$B$57,2,FALSE()),"Invalid ("&amp;Data!O427&amp;")"))</f>
        <v>No disease</v>
      </c>
      <c r="P427" s="22" t="str">
        <f aca="false">IF(Data!P427="","",IFERROR(VLOOKUP(Data!P427,Codes!$A$61:$B$64,2,FALSE()),"Invalid ("&amp;Data!P427&amp;")"))</f>
        <v>Hungarian Inst. of Cardiology, Budapest</v>
      </c>
    </row>
    <row r="428" customFormat="false" ht="15" hidden="false" customHeight="false" outlineLevel="0" collapsed="false">
      <c r="A428" s="19" t="n">
        <f aca="false">Data!A428</f>
        <v>427</v>
      </c>
      <c r="B428" s="20" t="n">
        <f aca="false">IF(Data!B428="","",Data!B428)</f>
        <v>58</v>
      </c>
      <c r="C428" s="28" t="str">
        <f aca="false">IF(Data!C428="","",IFERROR(VLOOKUP(Data!C428,Codes!$A$6:$B$7,2,FALSE()),"Invalid ("&amp;Data!C428&amp;")"))</f>
        <v>Female</v>
      </c>
      <c r="D428" s="28" t="str">
        <f aca="false">IF(Data!D428="","",IFERROR(VLOOKUP(Data!D428,Codes!$A$11:$B$14,2,FALSE()),"Invalid ("&amp;Data!D428&amp;")"))</f>
        <v>Atypical angina</v>
      </c>
      <c r="E428" s="20" t="n">
        <f aca="false">IF(Data!E428="","",Data!E428)</f>
        <v>180</v>
      </c>
      <c r="F428" s="20" t="n">
        <f aca="false">IF(Data!F428="","",Data!F428)</f>
        <v>393</v>
      </c>
      <c r="G428" s="28" t="str">
        <f aca="false">IF(Data!G428="","",IFERROR(VLOOKUP(Data!G428,Codes!$A$18:$B$19,2,FALSE()),"Invalid ("&amp;Data!G428&amp;")"))</f>
        <v>No</v>
      </c>
      <c r="H428" s="28" t="str">
        <f aca="false">IF(Data!H428="","",IFERROR(VLOOKUP(Data!H428,Codes!$A$23:$B$25,2,FALSE()),"Invalid ("&amp;Data!H428&amp;")"))</f>
        <v>Normal</v>
      </c>
      <c r="I428" s="20" t="n">
        <f aca="false">IF(Data!I428="","",Data!I428)</f>
        <v>110</v>
      </c>
      <c r="J428" s="28" t="str">
        <f aca="false">IF(Data!J428="","",IFERROR(VLOOKUP(Data!J428,Codes!$A$29:$B$30,2,FALSE()),"Invalid ("&amp;Data!J428&amp;")"))</f>
        <v>Yes</v>
      </c>
      <c r="K428" s="21" t="n">
        <f aca="false">IF(Data!K428="","",Data!K428)</f>
        <v>1</v>
      </c>
      <c r="L428" s="28" t="str">
        <f aca="false">IF(Data!L428="","",IFERROR(VLOOKUP(Data!L428,Codes!$A$34:$B$36,2,FALSE()),"Invalid ("&amp;Data!L428&amp;")"))</f>
        <v>Flat</v>
      </c>
      <c r="M428" s="20" t="str">
        <f aca="false">IF(Data!M428="","",Data!M428)</f>
        <v/>
      </c>
      <c r="N428" s="28" t="str">
        <f aca="false">IF(Data!N428="","",IFERROR(VLOOKUP(Data!N428,Codes!$A$47:$B$49,2,FALSE()),"Invalid ("&amp;Data!N428&amp;")"))</f>
        <v>Reversible defect</v>
      </c>
      <c r="O428" s="28" t="str">
        <f aca="false">IF(Data!O428="","",IFERROR(VLOOKUP(Data!O428,Codes!$A$53:$B$57,2,FALSE()),"Invalid ("&amp;Data!O428&amp;")"))</f>
        <v>Disease (4)</v>
      </c>
      <c r="P428" s="22" t="str">
        <f aca="false">IF(Data!P428="","",IFERROR(VLOOKUP(Data!P428,Codes!$A$61:$B$64,2,FALSE()),"Invalid ("&amp;Data!P428&amp;")"))</f>
        <v>Hungarian Inst. of Cardiology, Budapest</v>
      </c>
    </row>
    <row r="429" customFormat="false" ht="15" hidden="false" customHeight="false" outlineLevel="0" collapsed="false">
      <c r="A429" s="19" t="n">
        <f aca="false">Data!A429</f>
        <v>428</v>
      </c>
      <c r="B429" s="20" t="n">
        <f aca="false">IF(Data!B429="","",Data!B429)</f>
        <v>58</v>
      </c>
      <c r="C429" s="28" t="str">
        <f aca="false">IF(Data!C429="","",IFERROR(VLOOKUP(Data!C429,Codes!$A$6:$B$7,2,FALSE()),"Invalid ("&amp;Data!C429&amp;")"))</f>
        <v>Male</v>
      </c>
      <c r="D429" s="28" t="str">
        <f aca="false">IF(Data!D429="","",IFERROR(VLOOKUP(Data!D429,Codes!$A$11:$B$14,2,FALSE()),"Invalid ("&amp;Data!D429&amp;")"))</f>
        <v>Atypical angina</v>
      </c>
      <c r="E429" s="20" t="n">
        <f aca="false">IF(Data!E429="","",Data!E429)</f>
        <v>130</v>
      </c>
      <c r="F429" s="20" t="n">
        <f aca="false">IF(Data!F429="","",Data!F429)</f>
        <v>230</v>
      </c>
      <c r="G429" s="28" t="str">
        <f aca="false">IF(Data!G429="","",IFERROR(VLOOKUP(Data!G429,Codes!$A$18:$B$19,2,FALSE()),"Invalid ("&amp;Data!G429&amp;")"))</f>
        <v>No</v>
      </c>
      <c r="H429" s="28" t="str">
        <f aca="false">IF(Data!H429="","",IFERROR(VLOOKUP(Data!H429,Codes!$A$23:$B$25,2,FALSE()),"Invalid ("&amp;Data!H429&amp;")"))</f>
        <v>Normal</v>
      </c>
      <c r="I429" s="20" t="n">
        <f aca="false">IF(Data!I429="","",Data!I429)</f>
        <v>150</v>
      </c>
      <c r="J429" s="28" t="str">
        <f aca="false">IF(Data!J429="","",IFERROR(VLOOKUP(Data!J429,Codes!$A$29:$B$30,2,FALSE()),"Invalid ("&amp;Data!J429&amp;")"))</f>
        <v>No</v>
      </c>
      <c r="K429" s="21" t="n">
        <f aca="false">IF(Data!K429="","",Data!K429)</f>
        <v>0</v>
      </c>
      <c r="L429" s="28" t="str">
        <f aca="false">IF(Data!L429="","",IFERROR(VLOOKUP(Data!L429,Codes!$A$34:$B$36,2,FALSE()),"Invalid ("&amp;Data!L429&amp;")"))</f>
        <v/>
      </c>
      <c r="M429" s="20" t="str">
        <f aca="false">IF(Data!M429="","",Data!M429)</f>
        <v/>
      </c>
      <c r="N429" s="28" t="str">
        <f aca="false">IF(Data!N429="","",IFERROR(VLOOKUP(Data!N429,Codes!$A$47:$B$49,2,FALSE()),"Invalid ("&amp;Data!N429&amp;")"))</f>
        <v/>
      </c>
      <c r="O429" s="28" t="str">
        <f aca="false">IF(Data!O429="","",IFERROR(VLOOKUP(Data!O429,Codes!$A$53:$B$57,2,FALSE()),"Invalid ("&amp;Data!O429&amp;")"))</f>
        <v>No disease</v>
      </c>
      <c r="P429" s="22" t="str">
        <f aca="false">IF(Data!P429="","",IFERROR(VLOOKUP(Data!P429,Codes!$A$61:$B$64,2,FALSE()),"Invalid ("&amp;Data!P429&amp;")"))</f>
        <v>Hungarian Inst. of Cardiology, Budapest</v>
      </c>
    </row>
    <row r="430" customFormat="false" ht="15" hidden="false" customHeight="false" outlineLevel="0" collapsed="false">
      <c r="A430" s="19" t="n">
        <f aca="false">Data!A430</f>
        <v>429</v>
      </c>
      <c r="B430" s="20" t="n">
        <f aca="false">IF(Data!B430="","",Data!B430)</f>
        <v>54</v>
      </c>
      <c r="C430" s="28" t="str">
        <f aca="false">IF(Data!C430="","",IFERROR(VLOOKUP(Data!C430,Codes!$A$6:$B$7,2,FALSE()),"Invalid ("&amp;Data!C430&amp;")"))</f>
        <v>Male</v>
      </c>
      <c r="D430" s="28" t="str">
        <f aca="false">IF(Data!D430="","",IFERROR(VLOOKUP(Data!D430,Codes!$A$11:$B$14,2,FALSE()),"Invalid ("&amp;Data!D430&amp;")"))</f>
        <v>Atypical angina</v>
      </c>
      <c r="E430" s="20" t="n">
        <f aca="false">IF(Data!E430="","",Data!E430)</f>
        <v>120</v>
      </c>
      <c r="F430" s="20" t="n">
        <f aca="false">IF(Data!F430="","",Data!F430)</f>
        <v>246</v>
      </c>
      <c r="G430" s="28" t="str">
        <f aca="false">IF(Data!G430="","",IFERROR(VLOOKUP(Data!G430,Codes!$A$18:$B$19,2,FALSE()),"Invalid ("&amp;Data!G430&amp;")"))</f>
        <v>No</v>
      </c>
      <c r="H430" s="28" t="str">
        <f aca="false">IF(Data!H430="","",IFERROR(VLOOKUP(Data!H430,Codes!$A$23:$B$25,2,FALSE()),"Invalid ("&amp;Data!H430&amp;")"))</f>
        <v>Normal</v>
      </c>
      <c r="I430" s="20" t="n">
        <f aca="false">IF(Data!I430="","",Data!I430)</f>
        <v>110</v>
      </c>
      <c r="J430" s="28" t="str">
        <f aca="false">IF(Data!J430="","",IFERROR(VLOOKUP(Data!J430,Codes!$A$29:$B$30,2,FALSE()),"Invalid ("&amp;Data!J430&amp;")"))</f>
        <v>No</v>
      </c>
      <c r="K430" s="21" t="n">
        <f aca="false">IF(Data!K430="","",Data!K430)</f>
        <v>0</v>
      </c>
      <c r="L430" s="28" t="str">
        <f aca="false">IF(Data!L430="","",IFERROR(VLOOKUP(Data!L430,Codes!$A$34:$B$36,2,FALSE()),"Invalid ("&amp;Data!L430&amp;")"))</f>
        <v/>
      </c>
      <c r="M430" s="20" t="str">
        <f aca="false">IF(Data!M430="","",Data!M430)</f>
        <v/>
      </c>
      <c r="N430" s="28" t="str">
        <f aca="false">IF(Data!N430="","",IFERROR(VLOOKUP(Data!N430,Codes!$A$47:$B$49,2,FALSE()),"Invalid ("&amp;Data!N430&amp;")"))</f>
        <v/>
      </c>
      <c r="O430" s="28" t="str">
        <f aca="false">IF(Data!O430="","",IFERROR(VLOOKUP(Data!O430,Codes!$A$53:$B$57,2,FALSE()),"Invalid ("&amp;Data!O430&amp;")"))</f>
        <v>No disease</v>
      </c>
      <c r="P430" s="22" t="str">
        <f aca="false">IF(Data!P430="","",IFERROR(VLOOKUP(Data!P430,Codes!$A$61:$B$64,2,FALSE()),"Invalid ("&amp;Data!P430&amp;")"))</f>
        <v>Hungarian Inst. of Cardiology, Budapest</v>
      </c>
    </row>
    <row r="431" customFormat="false" ht="15" hidden="false" customHeight="false" outlineLevel="0" collapsed="false">
      <c r="A431" s="19" t="n">
        <f aca="false">Data!A431</f>
        <v>430</v>
      </c>
      <c r="B431" s="20" t="n">
        <f aca="false">IF(Data!B431="","",Data!B431)</f>
        <v>34</v>
      </c>
      <c r="C431" s="28" t="str">
        <f aca="false">IF(Data!C431="","",IFERROR(VLOOKUP(Data!C431,Codes!$A$6:$B$7,2,FALSE()),"Invalid ("&amp;Data!C431&amp;")"))</f>
        <v>Female</v>
      </c>
      <c r="D431" s="28" t="str">
        <f aca="false">IF(Data!D431="","",IFERROR(VLOOKUP(Data!D431,Codes!$A$11:$B$14,2,FALSE()),"Invalid ("&amp;Data!D431&amp;")"))</f>
        <v>Atypical angina</v>
      </c>
      <c r="E431" s="20" t="n">
        <f aca="false">IF(Data!E431="","",Data!E431)</f>
        <v>130</v>
      </c>
      <c r="F431" s="20" t="n">
        <f aca="false">IF(Data!F431="","",Data!F431)</f>
        <v>161</v>
      </c>
      <c r="G431" s="28" t="str">
        <f aca="false">IF(Data!G431="","",IFERROR(VLOOKUP(Data!G431,Codes!$A$18:$B$19,2,FALSE()),"Invalid ("&amp;Data!G431&amp;")"))</f>
        <v>No</v>
      </c>
      <c r="H431" s="28" t="str">
        <f aca="false">IF(Data!H431="","",IFERROR(VLOOKUP(Data!H431,Codes!$A$23:$B$25,2,FALSE()),"Invalid ("&amp;Data!H431&amp;")"))</f>
        <v>Normal</v>
      </c>
      <c r="I431" s="20" t="n">
        <f aca="false">IF(Data!I431="","",Data!I431)</f>
        <v>190</v>
      </c>
      <c r="J431" s="28" t="str">
        <f aca="false">IF(Data!J431="","",IFERROR(VLOOKUP(Data!J431,Codes!$A$29:$B$30,2,FALSE()),"Invalid ("&amp;Data!J431&amp;")"))</f>
        <v>No</v>
      </c>
      <c r="K431" s="21" t="n">
        <f aca="false">IF(Data!K431="","",Data!K431)</f>
        <v>0</v>
      </c>
      <c r="L431" s="28" t="str">
        <f aca="false">IF(Data!L431="","",IFERROR(VLOOKUP(Data!L431,Codes!$A$34:$B$36,2,FALSE()),"Invalid ("&amp;Data!L431&amp;")"))</f>
        <v/>
      </c>
      <c r="M431" s="20" t="str">
        <f aca="false">IF(Data!M431="","",Data!M431)</f>
        <v/>
      </c>
      <c r="N431" s="28" t="str">
        <f aca="false">IF(Data!N431="","",IFERROR(VLOOKUP(Data!N431,Codes!$A$47:$B$49,2,FALSE()),"Invalid ("&amp;Data!N431&amp;")"))</f>
        <v/>
      </c>
      <c r="O431" s="28" t="str">
        <f aca="false">IF(Data!O431="","",IFERROR(VLOOKUP(Data!O431,Codes!$A$53:$B$57,2,FALSE()),"Invalid ("&amp;Data!O431&amp;")"))</f>
        <v>No disease</v>
      </c>
      <c r="P431" s="22" t="str">
        <f aca="false">IF(Data!P431="","",IFERROR(VLOOKUP(Data!P431,Codes!$A$61:$B$64,2,FALSE()),"Invalid ("&amp;Data!P431&amp;")"))</f>
        <v>Hungarian Inst. of Cardiology, Budapest</v>
      </c>
    </row>
    <row r="432" customFormat="false" ht="15" hidden="false" customHeight="false" outlineLevel="0" collapsed="false">
      <c r="A432" s="19" t="n">
        <f aca="false">Data!A432</f>
        <v>431</v>
      </c>
      <c r="B432" s="20" t="n">
        <f aca="false">IF(Data!B432="","",Data!B432)</f>
        <v>48</v>
      </c>
      <c r="C432" s="28" t="str">
        <f aca="false">IF(Data!C432="","",IFERROR(VLOOKUP(Data!C432,Codes!$A$6:$B$7,2,FALSE()),"Invalid ("&amp;Data!C432&amp;")"))</f>
        <v>Female</v>
      </c>
      <c r="D432" s="28" t="str">
        <f aca="false">IF(Data!D432="","",IFERROR(VLOOKUP(Data!D432,Codes!$A$11:$B$14,2,FALSE()),"Invalid ("&amp;Data!D432&amp;")"))</f>
        <v>Asymptomatic</v>
      </c>
      <c r="E432" s="20" t="n">
        <f aca="false">IF(Data!E432="","",Data!E432)</f>
        <v>108</v>
      </c>
      <c r="F432" s="20" t="n">
        <f aca="false">IF(Data!F432="","",Data!F432)</f>
        <v>163</v>
      </c>
      <c r="G432" s="28" t="str">
        <f aca="false">IF(Data!G432="","",IFERROR(VLOOKUP(Data!G432,Codes!$A$18:$B$19,2,FALSE()),"Invalid ("&amp;Data!G432&amp;")"))</f>
        <v>No</v>
      </c>
      <c r="H432" s="28" t="str">
        <f aca="false">IF(Data!H432="","",IFERROR(VLOOKUP(Data!H432,Codes!$A$23:$B$25,2,FALSE()),"Invalid ("&amp;Data!H432&amp;")"))</f>
        <v>Normal</v>
      </c>
      <c r="I432" s="20" t="n">
        <f aca="false">IF(Data!I432="","",Data!I432)</f>
        <v>175</v>
      </c>
      <c r="J432" s="28" t="str">
        <f aca="false">IF(Data!J432="","",IFERROR(VLOOKUP(Data!J432,Codes!$A$29:$B$30,2,FALSE()),"Invalid ("&amp;Data!J432&amp;")"))</f>
        <v>No</v>
      </c>
      <c r="K432" s="21" t="n">
        <f aca="false">IF(Data!K432="","",Data!K432)</f>
        <v>2</v>
      </c>
      <c r="L432" s="28" t="str">
        <f aca="false">IF(Data!L432="","",IFERROR(VLOOKUP(Data!L432,Codes!$A$34:$B$36,2,FALSE()),"Invalid ("&amp;Data!L432&amp;")"))</f>
        <v>Upsloping</v>
      </c>
      <c r="M432" s="20" t="str">
        <f aca="false">IF(Data!M432="","",Data!M432)</f>
        <v/>
      </c>
      <c r="N432" s="28" t="str">
        <f aca="false">IF(Data!N432="","",IFERROR(VLOOKUP(Data!N432,Codes!$A$47:$B$49,2,FALSE()),"Invalid ("&amp;Data!N432&amp;")"))</f>
        <v/>
      </c>
      <c r="O432" s="28" t="str">
        <f aca="false">IF(Data!O432="","",IFERROR(VLOOKUP(Data!O432,Codes!$A$53:$B$57,2,FALSE()),"Invalid ("&amp;Data!O432&amp;")"))</f>
        <v>No disease</v>
      </c>
      <c r="P432" s="22" t="str">
        <f aca="false">IF(Data!P432="","",IFERROR(VLOOKUP(Data!P432,Codes!$A$61:$B$64,2,FALSE()),"Invalid ("&amp;Data!P432&amp;")"))</f>
        <v>Hungarian Inst. of Cardiology, Budapest</v>
      </c>
    </row>
    <row r="433" customFormat="false" ht="15" hidden="false" customHeight="false" outlineLevel="0" collapsed="false">
      <c r="A433" s="19" t="n">
        <f aca="false">Data!A433</f>
        <v>432</v>
      </c>
      <c r="B433" s="20" t="n">
        <f aca="false">IF(Data!B433="","",Data!B433)</f>
        <v>54</v>
      </c>
      <c r="C433" s="28" t="str">
        <f aca="false">IF(Data!C433="","",IFERROR(VLOOKUP(Data!C433,Codes!$A$6:$B$7,2,FALSE()),"Invalid ("&amp;Data!C433&amp;")"))</f>
        <v>Female</v>
      </c>
      <c r="D433" s="28" t="str">
        <f aca="false">IF(Data!D433="","",IFERROR(VLOOKUP(Data!D433,Codes!$A$11:$B$14,2,FALSE()),"Invalid ("&amp;Data!D433&amp;")"))</f>
        <v>Atypical angina</v>
      </c>
      <c r="E433" s="20" t="n">
        <f aca="false">IF(Data!E433="","",Data!E433)</f>
        <v>120</v>
      </c>
      <c r="F433" s="20" t="n">
        <f aca="false">IF(Data!F433="","",Data!F433)</f>
        <v>230</v>
      </c>
      <c r="G433" s="28" t="str">
        <f aca="false">IF(Data!G433="","",IFERROR(VLOOKUP(Data!G433,Codes!$A$18:$B$19,2,FALSE()),"Invalid ("&amp;Data!G433&amp;")"))</f>
        <v>Yes</v>
      </c>
      <c r="H433" s="28" t="str">
        <f aca="false">IF(Data!H433="","",IFERROR(VLOOKUP(Data!H433,Codes!$A$23:$B$25,2,FALSE()),"Invalid ("&amp;Data!H433&amp;")"))</f>
        <v>Normal</v>
      </c>
      <c r="I433" s="20" t="n">
        <f aca="false">IF(Data!I433="","",Data!I433)</f>
        <v>140</v>
      </c>
      <c r="J433" s="28" t="str">
        <f aca="false">IF(Data!J433="","",IFERROR(VLOOKUP(Data!J433,Codes!$A$29:$B$30,2,FALSE()),"Invalid ("&amp;Data!J433&amp;")"))</f>
        <v>No</v>
      </c>
      <c r="K433" s="21" t="n">
        <f aca="false">IF(Data!K433="","",Data!K433)</f>
        <v>0</v>
      </c>
      <c r="L433" s="28" t="str">
        <f aca="false">IF(Data!L433="","",IFERROR(VLOOKUP(Data!L433,Codes!$A$34:$B$36,2,FALSE()),"Invalid ("&amp;Data!L433&amp;")"))</f>
        <v/>
      </c>
      <c r="M433" s="20" t="str">
        <f aca="false">IF(Data!M433="","",Data!M433)</f>
        <v/>
      </c>
      <c r="N433" s="28" t="str">
        <f aca="false">IF(Data!N433="","",IFERROR(VLOOKUP(Data!N433,Codes!$A$47:$B$49,2,FALSE()),"Invalid ("&amp;Data!N433&amp;")"))</f>
        <v/>
      </c>
      <c r="O433" s="28" t="str">
        <f aca="false">IF(Data!O433="","",IFERROR(VLOOKUP(Data!O433,Codes!$A$53:$B$57,2,FALSE()),"Invalid ("&amp;Data!O433&amp;")"))</f>
        <v>No disease</v>
      </c>
      <c r="P433" s="22" t="str">
        <f aca="false">IF(Data!P433="","",IFERROR(VLOOKUP(Data!P433,Codes!$A$61:$B$64,2,FALSE()),"Invalid ("&amp;Data!P433&amp;")"))</f>
        <v>Hungarian Inst. of Cardiology, Budapest</v>
      </c>
    </row>
    <row r="434" customFormat="false" ht="15" hidden="false" customHeight="false" outlineLevel="0" collapsed="false">
      <c r="A434" s="19" t="n">
        <f aca="false">Data!A434</f>
        <v>433</v>
      </c>
      <c r="B434" s="20" t="n">
        <f aca="false">IF(Data!B434="","",Data!B434)</f>
        <v>42</v>
      </c>
      <c r="C434" s="28" t="str">
        <f aca="false">IF(Data!C434="","",IFERROR(VLOOKUP(Data!C434,Codes!$A$6:$B$7,2,FALSE()),"Invalid ("&amp;Data!C434&amp;")"))</f>
        <v>Male</v>
      </c>
      <c r="D434" s="28" t="str">
        <f aca="false">IF(Data!D434="","",IFERROR(VLOOKUP(Data!D434,Codes!$A$11:$B$14,2,FALSE()),"Invalid ("&amp;Data!D434&amp;")"))</f>
        <v>Non-anginal pain</v>
      </c>
      <c r="E434" s="20" t="n">
        <f aca="false">IF(Data!E434="","",Data!E434)</f>
        <v>120</v>
      </c>
      <c r="F434" s="20" t="n">
        <f aca="false">IF(Data!F434="","",Data!F434)</f>
        <v>228</v>
      </c>
      <c r="G434" s="28" t="str">
        <f aca="false">IF(Data!G434="","",IFERROR(VLOOKUP(Data!G434,Codes!$A$18:$B$19,2,FALSE()),"Invalid ("&amp;Data!G434&amp;")"))</f>
        <v>No</v>
      </c>
      <c r="H434" s="28" t="str">
        <f aca="false">IF(Data!H434="","",IFERROR(VLOOKUP(Data!H434,Codes!$A$23:$B$25,2,FALSE()),"Invalid ("&amp;Data!H434&amp;")"))</f>
        <v>Normal</v>
      </c>
      <c r="I434" s="20" t="n">
        <f aca="false">IF(Data!I434="","",Data!I434)</f>
        <v>152</v>
      </c>
      <c r="J434" s="28" t="str">
        <f aca="false">IF(Data!J434="","",IFERROR(VLOOKUP(Data!J434,Codes!$A$29:$B$30,2,FALSE()),"Invalid ("&amp;Data!J434&amp;")"))</f>
        <v>Yes</v>
      </c>
      <c r="K434" s="21" t="n">
        <f aca="false">IF(Data!K434="","",Data!K434)</f>
        <v>1.5</v>
      </c>
      <c r="L434" s="28" t="str">
        <f aca="false">IF(Data!L434="","",IFERROR(VLOOKUP(Data!L434,Codes!$A$34:$B$36,2,FALSE()),"Invalid ("&amp;Data!L434&amp;")"))</f>
        <v>Flat</v>
      </c>
      <c r="M434" s="20" t="str">
        <f aca="false">IF(Data!M434="","",Data!M434)</f>
        <v/>
      </c>
      <c r="N434" s="28" t="str">
        <f aca="false">IF(Data!N434="","",IFERROR(VLOOKUP(Data!N434,Codes!$A$47:$B$49,2,FALSE()),"Invalid ("&amp;Data!N434&amp;")"))</f>
        <v/>
      </c>
      <c r="O434" s="28" t="str">
        <f aca="false">IF(Data!O434="","",IFERROR(VLOOKUP(Data!O434,Codes!$A$53:$B$57,2,FALSE()),"Invalid ("&amp;Data!O434&amp;")"))</f>
        <v>No disease</v>
      </c>
      <c r="P434" s="22" t="str">
        <f aca="false">IF(Data!P434="","",IFERROR(VLOOKUP(Data!P434,Codes!$A$61:$B$64,2,FALSE()),"Invalid ("&amp;Data!P434&amp;")"))</f>
        <v>Hungarian Inst. of Cardiology, Budapest</v>
      </c>
    </row>
    <row r="435" customFormat="false" ht="15" hidden="false" customHeight="false" outlineLevel="0" collapsed="false">
      <c r="A435" s="19" t="n">
        <f aca="false">Data!A435</f>
        <v>434</v>
      </c>
      <c r="B435" s="20" t="n">
        <f aca="false">IF(Data!B435="","",Data!B435)</f>
        <v>38</v>
      </c>
      <c r="C435" s="28" t="str">
        <f aca="false">IF(Data!C435="","",IFERROR(VLOOKUP(Data!C435,Codes!$A$6:$B$7,2,FALSE()),"Invalid ("&amp;Data!C435&amp;")"))</f>
        <v>Male</v>
      </c>
      <c r="D435" s="28" t="str">
        <f aca="false">IF(Data!D435="","",IFERROR(VLOOKUP(Data!D435,Codes!$A$11:$B$14,2,FALSE()),"Invalid ("&amp;Data!D435&amp;")"))</f>
        <v>Non-anginal pain</v>
      </c>
      <c r="E435" s="20" t="n">
        <f aca="false">IF(Data!E435="","",Data!E435)</f>
        <v>145</v>
      </c>
      <c r="F435" s="20" t="n">
        <f aca="false">IF(Data!F435="","",Data!F435)</f>
        <v>292</v>
      </c>
      <c r="G435" s="28" t="str">
        <f aca="false">IF(Data!G435="","",IFERROR(VLOOKUP(Data!G435,Codes!$A$18:$B$19,2,FALSE()),"Invalid ("&amp;Data!G435&amp;")"))</f>
        <v>No</v>
      </c>
      <c r="H435" s="28" t="str">
        <f aca="false">IF(Data!H435="","",IFERROR(VLOOKUP(Data!H435,Codes!$A$23:$B$25,2,FALSE()),"Invalid ("&amp;Data!H435&amp;")"))</f>
        <v>Normal</v>
      </c>
      <c r="I435" s="20" t="n">
        <f aca="false">IF(Data!I435="","",Data!I435)</f>
        <v>130</v>
      </c>
      <c r="J435" s="28" t="str">
        <f aca="false">IF(Data!J435="","",IFERROR(VLOOKUP(Data!J435,Codes!$A$29:$B$30,2,FALSE()),"Invalid ("&amp;Data!J435&amp;")"))</f>
        <v>No</v>
      </c>
      <c r="K435" s="21" t="n">
        <f aca="false">IF(Data!K435="","",Data!K435)</f>
        <v>0</v>
      </c>
      <c r="L435" s="28" t="str">
        <f aca="false">IF(Data!L435="","",IFERROR(VLOOKUP(Data!L435,Codes!$A$34:$B$36,2,FALSE()),"Invalid ("&amp;Data!L435&amp;")"))</f>
        <v/>
      </c>
      <c r="M435" s="20" t="str">
        <f aca="false">IF(Data!M435="","",Data!M435)</f>
        <v/>
      </c>
      <c r="N435" s="28" t="str">
        <f aca="false">IF(Data!N435="","",IFERROR(VLOOKUP(Data!N435,Codes!$A$47:$B$49,2,FALSE()),"Invalid ("&amp;Data!N435&amp;")"))</f>
        <v/>
      </c>
      <c r="O435" s="28" t="str">
        <f aca="false">IF(Data!O435="","",IFERROR(VLOOKUP(Data!O435,Codes!$A$53:$B$57,2,FALSE()),"Invalid ("&amp;Data!O435&amp;")"))</f>
        <v>No disease</v>
      </c>
      <c r="P435" s="22" t="str">
        <f aca="false">IF(Data!P435="","",IFERROR(VLOOKUP(Data!P435,Codes!$A$61:$B$64,2,FALSE()),"Invalid ("&amp;Data!P435&amp;")"))</f>
        <v>Hungarian Inst. of Cardiology, Budapest</v>
      </c>
    </row>
    <row r="436" customFormat="false" ht="15" hidden="false" customHeight="false" outlineLevel="0" collapsed="false">
      <c r="A436" s="19" t="n">
        <f aca="false">Data!A436</f>
        <v>435</v>
      </c>
      <c r="B436" s="20" t="n">
        <f aca="false">IF(Data!B436="","",Data!B436)</f>
        <v>46</v>
      </c>
      <c r="C436" s="28" t="str">
        <f aca="false">IF(Data!C436="","",IFERROR(VLOOKUP(Data!C436,Codes!$A$6:$B$7,2,FALSE()),"Invalid ("&amp;Data!C436&amp;")"))</f>
        <v>Male</v>
      </c>
      <c r="D436" s="28" t="str">
        <f aca="false">IF(Data!D436="","",IFERROR(VLOOKUP(Data!D436,Codes!$A$11:$B$14,2,FALSE()),"Invalid ("&amp;Data!D436&amp;")"))</f>
        <v>Asymptomatic</v>
      </c>
      <c r="E436" s="20" t="n">
        <f aca="false">IF(Data!E436="","",Data!E436)</f>
        <v>110</v>
      </c>
      <c r="F436" s="20" t="n">
        <f aca="false">IF(Data!F436="","",Data!F436)</f>
        <v>202</v>
      </c>
      <c r="G436" s="28" t="str">
        <f aca="false">IF(Data!G436="","",IFERROR(VLOOKUP(Data!G436,Codes!$A$18:$B$19,2,FALSE()),"Invalid ("&amp;Data!G436&amp;")"))</f>
        <v>No</v>
      </c>
      <c r="H436" s="28" t="str">
        <f aca="false">IF(Data!H436="","",IFERROR(VLOOKUP(Data!H436,Codes!$A$23:$B$25,2,FALSE()),"Invalid ("&amp;Data!H436&amp;")"))</f>
        <v>Normal</v>
      </c>
      <c r="I436" s="20" t="n">
        <f aca="false">IF(Data!I436="","",Data!I436)</f>
        <v>150</v>
      </c>
      <c r="J436" s="28" t="str">
        <f aca="false">IF(Data!J436="","",IFERROR(VLOOKUP(Data!J436,Codes!$A$29:$B$30,2,FALSE()),"Invalid ("&amp;Data!J436&amp;")"))</f>
        <v>Yes</v>
      </c>
      <c r="K436" s="21" t="n">
        <f aca="false">IF(Data!K436="","",Data!K436)</f>
        <v>0</v>
      </c>
      <c r="L436" s="28" t="str">
        <f aca="false">IF(Data!L436="","",IFERROR(VLOOKUP(Data!L436,Codes!$A$34:$B$36,2,FALSE()),"Invalid ("&amp;Data!L436&amp;")"))</f>
        <v/>
      </c>
      <c r="M436" s="20" t="str">
        <f aca="false">IF(Data!M436="","",Data!M436)</f>
        <v/>
      </c>
      <c r="N436" s="28" t="str">
        <f aca="false">IF(Data!N436="","",IFERROR(VLOOKUP(Data!N436,Codes!$A$47:$B$49,2,FALSE()),"Invalid ("&amp;Data!N436&amp;")"))</f>
        <v/>
      </c>
      <c r="O436" s="28" t="str">
        <f aca="false">IF(Data!O436="","",IFERROR(VLOOKUP(Data!O436,Codes!$A$53:$B$57,2,FALSE()),"Invalid ("&amp;Data!O436&amp;")"))</f>
        <v>Disease (1)</v>
      </c>
      <c r="P436" s="22" t="str">
        <f aca="false">IF(Data!P436="","",IFERROR(VLOOKUP(Data!P436,Codes!$A$61:$B$64,2,FALSE()),"Invalid ("&amp;Data!P436&amp;")"))</f>
        <v>Hungarian Inst. of Cardiology, Budapest</v>
      </c>
    </row>
    <row r="437" customFormat="false" ht="15" hidden="false" customHeight="false" outlineLevel="0" collapsed="false">
      <c r="A437" s="19" t="n">
        <f aca="false">Data!A437</f>
        <v>436</v>
      </c>
      <c r="B437" s="20" t="n">
        <f aca="false">IF(Data!B437="","",Data!B437)</f>
        <v>56</v>
      </c>
      <c r="C437" s="28" t="str">
        <f aca="false">IF(Data!C437="","",IFERROR(VLOOKUP(Data!C437,Codes!$A$6:$B$7,2,FALSE()),"Invalid ("&amp;Data!C437&amp;")"))</f>
        <v>Male</v>
      </c>
      <c r="D437" s="28" t="str">
        <f aca="false">IF(Data!D437="","",IFERROR(VLOOKUP(Data!D437,Codes!$A$11:$B$14,2,FALSE()),"Invalid ("&amp;Data!D437&amp;")"))</f>
        <v>Asymptomatic</v>
      </c>
      <c r="E437" s="20" t="n">
        <f aca="false">IF(Data!E437="","",Data!E437)</f>
        <v>170</v>
      </c>
      <c r="F437" s="20" t="n">
        <f aca="false">IF(Data!F437="","",Data!F437)</f>
        <v>388</v>
      </c>
      <c r="G437" s="28" t="str">
        <f aca="false">IF(Data!G437="","",IFERROR(VLOOKUP(Data!G437,Codes!$A$18:$B$19,2,FALSE()),"Invalid ("&amp;Data!G437&amp;")"))</f>
        <v>No</v>
      </c>
      <c r="H437" s="28" t="str">
        <f aca="false">IF(Data!H437="","",IFERROR(VLOOKUP(Data!H437,Codes!$A$23:$B$25,2,FALSE()),"Invalid ("&amp;Data!H437&amp;")"))</f>
        <v>ST-T wave abnormality</v>
      </c>
      <c r="I437" s="20" t="n">
        <f aca="false">IF(Data!I437="","",Data!I437)</f>
        <v>122</v>
      </c>
      <c r="J437" s="28" t="str">
        <f aca="false">IF(Data!J437="","",IFERROR(VLOOKUP(Data!J437,Codes!$A$29:$B$30,2,FALSE()),"Invalid ("&amp;Data!J437&amp;")"))</f>
        <v>Yes</v>
      </c>
      <c r="K437" s="21" t="n">
        <f aca="false">IF(Data!K437="","",Data!K437)</f>
        <v>2</v>
      </c>
      <c r="L437" s="28" t="str">
        <f aca="false">IF(Data!L437="","",IFERROR(VLOOKUP(Data!L437,Codes!$A$34:$B$36,2,FALSE()),"Invalid ("&amp;Data!L437&amp;")"))</f>
        <v>Flat</v>
      </c>
      <c r="M437" s="20" t="str">
        <f aca="false">IF(Data!M437="","",Data!M437)</f>
        <v/>
      </c>
      <c r="N437" s="28" t="str">
        <f aca="false">IF(Data!N437="","",IFERROR(VLOOKUP(Data!N437,Codes!$A$47:$B$49,2,FALSE()),"Invalid ("&amp;Data!N437&amp;")"))</f>
        <v/>
      </c>
      <c r="O437" s="28" t="str">
        <f aca="false">IF(Data!O437="","",IFERROR(VLOOKUP(Data!O437,Codes!$A$53:$B$57,2,FALSE()),"Invalid ("&amp;Data!O437&amp;")"))</f>
        <v>Disease (3)</v>
      </c>
      <c r="P437" s="22" t="str">
        <f aca="false">IF(Data!P437="","",IFERROR(VLOOKUP(Data!P437,Codes!$A$61:$B$64,2,FALSE()),"Invalid ("&amp;Data!P437&amp;")"))</f>
        <v>Hungarian Inst. of Cardiology, Budapest</v>
      </c>
    </row>
    <row r="438" customFormat="false" ht="15" hidden="false" customHeight="false" outlineLevel="0" collapsed="false">
      <c r="A438" s="19" t="n">
        <f aca="false">Data!A438</f>
        <v>437</v>
      </c>
      <c r="B438" s="20" t="n">
        <f aca="false">IF(Data!B438="","",Data!B438)</f>
        <v>56</v>
      </c>
      <c r="C438" s="28" t="str">
        <f aca="false">IF(Data!C438="","",IFERROR(VLOOKUP(Data!C438,Codes!$A$6:$B$7,2,FALSE()),"Invalid ("&amp;Data!C438&amp;")"))</f>
        <v>Male</v>
      </c>
      <c r="D438" s="28" t="str">
        <f aca="false">IF(Data!D438="","",IFERROR(VLOOKUP(Data!D438,Codes!$A$11:$B$14,2,FALSE()),"Invalid ("&amp;Data!D438&amp;")"))</f>
        <v>Asymptomatic</v>
      </c>
      <c r="E438" s="20" t="n">
        <f aca="false">IF(Data!E438="","",Data!E438)</f>
        <v>150</v>
      </c>
      <c r="F438" s="20" t="n">
        <f aca="false">IF(Data!F438="","",Data!F438)</f>
        <v>230</v>
      </c>
      <c r="G438" s="28" t="str">
        <f aca="false">IF(Data!G438="","",IFERROR(VLOOKUP(Data!G438,Codes!$A$18:$B$19,2,FALSE()),"Invalid ("&amp;Data!G438&amp;")"))</f>
        <v>No</v>
      </c>
      <c r="H438" s="28" t="str">
        <f aca="false">IF(Data!H438="","",IFERROR(VLOOKUP(Data!H438,Codes!$A$23:$B$25,2,FALSE()),"Invalid ("&amp;Data!H438&amp;")"))</f>
        <v>ST-T wave abnormality</v>
      </c>
      <c r="I438" s="20" t="n">
        <f aca="false">IF(Data!I438="","",Data!I438)</f>
        <v>124</v>
      </c>
      <c r="J438" s="28" t="str">
        <f aca="false">IF(Data!J438="","",IFERROR(VLOOKUP(Data!J438,Codes!$A$29:$B$30,2,FALSE()),"Invalid ("&amp;Data!J438&amp;")"))</f>
        <v>Yes</v>
      </c>
      <c r="K438" s="21" t="n">
        <f aca="false">IF(Data!K438="","",Data!K438)</f>
        <v>1.5</v>
      </c>
      <c r="L438" s="28" t="str">
        <f aca="false">IF(Data!L438="","",IFERROR(VLOOKUP(Data!L438,Codes!$A$34:$B$36,2,FALSE()),"Invalid ("&amp;Data!L438&amp;")"))</f>
        <v>Flat</v>
      </c>
      <c r="M438" s="20" t="str">
        <f aca="false">IF(Data!M438="","",Data!M438)</f>
        <v/>
      </c>
      <c r="N438" s="28" t="str">
        <f aca="false">IF(Data!N438="","",IFERROR(VLOOKUP(Data!N438,Codes!$A$47:$B$49,2,FALSE()),"Invalid ("&amp;Data!N438&amp;")"))</f>
        <v/>
      </c>
      <c r="O438" s="28" t="str">
        <f aca="false">IF(Data!O438="","",IFERROR(VLOOKUP(Data!O438,Codes!$A$53:$B$57,2,FALSE()),"Invalid ("&amp;Data!O438&amp;")"))</f>
        <v>Disease (3)</v>
      </c>
      <c r="P438" s="22" t="str">
        <f aca="false">IF(Data!P438="","",IFERROR(VLOOKUP(Data!P438,Codes!$A$61:$B$64,2,FALSE()),"Invalid ("&amp;Data!P438&amp;")"))</f>
        <v>Hungarian Inst. of Cardiology, Budapest</v>
      </c>
    </row>
    <row r="439" customFormat="false" ht="15" hidden="false" customHeight="false" outlineLevel="0" collapsed="false">
      <c r="A439" s="19" t="n">
        <f aca="false">Data!A439</f>
        <v>438</v>
      </c>
      <c r="B439" s="20" t="n">
        <f aca="false">IF(Data!B439="","",Data!B439)</f>
        <v>61</v>
      </c>
      <c r="C439" s="28" t="str">
        <f aca="false">IF(Data!C439="","",IFERROR(VLOOKUP(Data!C439,Codes!$A$6:$B$7,2,FALSE()),"Invalid ("&amp;Data!C439&amp;")"))</f>
        <v>Female</v>
      </c>
      <c r="D439" s="28" t="str">
        <f aca="false">IF(Data!D439="","",IFERROR(VLOOKUP(Data!D439,Codes!$A$11:$B$14,2,FALSE()),"Invalid ("&amp;Data!D439&amp;")"))</f>
        <v>Asymptomatic</v>
      </c>
      <c r="E439" s="20" t="n">
        <f aca="false">IF(Data!E439="","",Data!E439)</f>
        <v>130</v>
      </c>
      <c r="F439" s="20" t="n">
        <f aca="false">IF(Data!F439="","",Data!F439)</f>
        <v>294</v>
      </c>
      <c r="G439" s="28" t="str">
        <f aca="false">IF(Data!G439="","",IFERROR(VLOOKUP(Data!G439,Codes!$A$18:$B$19,2,FALSE()),"Invalid ("&amp;Data!G439&amp;")"))</f>
        <v>No</v>
      </c>
      <c r="H439" s="28" t="str">
        <f aca="false">IF(Data!H439="","",IFERROR(VLOOKUP(Data!H439,Codes!$A$23:$B$25,2,FALSE()),"Invalid ("&amp;Data!H439&amp;")"))</f>
        <v>ST-T wave abnormality</v>
      </c>
      <c r="I439" s="20" t="n">
        <f aca="false">IF(Data!I439="","",Data!I439)</f>
        <v>120</v>
      </c>
      <c r="J439" s="28" t="str">
        <f aca="false">IF(Data!J439="","",IFERROR(VLOOKUP(Data!J439,Codes!$A$29:$B$30,2,FALSE()),"Invalid ("&amp;Data!J439&amp;")"))</f>
        <v>Yes</v>
      </c>
      <c r="K439" s="21" t="n">
        <f aca="false">IF(Data!K439="","",Data!K439)</f>
        <v>1</v>
      </c>
      <c r="L439" s="28" t="str">
        <f aca="false">IF(Data!L439="","",IFERROR(VLOOKUP(Data!L439,Codes!$A$34:$B$36,2,FALSE()),"Invalid ("&amp;Data!L439&amp;")"))</f>
        <v>Flat</v>
      </c>
      <c r="M439" s="20" t="str">
        <f aca="false">IF(Data!M439="","",Data!M439)</f>
        <v/>
      </c>
      <c r="N439" s="28" t="str">
        <f aca="false">IF(Data!N439="","",IFERROR(VLOOKUP(Data!N439,Codes!$A$47:$B$49,2,FALSE()),"Invalid ("&amp;Data!N439&amp;")"))</f>
        <v/>
      </c>
      <c r="O439" s="28" t="str">
        <f aca="false">IF(Data!O439="","",IFERROR(VLOOKUP(Data!O439,Codes!$A$53:$B$57,2,FALSE()),"Invalid ("&amp;Data!O439&amp;")"))</f>
        <v>No disease</v>
      </c>
      <c r="P439" s="22" t="str">
        <f aca="false">IF(Data!P439="","",IFERROR(VLOOKUP(Data!P439,Codes!$A$61:$B$64,2,FALSE()),"Invalid ("&amp;Data!P439&amp;")"))</f>
        <v>Hungarian Inst. of Cardiology, Budapest</v>
      </c>
    </row>
    <row r="440" customFormat="false" ht="15" hidden="false" customHeight="false" outlineLevel="0" collapsed="false">
      <c r="A440" s="19" t="n">
        <f aca="false">Data!A440</f>
        <v>439</v>
      </c>
      <c r="B440" s="20" t="n">
        <f aca="false">IF(Data!B440="","",Data!B440)</f>
        <v>49</v>
      </c>
      <c r="C440" s="28" t="str">
        <f aca="false">IF(Data!C440="","",IFERROR(VLOOKUP(Data!C440,Codes!$A$6:$B$7,2,FALSE()),"Invalid ("&amp;Data!C440&amp;")"))</f>
        <v>Male</v>
      </c>
      <c r="D440" s="28" t="str">
        <f aca="false">IF(Data!D440="","",IFERROR(VLOOKUP(Data!D440,Codes!$A$11:$B$14,2,FALSE()),"Invalid ("&amp;Data!D440&amp;")"))</f>
        <v>Non-anginal pain</v>
      </c>
      <c r="E440" s="20" t="n">
        <f aca="false">IF(Data!E440="","",Data!E440)</f>
        <v>115</v>
      </c>
      <c r="F440" s="20" t="n">
        <f aca="false">IF(Data!F440="","",Data!F440)</f>
        <v>265</v>
      </c>
      <c r="G440" s="28" t="str">
        <f aca="false">IF(Data!G440="","",IFERROR(VLOOKUP(Data!G440,Codes!$A$18:$B$19,2,FALSE()),"Invalid ("&amp;Data!G440&amp;")"))</f>
        <v>No</v>
      </c>
      <c r="H440" s="28" t="str">
        <f aca="false">IF(Data!H440="","",IFERROR(VLOOKUP(Data!H440,Codes!$A$23:$B$25,2,FALSE()),"Invalid ("&amp;Data!H440&amp;")"))</f>
        <v>Normal</v>
      </c>
      <c r="I440" s="20" t="n">
        <f aca="false">IF(Data!I440="","",Data!I440)</f>
        <v>175</v>
      </c>
      <c r="J440" s="28" t="str">
        <f aca="false">IF(Data!J440="","",IFERROR(VLOOKUP(Data!J440,Codes!$A$29:$B$30,2,FALSE()),"Invalid ("&amp;Data!J440&amp;")"))</f>
        <v>No</v>
      </c>
      <c r="K440" s="21" t="n">
        <f aca="false">IF(Data!K440="","",Data!K440)</f>
        <v>0</v>
      </c>
      <c r="L440" s="28" t="str">
        <f aca="false">IF(Data!L440="","",IFERROR(VLOOKUP(Data!L440,Codes!$A$34:$B$36,2,FALSE()),"Invalid ("&amp;Data!L440&amp;")"))</f>
        <v/>
      </c>
      <c r="M440" s="20" t="str">
        <f aca="false">IF(Data!M440="","",Data!M440)</f>
        <v/>
      </c>
      <c r="N440" s="28" t="str">
        <f aca="false">IF(Data!N440="","",IFERROR(VLOOKUP(Data!N440,Codes!$A$47:$B$49,2,FALSE()),"Invalid ("&amp;Data!N440&amp;")"))</f>
        <v/>
      </c>
      <c r="O440" s="28" t="str">
        <f aca="false">IF(Data!O440="","",IFERROR(VLOOKUP(Data!O440,Codes!$A$53:$B$57,2,FALSE()),"Invalid ("&amp;Data!O440&amp;")"))</f>
        <v>Disease (1)</v>
      </c>
      <c r="P440" s="22" t="str">
        <f aca="false">IF(Data!P440="","",IFERROR(VLOOKUP(Data!P440,Codes!$A$61:$B$64,2,FALSE()),"Invalid ("&amp;Data!P440&amp;")"))</f>
        <v>Hungarian Inst. of Cardiology, Budapest</v>
      </c>
    </row>
    <row r="441" customFormat="false" ht="15" hidden="false" customHeight="false" outlineLevel="0" collapsed="false">
      <c r="A441" s="19" t="n">
        <f aca="false">Data!A441</f>
        <v>440</v>
      </c>
      <c r="B441" s="20" t="n">
        <f aca="false">IF(Data!B441="","",Data!B441)</f>
        <v>43</v>
      </c>
      <c r="C441" s="28" t="str">
        <f aca="false">IF(Data!C441="","",IFERROR(VLOOKUP(Data!C441,Codes!$A$6:$B$7,2,FALSE()),"Invalid ("&amp;Data!C441&amp;")"))</f>
        <v>Female</v>
      </c>
      <c r="D441" s="28" t="str">
        <f aca="false">IF(Data!D441="","",IFERROR(VLOOKUP(Data!D441,Codes!$A$11:$B$14,2,FALSE()),"Invalid ("&amp;Data!D441&amp;")"))</f>
        <v>Atypical angina</v>
      </c>
      <c r="E441" s="20" t="n">
        <f aca="false">IF(Data!E441="","",Data!E441)</f>
        <v>120</v>
      </c>
      <c r="F441" s="20" t="n">
        <f aca="false">IF(Data!F441="","",Data!F441)</f>
        <v>215</v>
      </c>
      <c r="G441" s="28" t="str">
        <f aca="false">IF(Data!G441="","",IFERROR(VLOOKUP(Data!G441,Codes!$A$18:$B$19,2,FALSE()),"Invalid ("&amp;Data!G441&amp;")"))</f>
        <v>No</v>
      </c>
      <c r="H441" s="28" t="str">
        <f aca="false">IF(Data!H441="","",IFERROR(VLOOKUP(Data!H441,Codes!$A$23:$B$25,2,FALSE()),"Invalid ("&amp;Data!H441&amp;")"))</f>
        <v>ST-T wave abnormality</v>
      </c>
      <c r="I441" s="20" t="n">
        <f aca="false">IF(Data!I441="","",Data!I441)</f>
        <v>175</v>
      </c>
      <c r="J441" s="28" t="str">
        <f aca="false">IF(Data!J441="","",IFERROR(VLOOKUP(Data!J441,Codes!$A$29:$B$30,2,FALSE()),"Invalid ("&amp;Data!J441&amp;")"))</f>
        <v>No</v>
      </c>
      <c r="K441" s="21" t="n">
        <f aca="false">IF(Data!K441="","",Data!K441)</f>
        <v>0</v>
      </c>
      <c r="L441" s="28" t="str">
        <f aca="false">IF(Data!L441="","",IFERROR(VLOOKUP(Data!L441,Codes!$A$34:$B$36,2,FALSE()),"Invalid ("&amp;Data!L441&amp;")"))</f>
        <v/>
      </c>
      <c r="M441" s="20" t="str">
        <f aca="false">IF(Data!M441="","",Data!M441)</f>
        <v/>
      </c>
      <c r="N441" s="28" t="str">
        <f aca="false">IF(Data!N441="","",IFERROR(VLOOKUP(Data!N441,Codes!$A$47:$B$49,2,FALSE()),"Invalid ("&amp;Data!N441&amp;")"))</f>
        <v/>
      </c>
      <c r="O441" s="28" t="str">
        <f aca="false">IF(Data!O441="","",IFERROR(VLOOKUP(Data!O441,Codes!$A$53:$B$57,2,FALSE()),"Invalid ("&amp;Data!O441&amp;")"))</f>
        <v>No disease</v>
      </c>
      <c r="P441" s="22" t="str">
        <f aca="false">IF(Data!P441="","",IFERROR(VLOOKUP(Data!P441,Codes!$A$61:$B$64,2,FALSE()),"Invalid ("&amp;Data!P441&amp;")"))</f>
        <v>Hungarian Inst. of Cardiology, Budapest</v>
      </c>
    </row>
    <row r="442" customFormat="false" ht="15" hidden="false" customHeight="false" outlineLevel="0" collapsed="false">
      <c r="A442" s="19" t="n">
        <f aca="false">Data!A442</f>
        <v>441</v>
      </c>
      <c r="B442" s="20" t="n">
        <f aca="false">IF(Data!B442="","",Data!B442)</f>
        <v>39</v>
      </c>
      <c r="C442" s="28" t="str">
        <f aca="false">IF(Data!C442="","",IFERROR(VLOOKUP(Data!C442,Codes!$A$6:$B$7,2,FALSE()),"Invalid ("&amp;Data!C442&amp;")"))</f>
        <v>Male</v>
      </c>
      <c r="D442" s="28" t="str">
        <f aca="false">IF(Data!D442="","",IFERROR(VLOOKUP(Data!D442,Codes!$A$11:$B$14,2,FALSE()),"Invalid ("&amp;Data!D442&amp;")"))</f>
        <v>Atypical angina</v>
      </c>
      <c r="E442" s="20" t="n">
        <f aca="false">IF(Data!E442="","",Data!E442)</f>
        <v>120</v>
      </c>
      <c r="F442" s="20" t="str">
        <f aca="false">IF(Data!F442="","",Data!F442)</f>
        <v/>
      </c>
      <c r="G442" s="28" t="str">
        <f aca="false">IF(Data!G442="","",IFERROR(VLOOKUP(Data!G442,Codes!$A$18:$B$19,2,FALSE()),"Invalid ("&amp;Data!G442&amp;")"))</f>
        <v>No</v>
      </c>
      <c r="H442" s="28" t="str">
        <f aca="false">IF(Data!H442="","",IFERROR(VLOOKUP(Data!H442,Codes!$A$23:$B$25,2,FALSE()),"Invalid ("&amp;Data!H442&amp;")"))</f>
        <v>ST-T wave abnormality</v>
      </c>
      <c r="I442" s="20" t="n">
        <f aca="false">IF(Data!I442="","",Data!I442)</f>
        <v>146</v>
      </c>
      <c r="J442" s="28" t="str">
        <f aca="false">IF(Data!J442="","",IFERROR(VLOOKUP(Data!J442,Codes!$A$29:$B$30,2,FALSE()),"Invalid ("&amp;Data!J442&amp;")"))</f>
        <v>No</v>
      </c>
      <c r="K442" s="21" t="n">
        <f aca="false">IF(Data!K442="","",Data!K442)</f>
        <v>2</v>
      </c>
      <c r="L442" s="28" t="str">
        <f aca="false">IF(Data!L442="","",IFERROR(VLOOKUP(Data!L442,Codes!$A$34:$B$36,2,FALSE()),"Invalid ("&amp;Data!L442&amp;")"))</f>
        <v>Upsloping</v>
      </c>
      <c r="M442" s="20" t="str">
        <f aca="false">IF(Data!M442="","",Data!M442)</f>
        <v/>
      </c>
      <c r="N442" s="28" t="str">
        <f aca="false">IF(Data!N442="","",IFERROR(VLOOKUP(Data!N442,Codes!$A$47:$B$49,2,FALSE()),"Invalid ("&amp;Data!N442&amp;")"))</f>
        <v/>
      </c>
      <c r="O442" s="28" t="str">
        <f aca="false">IF(Data!O442="","",IFERROR(VLOOKUP(Data!O442,Codes!$A$53:$B$57,2,FALSE()),"Invalid ("&amp;Data!O442&amp;")"))</f>
        <v>No disease</v>
      </c>
      <c r="P442" s="22" t="str">
        <f aca="false">IF(Data!P442="","",IFERROR(VLOOKUP(Data!P442,Codes!$A$61:$B$64,2,FALSE()),"Invalid ("&amp;Data!P442&amp;")"))</f>
        <v>Hungarian Inst. of Cardiology, Budapest</v>
      </c>
    </row>
    <row r="443" customFormat="false" ht="15" hidden="false" customHeight="false" outlineLevel="0" collapsed="false">
      <c r="A443" s="19" t="n">
        <f aca="false">Data!A443</f>
        <v>442</v>
      </c>
      <c r="B443" s="20" t="n">
        <f aca="false">IF(Data!B443="","",Data!B443)</f>
        <v>54</v>
      </c>
      <c r="C443" s="28" t="str">
        <f aca="false">IF(Data!C443="","",IFERROR(VLOOKUP(Data!C443,Codes!$A$6:$B$7,2,FALSE()),"Invalid ("&amp;Data!C443&amp;")"))</f>
        <v>Male</v>
      </c>
      <c r="D443" s="28" t="str">
        <f aca="false">IF(Data!D443="","",IFERROR(VLOOKUP(Data!D443,Codes!$A$11:$B$14,2,FALSE()),"Invalid ("&amp;Data!D443&amp;")"))</f>
        <v>Asymptomatic</v>
      </c>
      <c r="E443" s="20" t="n">
        <f aca="false">IF(Data!E443="","",Data!E443)</f>
        <v>140</v>
      </c>
      <c r="F443" s="20" t="str">
        <f aca="false">IF(Data!F443="","",Data!F443)</f>
        <v/>
      </c>
      <c r="G443" s="28" t="str">
        <f aca="false">IF(Data!G443="","",IFERROR(VLOOKUP(Data!G443,Codes!$A$18:$B$19,2,FALSE()),"Invalid ("&amp;Data!G443&amp;")"))</f>
        <v>No</v>
      </c>
      <c r="H443" s="28" t="str">
        <f aca="false">IF(Data!H443="","",IFERROR(VLOOKUP(Data!H443,Codes!$A$23:$B$25,2,FALSE()),"Invalid ("&amp;Data!H443&amp;")"))</f>
        <v>Normal</v>
      </c>
      <c r="I443" s="20" t="n">
        <f aca="false">IF(Data!I443="","",Data!I443)</f>
        <v>118</v>
      </c>
      <c r="J443" s="28" t="str">
        <f aca="false">IF(Data!J443="","",IFERROR(VLOOKUP(Data!J443,Codes!$A$29:$B$30,2,FALSE()),"Invalid ("&amp;Data!J443&amp;")"))</f>
        <v>Yes</v>
      </c>
      <c r="K443" s="21" t="n">
        <f aca="false">IF(Data!K443="","",Data!K443)</f>
        <v>0</v>
      </c>
      <c r="L443" s="28" t="str">
        <f aca="false">IF(Data!L443="","",IFERROR(VLOOKUP(Data!L443,Codes!$A$34:$B$36,2,FALSE()),"Invalid ("&amp;Data!L443&amp;")"))</f>
        <v/>
      </c>
      <c r="M443" s="20" t="str">
        <f aca="false">IF(Data!M443="","",Data!M443)</f>
        <v/>
      </c>
      <c r="N443" s="28" t="str">
        <f aca="false">IF(Data!N443="","",IFERROR(VLOOKUP(Data!N443,Codes!$A$47:$B$49,2,FALSE()),"Invalid ("&amp;Data!N443&amp;")"))</f>
        <v/>
      </c>
      <c r="O443" s="28" t="str">
        <f aca="false">IF(Data!O443="","",IFERROR(VLOOKUP(Data!O443,Codes!$A$53:$B$57,2,FALSE()),"Invalid ("&amp;Data!O443&amp;")"))</f>
        <v>Disease (2)</v>
      </c>
      <c r="P443" s="22" t="str">
        <f aca="false">IF(Data!P443="","",IFERROR(VLOOKUP(Data!P443,Codes!$A$61:$B$64,2,FALSE()),"Invalid ("&amp;Data!P443&amp;")"))</f>
        <v>Hungarian Inst. of Cardiology, Budapest</v>
      </c>
    </row>
    <row r="444" customFormat="false" ht="15" hidden="false" customHeight="false" outlineLevel="0" collapsed="false">
      <c r="A444" s="19" t="n">
        <f aca="false">Data!A444</f>
        <v>443</v>
      </c>
      <c r="B444" s="20" t="n">
        <f aca="false">IF(Data!B444="","",Data!B444)</f>
        <v>43</v>
      </c>
      <c r="C444" s="28" t="str">
        <f aca="false">IF(Data!C444="","",IFERROR(VLOOKUP(Data!C444,Codes!$A$6:$B$7,2,FALSE()),"Invalid ("&amp;Data!C444&amp;")"))</f>
        <v>Male</v>
      </c>
      <c r="D444" s="28" t="str">
        <f aca="false">IF(Data!D444="","",IFERROR(VLOOKUP(Data!D444,Codes!$A$11:$B$14,2,FALSE()),"Invalid ("&amp;Data!D444&amp;")"))</f>
        <v>Asymptomatic</v>
      </c>
      <c r="E444" s="20" t="n">
        <f aca="false">IF(Data!E444="","",Data!E444)</f>
        <v>150</v>
      </c>
      <c r="F444" s="20" t="n">
        <f aca="false">IF(Data!F444="","",Data!F444)</f>
        <v>247</v>
      </c>
      <c r="G444" s="28" t="str">
        <f aca="false">IF(Data!G444="","",IFERROR(VLOOKUP(Data!G444,Codes!$A$18:$B$19,2,FALSE()),"Invalid ("&amp;Data!G444&amp;")"))</f>
        <v>No</v>
      </c>
      <c r="H444" s="28" t="str">
        <f aca="false">IF(Data!H444="","",IFERROR(VLOOKUP(Data!H444,Codes!$A$23:$B$25,2,FALSE()),"Invalid ("&amp;Data!H444&amp;")"))</f>
        <v>Normal</v>
      </c>
      <c r="I444" s="20" t="n">
        <f aca="false">IF(Data!I444="","",Data!I444)</f>
        <v>130</v>
      </c>
      <c r="J444" s="28" t="str">
        <f aca="false">IF(Data!J444="","",IFERROR(VLOOKUP(Data!J444,Codes!$A$29:$B$30,2,FALSE()),"Invalid ("&amp;Data!J444&amp;")"))</f>
        <v>Yes</v>
      </c>
      <c r="K444" s="21" t="n">
        <f aca="false">IF(Data!K444="","",Data!K444)</f>
        <v>2</v>
      </c>
      <c r="L444" s="28" t="str">
        <f aca="false">IF(Data!L444="","",IFERROR(VLOOKUP(Data!L444,Codes!$A$34:$B$36,2,FALSE()),"Invalid ("&amp;Data!L444&amp;")"))</f>
        <v>Flat</v>
      </c>
      <c r="M444" s="20" t="str">
        <f aca="false">IF(Data!M444="","",Data!M444)</f>
        <v/>
      </c>
      <c r="N444" s="28" t="str">
        <f aca="false">IF(Data!N444="","",IFERROR(VLOOKUP(Data!N444,Codes!$A$47:$B$49,2,FALSE()),"Invalid ("&amp;Data!N444&amp;")"))</f>
        <v/>
      </c>
      <c r="O444" s="28" t="str">
        <f aca="false">IF(Data!O444="","",IFERROR(VLOOKUP(Data!O444,Codes!$A$53:$B$57,2,FALSE()),"Invalid ("&amp;Data!O444&amp;")"))</f>
        <v>Disease (1)</v>
      </c>
      <c r="P444" s="22" t="str">
        <f aca="false">IF(Data!P444="","",IFERROR(VLOOKUP(Data!P444,Codes!$A$61:$B$64,2,FALSE()),"Invalid ("&amp;Data!P444&amp;")"))</f>
        <v>Hungarian Inst. of Cardiology, Budapest</v>
      </c>
    </row>
    <row r="445" customFormat="false" ht="15" hidden="false" customHeight="false" outlineLevel="0" collapsed="false">
      <c r="A445" s="19" t="n">
        <f aca="false">Data!A445</f>
        <v>444</v>
      </c>
      <c r="B445" s="20" t="n">
        <f aca="false">IF(Data!B445="","",Data!B445)</f>
        <v>52</v>
      </c>
      <c r="C445" s="28" t="str">
        <f aca="false">IF(Data!C445="","",IFERROR(VLOOKUP(Data!C445,Codes!$A$6:$B$7,2,FALSE()),"Invalid ("&amp;Data!C445&amp;")"))</f>
        <v>Male</v>
      </c>
      <c r="D445" s="28" t="str">
        <f aca="false">IF(Data!D445="","",IFERROR(VLOOKUP(Data!D445,Codes!$A$11:$B$14,2,FALSE()),"Invalid ("&amp;Data!D445&amp;")"))</f>
        <v>Asymptomatic</v>
      </c>
      <c r="E445" s="20" t="n">
        <f aca="false">IF(Data!E445="","",Data!E445)</f>
        <v>160</v>
      </c>
      <c r="F445" s="20" t="n">
        <f aca="false">IF(Data!F445="","",Data!F445)</f>
        <v>331</v>
      </c>
      <c r="G445" s="28" t="str">
        <f aca="false">IF(Data!G445="","",IFERROR(VLOOKUP(Data!G445,Codes!$A$18:$B$19,2,FALSE()),"Invalid ("&amp;Data!G445&amp;")"))</f>
        <v>No</v>
      </c>
      <c r="H445" s="28" t="str">
        <f aca="false">IF(Data!H445="","",IFERROR(VLOOKUP(Data!H445,Codes!$A$23:$B$25,2,FALSE()),"Invalid ("&amp;Data!H445&amp;")"))</f>
        <v>Normal</v>
      </c>
      <c r="I445" s="20" t="n">
        <f aca="false">IF(Data!I445="","",Data!I445)</f>
        <v>94</v>
      </c>
      <c r="J445" s="28" t="str">
        <f aca="false">IF(Data!J445="","",IFERROR(VLOOKUP(Data!J445,Codes!$A$29:$B$30,2,FALSE()),"Invalid ("&amp;Data!J445&amp;")"))</f>
        <v>Yes</v>
      </c>
      <c r="K445" s="21" t="n">
        <f aca="false">IF(Data!K445="","",Data!K445)</f>
        <v>2.5</v>
      </c>
      <c r="L445" s="28" t="str">
        <f aca="false">IF(Data!L445="","",IFERROR(VLOOKUP(Data!L445,Codes!$A$34:$B$36,2,FALSE()),"Invalid ("&amp;Data!L445&amp;")"))</f>
        <v/>
      </c>
      <c r="M445" s="20" t="str">
        <f aca="false">IF(Data!M445="","",Data!M445)</f>
        <v/>
      </c>
      <c r="N445" s="28" t="str">
        <f aca="false">IF(Data!N445="","",IFERROR(VLOOKUP(Data!N445,Codes!$A$47:$B$49,2,FALSE()),"Invalid ("&amp;Data!N445&amp;")"))</f>
        <v/>
      </c>
      <c r="O445" s="28" t="str">
        <f aca="false">IF(Data!O445="","",IFERROR(VLOOKUP(Data!O445,Codes!$A$53:$B$57,2,FALSE()),"Invalid ("&amp;Data!O445&amp;")"))</f>
        <v>Disease (4)</v>
      </c>
      <c r="P445" s="22" t="str">
        <f aca="false">IF(Data!P445="","",IFERROR(VLOOKUP(Data!P445,Codes!$A$61:$B$64,2,FALSE()),"Invalid ("&amp;Data!P445&amp;")"))</f>
        <v>Hungarian Inst. of Cardiology, Budapest</v>
      </c>
    </row>
    <row r="446" customFormat="false" ht="15" hidden="false" customHeight="false" outlineLevel="0" collapsed="false">
      <c r="A446" s="19" t="n">
        <f aca="false">Data!A446</f>
        <v>445</v>
      </c>
      <c r="B446" s="20" t="n">
        <f aca="false">IF(Data!B446="","",Data!B446)</f>
        <v>50</v>
      </c>
      <c r="C446" s="28" t="str">
        <f aca="false">IF(Data!C446="","",IFERROR(VLOOKUP(Data!C446,Codes!$A$6:$B$7,2,FALSE()),"Invalid ("&amp;Data!C446&amp;")"))</f>
        <v>Male</v>
      </c>
      <c r="D446" s="28" t="str">
        <f aca="false">IF(Data!D446="","",IFERROR(VLOOKUP(Data!D446,Codes!$A$11:$B$14,2,FALSE()),"Invalid ("&amp;Data!D446&amp;")"))</f>
        <v>Asymptomatic</v>
      </c>
      <c r="E446" s="20" t="n">
        <f aca="false">IF(Data!E446="","",Data!E446)</f>
        <v>140</v>
      </c>
      <c r="F446" s="20" t="n">
        <f aca="false">IF(Data!F446="","",Data!F446)</f>
        <v>341</v>
      </c>
      <c r="G446" s="28" t="str">
        <f aca="false">IF(Data!G446="","",IFERROR(VLOOKUP(Data!G446,Codes!$A$18:$B$19,2,FALSE()),"Invalid ("&amp;Data!G446&amp;")"))</f>
        <v>No</v>
      </c>
      <c r="H446" s="28" t="str">
        <f aca="false">IF(Data!H446="","",IFERROR(VLOOKUP(Data!H446,Codes!$A$23:$B$25,2,FALSE()),"Invalid ("&amp;Data!H446&amp;")"))</f>
        <v>ST-T wave abnormality</v>
      </c>
      <c r="I446" s="20" t="n">
        <f aca="false">IF(Data!I446="","",Data!I446)</f>
        <v>125</v>
      </c>
      <c r="J446" s="28" t="str">
        <f aca="false">IF(Data!J446="","",IFERROR(VLOOKUP(Data!J446,Codes!$A$29:$B$30,2,FALSE()),"Invalid ("&amp;Data!J446&amp;")"))</f>
        <v>Yes</v>
      </c>
      <c r="K446" s="21" t="n">
        <f aca="false">IF(Data!K446="","",Data!K446)</f>
        <v>2.5</v>
      </c>
      <c r="L446" s="28" t="str">
        <f aca="false">IF(Data!L446="","",IFERROR(VLOOKUP(Data!L446,Codes!$A$34:$B$36,2,FALSE()),"Invalid ("&amp;Data!L446&amp;")"))</f>
        <v>Flat</v>
      </c>
      <c r="M446" s="20" t="str">
        <f aca="false">IF(Data!M446="","",Data!M446)</f>
        <v/>
      </c>
      <c r="N446" s="28" t="str">
        <f aca="false">IF(Data!N446="","",IFERROR(VLOOKUP(Data!N446,Codes!$A$47:$B$49,2,FALSE()),"Invalid ("&amp;Data!N446&amp;")"))</f>
        <v/>
      </c>
      <c r="O446" s="28" t="str">
        <f aca="false">IF(Data!O446="","",IFERROR(VLOOKUP(Data!O446,Codes!$A$53:$B$57,2,FALSE()),"Invalid ("&amp;Data!O446&amp;")"))</f>
        <v>Disease (4)</v>
      </c>
      <c r="P446" s="22" t="str">
        <f aca="false">IF(Data!P446="","",IFERROR(VLOOKUP(Data!P446,Codes!$A$61:$B$64,2,FALSE()),"Invalid ("&amp;Data!P446&amp;")"))</f>
        <v>Hungarian Inst. of Cardiology, Budapest</v>
      </c>
    </row>
    <row r="447" customFormat="false" ht="15" hidden="false" customHeight="false" outlineLevel="0" collapsed="false">
      <c r="A447" s="19" t="n">
        <f aca="false">Data!A447</f>
        <v>446</v>
      </c>
      <c r="B447" s="20" t="n">
        <f aca="false">IF(Data!B447="","",Data!B447)</f>
        <v>47</v>
      </c>
      <c r="C447" s="28" t="str">
        <f aca="false">IF(Data!C447="","",IFERROR(VLOOKUP(Data!C447,Codes!$A$6:$B$7,2,FALSE()),"Invalid ("&amp;Data!C447&amp;")"))</f>
        <v>Male</v>
      </c>
      <c r="D447" s="28" t="str">
        <f aca="false">IF(Data!D447="","",IFERROR(VLOOKUP(Data!D447,Codes!$A$11:$B$14,2,FALSE()),"Invalid ("&amp;Data!D447&amp;")"))</f>
        <v>Asymptomatic</v>
      </c>
      <c r="E447" s="20" t="n">
        <f aca="false">IF(Data!E447="","",Data!E447)</f>
        <v>160</v>
      </c>
      <c r="F447" s="20" t="n">
        <f aca="false">IF(Data!F447="","",Data!F447)</f>
        <v>291</v>
      </c>
      <c r="G447" s="28" t="str">
        <f aca="false">IF(Data!G447="","",IFERROR(VLOOKUP(Data!G447,Codes!$A$18:$B$19,2,FALSE()),"Invalid ("&amp;Data!G447&amp;")"))</f>
        <v>No</v>
      </c>
      <c r="H447" s="28" t="str">
        <f aca="false">IF(Data!H447="","",IFERROR(VLOOKUP(Data!H447,Codes!$A$23:$B$25,2,FALSE()),"Invalid ("&amp;Data!H447&amp;")"))</f>
        <v>ST-T wave abnormality</v>
      </c>
      <c r="I447" s="20" t="n">
        <f aca="false">IF(Data!I447="","",Data!I447)</f>
        <v>158</v>
      </c>
      <c r="J447" s="28" t="str">
        <f aca="false">IF(Data!J447="","",IFERROR(VLOOKUP(Data!J447,Codes!$A$29:$B$30,2,FALSE()),"Invalid ("&amp;Data!J447&amp;")"))</f>
        <v>Yes</v>
      </c>
      <c r="K447" s="21" t="n">
        <f aca="false">IF(Data!K447="","",Data!K447)</f>
        <v>3</v>
      </c>
      <c r="L447" s="28" t="str">
        <f aca="false">IF(Data!L447="","",IFERROR(VLOOKUP(Data!L447,Codes!$A$34:$B$36,2,FALSE()),"Invalid ("&amp;Data!L447&amp;")"))</f>
        <v>Flat</v>
      </c>
      <c r="M447" s="20" t="str">
        <f aca="false">IF(Data!M447="","",Data!M447)</f>
        <v/>
      </c>
      <c r="N447" s="28" t="str">
        <f aca="false">IF(Data!N447="","",IFERROR(VLOOKUP(Data!N447,Codes!$A$47:$B$49,2,FALSE()),"Invalid ("&amp;Data!N447&amp;")"))</f>
        <v/>
      </c>
      <c r="O447" s="28" t="str">
        <f aca="false">IF(Data!O447="","",IFERROR(VLOOKUP(Data!O447,Codes!$A$53:$B$57,2,FALSE()),"Invalid ("&amp;Data!O447&amp;")"))</f>
        <v>Disease (4)</v>
      </c>
      <c r="P447" s="22" t="str">
        <f aca="false">IF(Data!P447="","",IFERROR(VLOOKUP(Data!P447,Codes!$A$61:$B$64,2,FALSE()),"Invalid ("&amp;Data!P447&amp;")"))</f>
        <v>Hungarian Inst. of Cardiology, Budapest</v>
      </c>
    </row>
    <row r="448" customFormat="false" ht="15" hidden="false" customHeight="false" outlineLevel="0" collapsed="false">
      <c r="A448" s="19" t="n">
        <f aca="false">Data!A448</f>
        <v>447</v>
      </c>
      <c r="B448" s="20" t="n">
        <f aca="false">IF(Data!B448="","",Data!B448)</f>
        <v>53</v>
      </c>
      <c r="C448" s="28" t="str">
        <f aca="false">IF(Data!C448="","",IFERROR(VLOOKUP(Data!C448,Codes!$A$6:$B$7,2,FALSE()),"Invalid ("&amp;Data!C448&amp;")"))</f>
        <v>Male</v>
      </c>
      <c r="D448" s="28" t="str">
        <f aca="false">IF(Data!D448="","",IFERROR(VLOOKUP(Data!D448,Codes!$A$11:$B$14,2,FALSE()),"Invalid ("&amp;Data!D448&amp;")"))</f>
        <v>Asymptomatic</v>
      </c>
      <c r="E448" s="20" t="n">
        <f aca="false">IF(Data!E448="","",Data!E448)</f>
        <v>140</v>
      </c>
      <c r="F448" s="20" t="n">
        <f aca="false">IF(Data!F448="","",Data!F448)</f>
        <v>243</v>
      </c>
      <c r="G448" s="28" t="str">
        <f aca="false">IF(Data!G448="","",IFERROR(VLOOKUP(Data!G448,Codes!$A$18:$B$19,2,FALSE()),"Invalid ("&amp;Data!G448&amp;")"))</f>
        <v>No</v>
      </c>
      <c r="H448" s="28" t="str">
        <f aca="false">IF(Data!H448="","",IFERROR(VLOOKUP(Data!H448,Codes!$A$23:$B$25,2,FALSE()),"Invalid ("&amp;Data!H448&amp;")"))</f>
        <v>Normal</v>
      </c>
      <c r="I448" s="20" t="n">
        <f aca="false">IF(Data!I448="","",Data!I448)</f>
        <v>155</v>
      </c>
      <c r="J448" s="28" t="str">
        <f aca="false">IF(Data!J448="","",IFERROR(VLOOKUP(Data!J448,Codes!$A$29:$B$30,2,FALSE()),"Invalid ("&amp;Data!J448&amp;")"))</f>
        <v>No</v>
      </c>
      <c r="K448" s="21" t="n">
        <f aca="false">IF(Data!K448="","",Data!K448)</f>
        <v>0</v>
      </c>
      <c r="L448" s="28" t="str">
        <f aca="false">IF(Data!L448="","",IFERROR(VLOOKUP(Data!L448,Codes!$A$34:$B$36,2,FALSE()),"Invalid ("&amp;Data!L448&amp;")"))</f>
        <v/>
      </c>
      <c r="M448" s="20" t="str">
        <f aca="false">IF(Data!M448="","",Data!M448)</f>
        <v/>
      </c>
      <c r="N448" s="28" t="str">
        <f aca="false">IF(Data!N448="","",IFERROR(VLOOKUP(Data!N448,Codes!$A$47:$B$49,2,FALSE()),"Invalid ("&amp;Data!N448&amp;")"))</f>
        <v/>
      </c>
      <c r="O448" s="28" t="str">
        <f aca="false">IF(Data!O448="","",IFERROR(VLOOKUP(Data!O448,Codes!$A$53:$B$57,2,FALSE()),"Invalid ("&amp;Data!O448&amp;")"))</f>
        <v>No disease</v>
      </c>
      <c r="P448" s="22" t="str">
        <f aca="false">IF(Data!P448="","",IFERROR(VLOOKUP(Data!P448,Codes!$A$61:$B$64,2,FALSE()),"Invalid ("&amp;Data!P448&amp;")"))</f>
        <v>Hungarian Inst. of Cardiology, Budapest</v>
      </c>
    </row>
    <row r="449" customFormat="false" ht="15" hidden="false" customHeight="false" outlineLevel="0" collapsed="false">
      <c r="A449" s="19" t="n">
        <f aca="false">Data!A449</f>
        <v>448</v>
      </c>
      <c r="B449" s="20" t="n">
        <f aca="false">IF(Data!B449="","",Data!B449)</f>
        <v>56</v>
      </c>
      <c r="C449" s="28" t="str">
        <f aca="false">IF(Data!C449="","",IFERROR(VLOOKUP(Data!C449,Codes!$A$6:$B$7,2,FALSE()),"Invalid ("&amp;Data!C449&amp;")"))</f>
        <v>Female</v>
      </c>
      <c r="D449" s="28" t="str">
        <f aca="false">IF(Data!D449="","",IFERROR(VLOOKUP(Data!D449,Codes!$A$11:$B$14,2,FALSE()),"Invalid ("&amp;Data!D449&amp;")"))</f>
        <v>Atypical angina</v>
      </c>
      <c r="E449" s="20" t="n">
        <f aca="false">IF(Data!E449="","",Data!E449)</f>
        <v>120</v>
      </c>
      <c r="F449" s="20" t="n">
        <f aca="false">IF(Data!F449="","",Data!F449)</f>
        <v>279</v>
      </c>
      <c r="G449" s="28" t="str">
        <f aca="false">IF(Data!G449="","",IFERROR(VLOOKUP(Data!G449,Codes!$A$18:$B$19,2,FALSE()),"Invalid ("&amp;Data!G449&amp;")"))</f>
        <v>No</v>
      </c>
      <c r="H449" s="28" t="str">
        <f aca="false">IF(Data!H449="","",IFERROR(VLOOKUP(Data!H449,Codes!$A$23:$B$25,2,FALSE()),"Invalid ("&amp;Data!H449&amp;")"))</f>
        <v>Normal</v>
      </c>
      <c r="I449" s="20" t="n">
        <f aca="false">IF(Data!I449="","",Data!I449)</f>
        <v>150</v>
      </c>
      <c r="J449" s="28" t="str">
        <f aca="false">IF(Data!J449="","",IFERROR(VLOOKUP(Data!J449,Codes!$A$29:$B$30,2,FALSE()),"Invalid ("&amp;Data!J449&amp;")"))</f>
        <v>No</v>
      </c>
      <c r="K449" s="21" t="n">
        <f aca="false">IF(Data!K449="","",Data!K449)</f>
        <v>1</v>
      </c>
      <c r="L449" s="28" t="str">
        <f aca="false">IF(Data!L449="","",IFERROR(VLOOKUP(Data!L449,Codes!$A$34:$B$36,2,FALSE()),"Invalid ("&amp;Data!L449&amp;")"))</f>
        <v>Flat</v>
      </c>
      <c r="M449" s="20" t="str">
        <f aca="false">IF(Data!M449="","",Data!M449)</f>
        <v/>
      </c>
      <c r="N449" s="28" t="str">
        <f aca="false">IF(Data!N449="","",IFERROR(VLOOKUP(Data!N449,Codes!$A$47:$B$49,2,FALSE()),"Invalid ("&amp;Data!N449&amp;")"))</f>
        <v/>
      </c>
      <c r="O449" s="28" t="str">
        <f aca="false">IF(Data!O449="","",IFERROR(VLOOKUP(Data!O449,Codes!$A$53:$B$57,2,FALSE()),"Invalid ("&amp;Data!O449&amp;")"))</f>
        <v>Disease (3)</v>
      </c>
      <c r="P449" s="22" t="str">
        <f aca="false">IF(Data!P449="","",IFERROR(VLOOKUP(Data!P449,Codes!$A$61:$B$64,2,FALSE()),"Invalid ("&amp;Data!P449&amp;")"))</f>
        <v>Hungarian Inst. of Cardiology, Budapest</v>
      </c>
    </row>
    <row r="450" customFormat="false" ht="15" hidden="false" customHeight="false" outlineLevel="0" collapsed="false">
      <c r="A450" s="19" t="n">
        <f aca="false">Data!A450</f>
        <v>449</v>
      </c>
      <c r="B450" s="20" t="n">
        <f aca="false">IF(Data!B450="","",Data!B450)</f>
        <v>39</v>
      </c>
      <c r="C450" s="28" t="str">
        <f aca="false">IF(Data!C450="","",IFERROR(VLOOKUP(Data!C450,Codes!$A$6:$B$7,2,FALSE()),"Invalid ("&amp;Data!C450&amp;")"))</f>
        <v>Male</v>
      </c>
      <c r="D450" s="28" t="str">
        <f aca="false">IF(Data!D450="","",IFERROR(VLOOKUP(Data!D450,Codes!$A$11:$B$14,2,FALSE()),"Invalid ("&amp;Data!D450&amp;")"))</f>
        <v>Asymptomatic</v>
      </c>
      <c r="E450" s="20" t="n">
        <f aca="false">IF(Data!E450="","",Data!E450)</f>
        <v>110</v>
      </c>
      <c r="F450" s="20" t="n">
        <f aca="false">IF(Data!F450="","",Data!F450)</f>
        <v>273</v>
      </c>
      <c r="G450" s="28" t="str">
        <f aca="false">IF(Data!G450="","",IFERROR(VLOOKUP(Data!G450,Codes!$A$18:$B$19,2,FALSE()),"Invalid ("&amp;Data!G450&amp;")"))</f>
        <v>No</v>
      </c>
      <c r="H450" s="28" t="str">
        <f aca="false">IF(Data!H450="","",IFERROR(VLOOKUP(Data!H450,Codes!$A$23:$B$25,2,FALSE()),"Invalid ("&amp;Data!H450&amp;")"))</f>
        <v>Normal</v>
      </c>
      <c r="I450" s="20" t="n">
        <f aca="false">IF(Data!I450="","",Data!I450)</f>
        <v>132</v>
      </c>
      <c r="J450" s="28" t="str">
        <f aca="false">IF(Data!J450="","",IFERROR(VLOOKUP(Data!J450,Codes!$A$29:$B$30,2,FALSE()),"Invalid ("&amp;Data!J450&amp;")"))</f>
        <v>No</v>
      </c>
      <c r="K450" s="21" t="n">
        <f aca="false">IF(Data!K450="","",Data!K450)</f>
        <v>0</v>
      </c>
      <c r="L450" s="28" t="str">
        <f aca="false">IF(Data!L450="","",IFERROR(VLOOKUP(Data!L450,Codes!$A$34:$B$36,2,FALSE()),"Invalid ("&amp;Data!L450&amp;")"))</f>
        <v/>
      </c>
      <c r="M450" s="20" t="str">
        <f aca="false">IF(Data!M450="","",Data!M450)</f>
        <v/>
      </c>
      <c r="N450" s="28" t="str">
        <f aca="false">IF(Data!N450="","",IFERROR(VLOOKUP(Data!N450,Codes!$A$47:$B$49,2,FALSE()),"Invalid ("&amp;Data!N450&amp;")"))</f>
        <v/>
      </c>
      <c r="O450" s="28" t="str">
        <f aca="false">IF(Data!O450="","",IFERROR(VLOOKUP(Data!O450,Codes!$A$53:$B$57,2,FALSE()),"Invalid ("&amp;Data!O450&amp;")"))</f>
        <v>No disease</v>
      </c>
      <c r="P450" s="22" t="str">
        <f aca="false">IF(Data!P450="","",IFERROR(VLOOKUP(Data!P450,Codes!$A$61:$B$64,2,FALSE()),"Invalid ("&amp;Data!P450&amp;")"))</f>
        <v>Hungarian Inst. of Cardiology, Budapest</v>
      </c>
    </row>
    <row r="451" customFormat="false" ht="15" hidden="false" customHeight="false" outlineLevel="0" collapsed="false">
      <c r="A451" s="19" t="n">
        <f aca="false">Data!A451</f>
        <v>450</v>
      </c>
      <c r="B451" s="20" t="n">
        <f aca="false">IF(Data!B451="","",Data!B451)</f>
        <v>42</v>
      </c>
      <c r="C451" s="28" t="str">
        <f aca="false">IF(Data!C451="","",IFERROR(VLOOKUP(Data!C451,Codes!$A$6:$B$7,2,FALSE()),"Invalid ("&amp;Data!C451&amp;")"))</f>
        <v>Male</v>
      </c>
      <c r="D451" s="28" t="str">
        <f aca="false">IF(Data!D451="","",IFERROR(VLOOKUP(Data!D451,Codes!$A$11:$B$14,2,FALSE()),"Invalid ("&amp;Data!D451&amp;")"))</f>
        <v>Atypical angina</v>
      </c>
      <c r="E451" s="20" t="n">
        <f aca="false">IF(Data!E451="","",Data!E451)</f>
        <v>120</v>
      </c>
      <c r="F451" s="20" t="n">
        <f aca="false">IF(Data!F451="","",Data!F451)</f>
        <v>198</v>
      </c>
      <c r="G451" s="28" t="str">
        <f aca="false">IF(Data!G451="","",IFERROR(VLOOKUP(Data!G451,Codes!$A$18:$B$19,2,FALSE()),"Invalid ("&amp;Data!G451&amp;")"))</f>
        <v>No</v>
      </c>
      <c r="H451" s="28" t="str">
        <f aca="false">IF(Data!H451="","",IFERROR(VLOOKUP(Data!H451,Codes!$A$23:$B$25,2,FALSE()),"Invalid ("&amp;Data!H451&amp;")"))</f>
        <v>Normal</v>
      </c>
      <c r="I451" s="20" t="n">
        <f aca="false">IF(Data!I451="","",Data!I451)</f>
        <v>155</v>
      </c>
      <c r="J451" s="28" t="str">
        <f aca="false">IF(Data!J451="","",IFERROR(VLOOKUP(Data!J451,Codes!$A$29:$B$30,2,FALSE()),"Invalid ("&amp;Data!J451&amp;")"))</f>
        <v>No</v>
      </c>
      <c r="K451" s="21" t="n">
        <f aca="false">IF(Data!K451="","",Data!K451)</f>
        <v>0</v>
      </c>
      <c r="L451" s="28" t="str">
        <f aca="false">IF(Data!L451="","",IFERROR(VLOOKUP(Data!L451,Codes!$A$34:$B$36,2,FALSE()),"Invalid ("&amp;Data!L451&amp;")"))</f>
        <v/>
      </c>
      <c r="M451" s="20" t="str">
        <f aca="false">IF(Data!M451="","",Data!M451)</f>
        <v/>
      </c>
      <c r="N451" s="28" t="str">
        <f aca="false">IF(Data!N451="","",IFERROR(VLOOKUP(Data!N451,Codes!$A$47:$B$49,2,FALSE()),"Invalid ("&amp;Data!N451&amp;")"))</f>
        <v/>
      </c>
      <c r="O451" s="28" t="str">
        <f aca="false">IF(Data!O451="","",IFERROR(VLOOKUP(Data!O451,Codes!$A$53:$B$57,2,FALSE()),"Invalid ("&amp;Data!O451&amp;")"))</f>
        <v>No disease</v>
      </c>
      <c r="P451" s="22" t="str">
        <f aca="false">IF(Data!P451="","",IFERROR(VLOOKUP(Data!P451,Codes!$A$61:$B$64,2,FALSE()),"Invalid ("&amp;Data!P451&amp;")"))</f>
        <v>Hungarian Inst. of Cardiology, Budapest</v>
      </c>
    </row>
    <row r="452" customFormat="false" ht="15" hidden="false" customHeight="false" outlineLevel="0" collapsed="false">
      <c r="A452" s="19" t="n">
        <f aca="false">Data!A452</f>
        <v>451</v>
      </c>
      <c r="B452" s="20" t="n">
        <f aca="false">IF(Data!B452="","",Data!B452)</f>
        <v>43</v>
      </c>
      <c r="C452" s="28" t="str">
        <f aca="false">IF(Data!C452="","",IFERROR(VLOOKUP(Data!C452,Codes!$A$6:$B$7,2,FALSE()),"Invalid ("&amp;Data!C452&amp;")"))</f>
        <v>Female</v>
      </c>
      <c r="D452" s="28" t="str">
        <f aca="false">IF(Data!D452="","",IFERROR(VLOOKUP(Data!D452,Codes!$A$11:$B$14,2,FALSE()),"Invalid ("&amp;Data!D452&amp;")"))</f>
        <v>Atypical angina</v>
      </c>
      <c r="E452" s="20" t="n">
        <f aca="false">IF(Data!E452="","",Data!E452)</f>
        <v>120</v>
      </c>
      <c r="F452" s="20" t="n">
        <f aca="false">IF(Data!F452="","",Data!F452)</f>
        <v>249</v>
      </c>
      <c r="G452" s="28" t="str">
        <f aca="false">IF(Data!G452="","",IFERROR(VLOOKUP(Data!G452,Codes!$A$18:$B$19,2,FALSE()),"Invalid ("&amp;Data!G452&amp;")"))</f>
        <v>No</v>
      </c>
      <c r="H452" s="28" t="str">
        <f aca="false">IF(Data!H452="","",IFERROR(VLOOKUP(Data!H452,Codes!$A$23:$B$25,2,FALSE()),"Invalid ("&amp;Data!H452&amp;")"))</f>
        <v>ST-T wave abnormality</v>
      </c>
      <c r="I452" s="20" t="n">
        <f aca="false">IF(Data!I452="","",Data!I452)</f>
        <v>176</v>
      </c>
      <c r="J452" s="28" t="str">
        <f aca="false">IF(Data!J452="","",IFERROR(VLOOKUP(Data!J452,Codes!$A$29:$B$30,2,FALSE()),"Invalid ("&amp;Data!J452&amp;")"))</f>
        <v>No</v>
      </c>
      <c r="K452" s="21" t="n">
        <f aca="false">IF(Data!K452="","",Data!K452)</f>
        <v>0</v>
      </c>
      <c r="L452" s="28" t="str">
        <f aca="false">IF(Data!L452="","",IFERROR(VLOOKUP(Data!L452,Codes!$A$34:$B$36,2,FALSE()),"Invalid ("&amp;Data!L452&amp;")"))</f>
        <v/>
      </c>
      <c r="M452" s="20" t="str">
        <f aca="false">IF(Data!M452="","",Data!M452)</f>
        <v/>
      </c>
      <c r="N452" s="28" t="str">
        <f aca="false">IF(Data!N452="","",IFERROR(VLOOKUP(Data!N452,Codes!$A$47:$B$49,2,FALSE()),"Invalid ("&amp;Data!N452&amp;")"))</f>
        <v/>
      </c>
      <c r="O452" s="28" t="str">
        <f aca="false">IF(Data!O452="","",IFERROR(VLOOKUP(Data!O452,Codes!$A$53:$B$57,2,FALSE()),"Invalid ("&amp;Data!O452&amp;")"))</f>
        <v>No disease</v>
      </c>
      <c r="P452" s="22" t="str">
        <f aca="false">IF(Data!P452="","",IFERROR(VLOOKUP(Data!P452,Codes!$A$61:$B$64,2,FALSE()),"Invalid ("&amp;Data!P452&amp;")"))</f>
        <v>Hungarian Inst. of Cardiology, Budapest</v>
      </c>
    </row>
    <row r="453" customFormat="false" ht="15" hidden="false" customHeight="false" outlineLevel="0" collapsed="false">
      <c r="A453" s="19" t="n">
        <f aca="false">Data!A453</f>
        <v>452</v>
      </c>
      <c r="B453" s="20" t="n">
        <f aca="false">IF(Data!B453="","",Data!B453)</f>
        <v>50</v>
      </c>
      <c r="C453" s="28" t="str">
        <f aca="false">IF(Data!C453="","",IFERROR(VLOOKUP(Data!C453,Codes!$A$6:$B$7,2,FALSE()),"Invalid ("&amp;Data!C453&amp;")"))</f>
        <v>Male</v>
      </c>
      <c r="D453" s="28" t="str">
        <f aca="false">IF(Data!D453="","",IFERROR(VLOOKUP(Data!D453,Codes!$A$11:$B$14,2,FALSE()),"Invalid ("&amp;Data!D453&amp;")"))</f>
        <v>Atypical angina</v>
      </c>
      <c r="E453" s="20" t="n">
        <f aca="false">IF(Data!E453="","",Data!E453)</f>
        <v>120</v>
      </c>
      <c r="F453" s="20" t="n">
        <f aca="false">IF(Data!F453="","",Data!F453)</f>
        <v>168</v>
      </c>
      <c r="G453" s="28" t="str">
        <f aca="false">IF(Data!G453="","",IFERROR(VLOOKUP(Data!G453,Codes!$A$18:$B$19,2,FALSE()),"Invalid ("&amp;Data!G453&amp;")"))</f>
        <v>No</v>
      </c>
      <c r="H453" s="28" t="str">
        <f aca="false">IF(Data!H453="","",IFERROR(VLOOKUP(Data!H453,Codes!$A$23:$B$25,2,FALSE()),"Invalid ("&amp;Data!H453&amp;")"))</f>
        <v>Normal</v>
      </c>
      <c r="I453" s="20" t="n">
        <f aca="false">IF(Data!I453="","",Data!I453)</f>
        <v>160</v>
      </c>
      <c r="J453" s="28" t="str">
        <f aca="false">IF(Data!J453="","",IFERROR(VLOOKUP(Data!J453,Codes!$A$29:$B$30,2,FALSE()),"Invalid ("&amp;Data!J453&amp;")"))</f>
        <v>No</v>
      </c>
      <c r="K453" s="21" t="n">
        <f aca="false">IF(Data!K453="","",Data!K453)</f>
        <v>0</v>
      </c>
      <c r="L453" s="28" t="str">
        <f aca="false">IF(Data!L453="","",IFERROR(VLOOKUP(Data!L453,Codes!$A$34:$B$36,2,FALSE()),"Invalid ("&amp;Data!L453&amp;")"))</f>
        <v/>
      </c>
      <c r="M453" s="20" t="n">
        <f aca="false">IF(Data!M453="","",Data!M453)</f>
        <v>0</v>
      </c>
      <c r="N453" s="28" t="str">
        <f aca="false">IF(Data!N453="","",IFERROR(VLOOKUP(Data!N453,Codes!$A$47:$B$49,2,FALSE()),"Invalid ("&amp;Data!N453&amp;")"))</f>
        <v/>
      </c>
      <c r="O453" s="28" t="str">
        <f aca="false">IF(Data!O453="","",IFERROR(VLOOKUP(Data!O453,Codes!$A$53:$B$57,2,FALSE()),"Invalid ("&amp;Data!O453&amp;")"))</f>
        <v>No disease</v>
      </c>
      <c r="P453" s="22" t="str">
        <f aca="false">IF(Data!P453="","",IFERROR(VLOOKUP(Data!P453,Codes!$A$61:$B$64,2,FALSE()),"Invalid ("&amp;Data!P453&amp;")"))</f>
        <v>Hungarian Inst. of Cardiology, Budapest</v>
      </c>
    </row>
    <row r="454" customFormat="false" ht="15" hidden="false" customHeight="false" outlineLevel="0" collapsed="false">
      <c r="A454" s="19" t="n">
        <f aca="false">Data!A454</f>
        <v>453</v>
      </c>
      <c r="B454" s="20" t="n">
        <f aca="false">IF(Data!B454="","",Data!B454)</f>
        <v>54</v>
      </c>
      <c r="C454" s="28" t="str">
        <f aca="false">IF(Data!C454="","",IFERROR(VLOOKUP(Data!C454,Codes!$A$6:$B$7,2,FALSE()),"Invalid ("&amp;Data!C454&amp;")"))</f>
        <v>Male</v>
      </c>
      <c r="D454" s="28" t="str">
        <f aca="false">IF(Data!D454="","",IFERROR(VLOOKUP(Data!D454,Codes!$A$11:$B$14,2,FALSE()),"Invalid ("&amp;Data!D454&amp;")"))</f>
        <v>Asymptomatic</v>
      </c>
      <c r="E454" s="20" t="n">
        <f aca="false">IF(Data!E454="","",Data!E454)</f>
        <v>130</v>
      </c>
      <c r="F454" s="20" t="n">
        <f aca="false">IF(Data!F454="","",Data!F454)</f>
        <v>603</v>
      </c>
      <c r="G454" s="28" t="str">
        <f aca="false">IF(Data!G454="","",IFERROR(VLOOKUP(Data!G454,Codes!$A$18:$B$19,2,FALSE()),"Invalid ("&amp;Data!G454&amp;")"))</f>
        <v>Yes</v>
      </c>
      <c r="H454" s="28" t="str">
        <f aca="false">IF(Data!H454="","",IFERROR(VLOOKUP(Data!H454,Codes!$A$23:$B$25,2,FALSE()),"Invalid ("&amp;Data!H454&amp;")"))</f>
        <v>Normal</v>
      </c>
      <c r="I454" s="20" t="n">
        <f aca="false">IF(Data!I454="","",Data!I454)</f>
        <v>125</v>
      </c>
      <c r="J454" s="28" t="str">
        <f aca="false">IF(Data!J454="","",IFERROR(VLOOKUP(Data!J454,Codes!$A$29:$B$30,2,FALSE()),"Invalid ("&amp;Data!J454&amp;")"))</f>
        <v>Yes</v>
      </c>
      <c r="K454" s="21" t="n">
        <f aca="false">IF(Data!K454="","",Data!K454)</f>
        <v>1</v>
      </c>
      <c r="L454" s="28" t="str">
        <f aca="false">IF(Data!L454="","",IFERROR(VLOOKUP(Data!L454,Codes!$A$34:$B$36,2,FALSE()),"Invalid ("&amp;Data!L454&amp;")"))</f>
        <v>Flat</v>
      </c>
      <c r="M454" s="20" t="str">
        <f aca="false">IF(Data!M454="","",Data!M454)</f>
        <v/>
      </c>
      <c r="N454" s="28" t="str">
        <f aca="false">IF(Data!N454="","",IFERROR(VLOOKUP(Data!N454,Codes!$A$47:$B$49,2,FALSE()),"Invalid ("&amp;Data!N454&amp;")"))</f>
        <v/>
      </c>
      <c r="O454" s="28" t="str">
        <f aca="false">IF(Data!O454="","",IFERROR(VLOOKUP(Data!O454,Codes!$A$53:$B$57,2,FALSE()),"Invalid ("&amp;Data!O454&amp;")"))</f>
        <v>Disease (2)</v>
      </c>
      <c r="P454" s="22" t="str">
        <f aca="false">IF(Data!P454="","",IFERROR(VLOOKUP(Data!P454,Codes!$A$61:$B$64,2,FALSE()),"Invalid ("&amp;Data!P454&amp;")"))</f>
        <v>Hungarian Inst. of Cardiology, Budapest</v>
      </c>
    </row>
    <row r="455" customFormat="false" ht="15" hidden="false" customHeight="false" outlineLevel="0" collapsed="false">
      <c r="A455" s="19" t="n">
        <f aca="false">Data!A455</f>
        <v>454</v>
      </c>
      <c r="B455" s="20" t="n">
        <f aca="false">IF(Data!B455="","",Data!B455)</f>
        <v>39</v>
      </c>
      <c r="C455" s="28" t="str">
        <f aca="false">IF(Data!C455="","",IFERROR(VLOOKUP(Data!C455,Codes!$A$6:$B$7,2,FALSE()),"Invalid ("&amp;Data!C455&amp;")"))</f>
        <v>Male</v>
      </c>
      <c r="D455" s="28" t="str">
        <f aca="false">IF(Data!D455="","",IFERROR(VLOOKUP(Data!D455,Codes!$A$11:$B$14,2,FALSE()),"Invalid ("&amp;Data!D455&amp;")"))</f>
        <v>Atypical angina</v>
      </c>
      <c r="E455" s="20" t="n">
        <f aca="false">IF(Data!E455="","",Data!E455)</f>
        <v>130</v>
      </c>
      <c r="F455" s="20" t="str">
        <f aca="false">IF(Data!F455="","",Data!F455)</f>
        <v/>
      </c>
      <c r="G455" s="28" t="str">
        <f aca="false">IF(Data!G455="","",IFERROR(VLOOKUP(Data!G455,Codes!$A$18:$B$19,2,FALSE()),"Invalid ("&amp;Data!G455&amp;")"))</f>
        <v>No</v>
      </c>
      <c r="H455" s="28" t="str">
        <f aca="false">IF(Data!H455="","",IFERROR(VLOOKUP(Data!H455,Codes!$A$23:$B$25,2,FALSE()),"Invalid ("&amp;Data!H455&amp;")"))</f>
        <v>Normal</v>
      </c>
      <c r="I455" s="20" t="n">
        <f aca="false">IF(Data!I455="","",Data!I455)</f>
        <v>120</v>
      </c>
      <c r="J455" s="28" t="str">
        <f aca="false">IF(Data!J455="","",IFERROR(VLOOKUP(Data!J455,Codes!$A$29:$B$30,2,FALSE()),"Invalid ("&amp;Data!J455&amp;")"))</f>
        <v>No</v>
      </c>
      <c r="K455" s="21" t="n">
        <f aca="false">IF(Data!K455="","",Data!K455)</f>
        <v>0</v>
      </c>
      <c r="L455" s="28" t="str">
        <f aca="false">IF(Data!L455="","",IFERROR(VLOOKUP(Data!L455,Codes!$A$34:$B$36,2,FALSE()),"Invalid ("&amp;Data!L455&amp;")"))</f>
        <v/>
      </c>
      <c r="M455" s="20" t="str">
        <f aca="false">IF(Data!M455="","",Data!M455)</f>
        <v/>
      </c>
      <c r="N455" s="28" t="str">
        <f aca="false">IF(Data!N455="","",IFERROR(VLOOKUP(Data!N455,Codes!$A$47:$B$49,2,FALSE()),"Invalid ("&amp;Data!N455&amp;")"))</f>
        <v/>
      </c>
      <c r="O455" s="28" t="str">
        <f aca="false">IF(Data!O455="","",IFERROR(VLOOKUP(Data!O455,Codes!$A$53:$B$57,2,FALSE()),"Invalid ("&amp;Data!O455&amp;")"))</f>
        <v>No disease</v>
      </c>
      <c r="P455" s="22" t="str">
        <f aca="false">IF(Data!P455="","",IFERROR(VLOOKUP(Data!P455,Codes!$A$61:$B$64,2,FALSE()),"Invalid ("&amp;Data!P455&amp;")"))</f>
        <v>Hungarian Inst. of Cardiology, Budapest</v>
      </c>
    </row>
    <row r="456" customFormat="false" ht="15" hidden="false" customHeight="false" outlineLevel="0" collapsed="false">
      <c r="A456" s="19" t="n">
        <f aca="false">Data!A456</f>
        <v>455</v>
      </c>
      <c r="B456" s="20" t="n">
        <f aca="false">IF(Data!B456="","",Data!B456)</f>
        <v>48</v>
      </c>
      <c r="C456" s="28" t="str">
        <f aca="false">IF(Data!C456="","",IFERROR(VLOOKUP(Data!C456,Codes!$A$6:$B$7,2,FALSE()),"Invalid ("&amp;Data!C456&amp;")"))</f>
        <v>Male</v>
      </c>
      <c r="D456" s="28" t="str">
        <f aca="false">IF(Data!D456="","",IFERROR(VLOOKUP(Data!D456,Codes!$A$11:$B$14,2,FALSE()),"Invalid ("&amp;Data!D456&amp;")"))</f>
        <v>Atypical angina</v>
      </c>
      <c r="E456" s="20" t="n">
        <f aca="false">IF(Data!E456="","",Data!E456)</f>
        <v>100</v>
      </c>
      <c r="F456" s="20" t="str">
        <f aca="false">IF(Data!F456="","",Data!F456)</f>
        <v/>
      </c>
      <c r="G456" s="28" t="str">
        <f aca="false">IF(Data!G456="","",IFERROR(VLOOKUP(Data!G456,Codes!$A$18:$B$19,2,FALSE()),"Invalid ("&amp;Data!G456&amp;")"))</f>
        <v>No</v>
      </c>
      <c r="H456" s="28" t="str">
        <f aca="false">IF(Data!H456="","",IFERROR(VLOOKUP(Data!H456,Codes!$A$23:$B$25,2,FALSE()),"Invalid ("&amp;Data!H456&amp;")"))</f>
        <v>Normal</v>
      </c>
      <c r="I456" s="20" t="n">
        <f aca="false">IF(Data!I456="","",Data!I456)</f>
        <v>100</v>
      </c>
      <c r="J456" s="28" t="str">
        <f aca="false">IF(Data!J456="","",IFERROR(VLOOKUP(Data!J456,Codes!$A$29:$B$30,2,FALSE()),"Invalid ("&amp;Data!J456&amp;")"))</f>
        <v>No</v>
      </c>
      <c r="K456" s="21" t="n">
        <f aca="false">IF(Data!K456="","",Data!K456)</f>
        <v>0</v>
      </c>
      <c r="L456" s="28" t="str">
        <f aca="false">IF(Data!L456="","",IFERROR(VLOOKUP(Data!L456,Codes!$A$34:$B$36,2,FALSE()),"Invalid ("&amp;Data!L456&amp;")"))</f>
        <v/>
      </c>
      <c r="M456" s="20" t="str">
        <f aca="false">IF(Data!M456="","",Data!M456)</f>
        <v/>
      </c>
      <c r="N456" s="28" t="str">
        <f aca="false">IF(Data!N456="","",IFERROR(VLOOKUP(Data!N456,Codes!$A$47:$B$49,2,FALSE()),"Invalid ("&amp;Data!N456&amp;")"))</f>
        <v/>
      </c>
      <c r="O456" s="28" t="str">
        <f aca="false">IF(Data!O456="","",IFERROR(VLOOKUP(Data!O456,Codes!$A$53:$B$57,2,FALSE()),"Invalid ("&amp;Data!O456&amp;")"))</f>
        <v>No disease</v>
      </c>
      <c r="P456" s="22" t="str">
        <f aca="false">IF(Data!P456="","",IFERROR(VLOOKUP(Data!P456,Codes!$A$61:$B$64,2,FALSE()),"Invalid ("&amp;Data!P456&amp;")"))</f>
        <v>Hungarian Inst. of Cardiology, Budapest</v>
      </c>
    </row>
    <row r="457" customFormat="false" ht="15" hidden="false" customHeight="false" outlineLevel="0" collapsed="false">
      <c r="A457" s="19" t="n">
        <f aca="false">Data!A457</f>
        <v>456</v>
      </c>
      <c r="B457" s="20" t="n">
        <f aca="false">IF(Data!B457="","",Data!B457)</f>
        <v>40</v>
      </c>
      <c r="C457" s="28" t="str">
        <f aca="false">IF(Data!C457="","",IFERROR(VLOOKUP(Data!C457,Codes!$A$6:$B$7,2,FALSE()),"Invalid ("&amp;Data!C457&amp;")"))</f>
        <v>Male</v>
      </c>
      <c r="D457" s="28" t="str">
        <f aca="false">IF(Data!D457="","",IFERROR(VLOOKUP(Data!D457,Codes!$A$11:$B$14,2,FALSE()),"Invalid ("&amp;Data!D457&amp;")"))</f>
        <v>Atypical angina</v>
      </c>
      <c r="E457" s="20" t="n">
        <f aca="false">IF(Data!E457="","",Data!E457)</f>
        <v>130</v>
      </c>
      <c r="F457" s="20" t="n">
        <f aca="false">IF(Data!F457="","",Data!F457)</f>
        <v>275</v>
      </c>
      <c r="G457" s="28" t="str">
        <f aca="false">IF(Data!G457="","",IFERROR(VLOOKUP(Data!G457,Codes!$A$18:$B$19,2,FALSE()),"Invalid ("&amp;Data!G457&amp;")"))</f>
        <v>No</v>
      </c>
      <c r="H457" s="28" t="str">
        <f aca="false">IF(Data!H457="","",IFERROR(VLOOKUP(Data!H457,Codes!$A$23:$B$25,2,FALSE()),"Invalid ("&amp;Data!H457&amp;")"))</f>
        <v>Normal</v>
      </c>
      <c r="I457" s="20" t="n">
        <f aca="false">IF(Data!I457="","",Data!I457)</f>
        <v>150</v>
      </c>
      <c r="J457" s="28" t="str">
        <f aca="false">IF(Data!J457="","",IFERROR(VLOOKUP(Data!J457,Codes!$A$29:$B$30,2,FALSE()),"Invalid ("&amp;Data!J457&amp;")"))</f>
        <v>No</v>
      </c>
      <c r="K457" s="21" t="n">
        <f aca="false">IF(Data!K457="","",Data!K457)</f>
        <v>0</v>
      </c>
      <c r="L457" s="28" t="str">
        <f aca="false">IF(Data!L457="","",IFERROR(VLOOKUP(Data!L457,Codes!$A$34:$B$36,2,FALSE()),"Invalid ("&amp;Data!L457&amp;")"))</f>
        <v/>
      </c>
      <c r="M457" s="20" t="str">
        <f aca="false">IF(Data!M457="","",Data!M457)</f>
        <v/>
      </c>
      <c r="N457" s="28" t="str">
        <f aca="false">IF(Data!N457="","",IFERROR(VLOOKUP(Data!N457,Codes!$A$47:$B$49,2,FALSE()),"Invalid ("&amp;Data!N457&amp;")"))</f>
        <v/>
      </c>
      <c r="O457" s="28" t="str">
        <f aca="false">IF(Data!O457="","",IFERROR(VLOOKUP(Data!O457,Codes!$A$53:$B$57,2,FALSE()),"Invalid ("&amp;Data!O457&amp;")"))</f>
        <v>No disease</v>
      </c>
      <c r="P457" s="22" t="str">
        <f aca="false">IF(Data!P457="","",IFERROR(VLOOKUP(Data!P457,Codes!$A$61:$B$64,2,FALSE()),"Invalid ("&amp;Data!P457&amp;")"))</f>
        <v>Hungarian Inst. of Cardiology, Budapest</v>
      </c>
    </row>
    <row r="458" customFormat="false" ht="15" hidden="false" customHeight="false" outlineLevel="0" collapsed="false">
      <c r="A458" s="19" t="n">
        <f aca="false">Data!A458</f>
        <v>457</v>
      </c>
      <c r="B458" s="20" t="n">
        <f aca="false">IF(Data!B458="","",Data!B458)</f>
        <v>55</v>
      </c>
      <c r="C458" s="28" t="str">
        <f aca="false">IF(Data!C458="","",IFERROR(VLOOKUP(Data!C458,Codes!$A$6:$B$7,2,FALSE()),"Invalid ("&amp;Data!C458&amp;")"))</f>
        <v>Male</v>
      </c>
      <c r="D458" s="28" t="str">
        <f aca="false">IF(Data!D458="","",IFERROR(VLOOKUP(Data!D458,Codes!$A$11:$B$14,2,FALSE()),"Invalid ("&amp;Data!D458&amp;")"))</f>
        <v>Asymptomatic</v>
      </c>
      <c r="E458" s="20" t="n">
        <f aca="false">IF(Data!E458="","",Data!E458)</f>
        <v>120</v>
      </c>
      <c r="F458" s="20" t="n">
        <f aca="false">IF(Data!F458="","",Data!F458)</f>
        <v>270</v>
      </c>
      <c r="G458" s="28" t="str">
        <f aca="false">IF(Data!G458="","",IFERROR(VLOOKUP(Data!G458,Codes!$A$18:$B$19,2,FALSE()),"Invalid ("&amp;Data!G458&amp;")"))</f>
        <v>No</v>
      </c>
      <c r="H458" s="28" t="str">
        <f aca="false">IF(Data!H458="","",IFERROR(VLOOKUP(Data!H458,Codes!$A$23:$B$25,2,FALSE()),"Invalid ("&amp;Data!H458&amp;")"))</f>
        <v>Normal</v>
      </c>
      <c r="I458" s="20" t="n">
        <f aca="false">IF(Data!I458="","",Data!I458)</f>
        <v>140</v>
      </c>
      <c r="J458" s="28" t="str">
        <f aca="false">IF(Data!J458="","",IFERROR(VLOOKUP(Data!J458,Codes!$A$29:$B$30,2,FALSE()),"Invalid ("&amp;Data!J458&amp;")"))</f>
        <v>No</v>
      </c>
      <c r="K458" s="21" t="n">
        <f aca="false">IF(Data!K458="","",Data!K458)</f>
        <v>0</v>
      </c>
      <c r="L458" s="28" t="str">
        <f aca="false">IF(Data!L458="","",IFERROR(VLOOKUP(Data!L458,Codes!$A$34:$B$36,2,FALSE()),"Invalid ("&amp;Data!L458&amp;")"))</f>
        <v/>
      </c>
      <c r="M458" s="20" t="str">
        <f aca="false">IF(Data!M458="","",Data!M458)</f>
        <v/>
      </c>
      <c r="N458" s="28" t="str">
        <f aca="false">IF(Data!N458="","",IFERROR(VLOOKUP(Data!N458,Codes!$A$47:$B$49,2,FALSE()),"Invalid ("&amp;Data!N458&amp;")"))</f>
        <v/>
      </c>
      <c r="O458" s="28" t="str">
        <f aca="false">IF(Data!O458="","",IFERROR(VLOOKUP(Data!O458,Codes!$A$53:$B$57,2,FALSE()),"Invalid ("&amp;Data!O458&amp;")"))</f>
        <v>No disease</v>
      </c>
      <c r="P458" s="22" t="str">
        <f aca="false">IF(Data!P458="","",IFERROR(VLOOKUP(Data!P458,Codes!$A$61:$B$64,2,FALSE()),"Invalid ("&amp;Data!P458&amp;")"))</f>
        <v>Hungarian Inst. of Cardiology, Budapest</v>
      </c>
    </row>
    <row r="459" customFormat="false" ht="15" hidden="false" customHeight="false" outlineLevel="0" collapsed="false">
      <c r="A459" s="19" t="n">
        <f aca="false">Data!A459</f>
        <v>458</v>
      </c>
      <c r="B459" s="20" t="n">
        <f aca="false">IF(Data!B459="","",Data!B459)</f>
        <v>41</v>
      </c>
      <c r="C459" s="28" t="str">
        <f aca="false">IF(Data!C459="","",IFERROR(VLOOKUP(Data!C459,Codes!$A$6:$B$7,2,FALSE()),"Invalid ("&amp;Data!C459&amp;")"))</f>
        <v>Male</v>
      </c>
      <c r="D459" s="28" t="str">
        <f aca="false">IF(Data!D459="","",IFERROR(VLOOKUP(Data!D459,Codes!$A$11:$B$14,2,FALSE()),"Invalid ("&amp;Data!D459&amp;")"))</f>
        <v>Atypical angina</v>
      </c>
      <c r="E459" s="20" t="n">
        <f aca="false">IF(Data!E459="","",Data!E459)</f>
        <v>120</v>
      </c>
      <c r="F459" s="20" t="n">
        <f aca="false">IF(Data!F459="","",Data!F459)</f>
        <v>291</v>
      </c>
      <c r="G459" s="28" t="str">
        <f aca="false">IF(Data!G459="","",IFERROR(VLOOKUP(Data!G459,Codes!$A$18:$B$19,2,FALSE()),"Invalid ("&amp;Data!G459&amp;")"))</f>
        <v>No</v>
      </c>
      <c r="H459" s="28" t="str">
        <f aca="false">IF(Data!H459="","",IFERROR(VLOOKUP(Data!H459,Codes!$A$23:$B$25,2,FALSE()),"Invalid ("&amp;Data!H459&amp;")"))</f>
        <v>ST-T wave abnormality</v>
      </c>
      <c r="I459" s="20" t="n">
        <f aca="false">IF(Data!I459="","",Data!I459)</f>
        <v>160</v>
      </c>
      <c r="J459" s="28" t="str">
        <f aca="false">IF(Data!J459="","",IFERROR(VLOOKUP(Data!J459,Codes!$A$29:$B$30,2,FALSE()),"Invalid ("&amp;Data!J459&amp;")"))</f>
        <v>No</v>
      </c>
      <c r="K459" s="21" t="n">
        <f aca="false">IF(Data!K459="","",Data!K459)</f>
        <v>0</v>
      </c>
      <c r="L459" s="28" t="str">
        <f aca="false">IF(Data!L459="","",IFERROR(VLOOKUP(Data!L459,Codes!$A$34:$B$36,2,FALSE()),"Invalid ("&amp;Data!L459&amp;")"))</f>
        <v/>
      </c>
      <c r="M459" s="20" t="str">
        <f aca="false">IF(Data!M459="","",Data!M459)</f>
        <v/>
      </c>
      <c r="N459" s="28" t="str">
        <f aca="false">IF(Data!N459="","",IFERROR(VLOOKUP(Data!N459,Codes!$A$47:$B$49,2,FALSE()),"Invalid ("&amp;Data!N459&amp;")"))</f>
        <v/>
      </c>
      <c r="O459" s="28" t="str">
        <f aca="false">IF(Data!O459="","",IFERROR(VLOOKUP(Data!O459,Codes!$A$53:$B$57,2,FALSE()),"Invalid ("&amp;Data!O459&amp;")"))</f>
        <v>No disease</v>
      </c>
      <c r="P459" s="22" t="str">
        <f aca="false">IF(Data!P459="","",IFERROR(VLOOKUP(Data!P459,Codes!$A$61:$B$64,2,FALSE()),"Invalid ("&amp;Data!P459&amp;")"))</f>
        <v>Hungarian Inst. of Cardiology, Budapest</v>
      </c>
    </row>
    <row r="460" customFormat="false" ht="15" hidden="false" customHeight="false" outlineLevel="0" collapsed="false">
      <c r="A460" s="19" t="n">
        <f aca="false">Data!A460</f>
        <v>459</v>
      </c>
      <c r="B460" s="20" t="n">
        <f aca="false">IF(Data!B460="","",Data!B460)</f>
        <v>56</v>
      </c>
      <c r="C460" s="28" t="str">
        <f aca="false">IF(Data!C460="","",IFERROR(VLOOKUP(Data!C460,Codes!$A$6:$B$7,2,FALSE()),"Invalid ("&amp;Data!C460&amp;")"))</f>
        <v>Male</v>
      </c>
      <c r="D460" s="28" t="str">
        <f aca="false">IF(Data!D460="","",IFERROR(VLOOKUP(Data!D460,Codes!$A$11:$B$14,2,FALSE()),"Invalid ("&amp;Data!D460&amp;")"))</f>
        <v>Asymptomatic</v>
      </c>
      <c r="E460" s="20" t="n">
        <f aca="false">IF(Data!E460="","",Data!E460)</f>
        <v>155</v>
      </c>
      <c r="F460" s="20" t="n">
        <f aca="false">IF(Data!F460="","",Data!F460)</f>
        <v>342</v>
      </c>
      <c r="G460" s="28" t="str">
        <f aca="false">IF(Data!G460="","",IFERROR(VLOOKUP(Data!G460,Codes!$A$18:$B$19,2,FALSE()),"Invalid ("&amp;Data!G460&amp;")"))</f>
        <v>Yes</v>
      </c>
      <c r="H460" s="28" t="str">
        <f aca="false">IF(Data!H460="","",IFERROR(VLOOKUP(Data!H460,Codes!$A$23:$B$25,2,FALSE()),"Invalid ("&amp;Data!H460&amp;")"))</f>
        <v>Normal</v>
      </c>
      <c r="I460" s="20" t="n">
        <f aca="false">IF(Data!I460="","",Data!I460)</f>
        <v>150</v>
      </c>
      <c r="J460" s="28" t="str">
        <f aca="false">IF(Data!J460="","",IFERROR(VLOOKUP(Data!J460,Codes!$A$29:$B$30,2,FALSE()),"Invalid ("&amp;Data!J460&amp;")"))</f>
        <v>Yes</v>
      </c>
      <c r="K460" s="21" t="n">
        <f aca="false">IF(Data!K460="","",Data!K460)</f>
        <v>3</v>
      </c>
      <c r="L460" s="28" t="str">
        <f aca="false">IF(Data!L460="","",IFERROR(VLOOKUP(Data!L460,Codes!$A$34:$B$36,2,FALSE()),"Invalid ("&amp;Data!L460&amp;")"))</f>
        <v>Flat</v>
      </c>
      <c r="M460" s="20" t="str">
        <f aca="false">IF(Data!M460="","",Data!M460)</f>
        <v/>
      </c>
      <c r="N460" s="28" t="str">
        <f aca="false">IF(Data!N460="","",IFERROR(VLOOKUP(Data!N460,Codes!$A$47:$B$49,2,FALSE()),"Invalid ("&amp;Data!N460&amp;")"))</f>
        <v/>
      </c>
      <c r="O460" s="28" t="str">
        <f aca="false">IF(Data!O460="","",IFERROR(VLOOKUP(Data!O460,Codes!$A$53:$B$57,2,FALSE()),"Invalid ("&amp;Data!O460&amp;")"))</f>
        <v>Disease (4)</v>
      </c>
      <c r="P460" s="22" t="str">
        <f aca="false">IF(Data!P460="","",IFERROR(VLOOKUP(Data!P460,Codes!$A$61:$B$64,2,FALSE()),"Invalid ("&amp;Data!P460&amp;")"))</f>
        <v>Hungarian Inst. of Cardiology, Budapest</v>
      </c>
    </row>
    <row r="461" customFormat="false" ht="15" hidden="false" customHeight="false" outlineLevel="0" collapsed="false">
      <c r="A461" s="19" t="n">
        <f aca="false">Data!A461</f>
        <v>460</v>
      </c>
      <c r="B461" s="20" t="n">
        <f aca="false">IF(Data!B461="","",Data!B461)</f>
        <v>38</v>
      </c>
      <c r="C461" s="28" t="str">
        <f aca="false">IF(Data!C461="","",IFERROR(VLOOKUP(Data!C461,Codes!$A$6:$B$7,2,FALSE()),"Invalid ("&amp;Data!C461&amp;")"))</f>
        <v>Male</v>
      </c>
      <c r="D461" s="28" t="str">
        <f aca="false">IF(Data!D461="","",IFERROR(VLOOKUP(Data!D461,Codes!$A$11:$B$14,2,FALSE()),"Invalid ("&amp;Data!D461&amp;")"))</f>
        <v>Asymptomatic</v>
      </c>
      <c r="E461" s="20" t="n">
        <f aca="false">IF(Data!E461="","",Data!E461)</f>
        <v>110</v>
      </c>
      <c r="F461" s="20" t="str">
        <f aca="false">IF(Data!F461="","",Data!F461)</f>
        <v/>
      </c>
      <c r="G461" s="28" t="str">
        <f aca="false">IF(Data!G461="","",IFERROR(VLOOKUP(Data!G461,Codes!$A$18:$B$19,2,FALSE()),"Invalid ("&amp;Data!G461&amp;")"))</f>
        <v>No</v>
      </c>
      <c r="H461" s="28" t="str">
        <f aca="false">IF(Data!H461="","",IFERROR(VLOOKUP(Data!H461,Codes!$A$23:$B$25,2,FALSE()),"Invalid ("&amp;Data!H461&amp;")"))</f>
        <v>Normal</v>
      </c>
      <c r="I461" s="20" t="n">
        <f aca="false">IF(Data!I461="","",Data!I461)</f>
        <v>150</v>
      </c>
      <c r="J461" s="28" t="str">
        <f aca="false">IF(Data!J461="","",IFERROR(VLOOKUP(Data!J461,Codes!$A$29:$B$30,2,FALSE()),"Invalid ("&amp;Data!J461&amp;")"))</f>
        <v>Yes</v>
      </c>
      <c r="K461" s="21" t="n">
        <f aca="false">IF(Data!K461="","",Data!K461)</f>
        <v>1</v>
      </c>
      <c r="L461" s="28" t="str">
        <f aca="false">IF(Data!L461="","",IFERROR(VLOOKUP(Data!L461,Codes!$A$34:$B$36,2,FALSE()),"Invalid ("&amp;Data!L461&amp;")"))</f>
        <v>Flat</v>
      </c>
      <c r="M461" s="20" t="str">
        <f aca="false">IF(Data!M461="","",Data!M461)</f>
        <v/>
      </c>
      <c r="N461" s="28" t="str">
        <f aca="false">IF(Data!N461="","",IFERROR(VLOOKUP(Data!N461,Codes!$A$47:$B$49,2,FALSE()),"Invalid ("&amp;Data!N461&amp;")"))</f>
        <v/>
      </c>
      <c r="O461" s="28" t="str">
        <f aca="false">IF(Data!O461="","",IFERROR(VLOOKUP(Data!O461,Codes!$A$53:$B$57,2,FALSE()),"Invalid ("&amp;Data!O461&amp;")"))</f>
        <v>Disease (2)</v>
      </c>
      <c r="P461" s="22" t="str">
        <f aca="false">IF(Data!P461="","",IFERROR(VLOOKUP(Data!P461,Codes!$A$61:$B$64,2,FALSE()),"Invalid ("&amp;Data!P461&amp;")"))</f>
        <v>Hungarian Inst. of Cardiology, Budapest</v>
      </c>
    </row>
    <row r="462" customFormat="false" ht="15" hidden="false" customHeight="false" outlineLevel="0" collapsed="false">
      <c r="A462" s="19" t="n">
        <f aca="false">Data!A462</f>
        <v>461</v>
      </c>
      <c r="B462" s="20" t="n">
        <f aca="false">IF(Data!B462="","",Data!B462)</f>
        <v>49</v>
      </c>
      <c r="C462" s="28" t="str">
        <f aca="false">IF(Data!C462="","",IFERROR(VLOOKUP(Data!C462,Codes!$A$6:$B$7,2,FALSE()),"Invalid ("&amp;Data!C462&amp;")"))</f>
        <v>Male</v>
      </c>
      <c r="D462" s="28" t="str">
        <f aca="false">IF(Data!D462="","",IFERROR(VLOOKUP(Data!D462,Codes!$A$11:$B$14,2,FALSE()),"Invalid ("&amp;Data!D462&amp;")"))</f>
        <v>Asymptomatic</v>
      </c>
      <c r="E462" s="20" t="n">
        <f aca="false">IF(Data!E462="","",Data!E462)</f>
        <v>140</v>
      </c>
      <c r="F462" s="20" t="str">
        <f aca="false">IF(Data!F462="","",Data!F462)</f>
        <v/>
      </c>
      <c r="G462" s="28" t="str">
        <f aca="false">IF(Data!G462="","",IFERROR(VLOOKUP(Data!G462,Codes!$A$18:$B$19,2,FALSE()),"Invalid ("&amp;Data!G462&amp;")"))</f>
        <v>No</v>
      </c>
      <c r="H462" s="28" t="str">
        <f aca="false">IF(Data!H462="","",IFERROR(VLOOKUP(Data!H462,Codes!$A$23:$B$25,2,FALSE()),"Invalid ("&amp;Data!H462&amp;")"))</f>
        <v>Normal</v>
      </c>
      <c r="I462" s="20" t="n">
        <f aca="false">IF(Data!I462="","",Data!I462)</f>
        <v>130</v>
      </c>
      <c r="J462" s="28" t="str">
        <f aca="false">IF(Data!J462="","",IFERROR(VLOOKUP(Data!J462,Codes!$A$29:$B$30,2,FALSE()),"Invalid ("&amp;Data!J462&amp;")"))</f>
        <v>No</v>
      </c>
      <c r="K462" s="21" t="n">
        <f aca="false">IF(Data!K462="","",Data!K462)</f>
        <v>0</v>
      </c>
      <c r="L462" s="28" t="str">
        <f aca="false">IF(Data!L462="","",IFERROR(VLOOKUP(Data!L462,Codes!$A$34:$B$36,2,FALSE()),"Invalid ("&amp;Data!L462&amp;")"))</f>
        <v/>
      </c>
      <c r="M462" s="20" t="str">
        <f aca="false">IF(Data!M462="","",Data!M462)</f>
        <v/>
      </c>
      <c r="N462" s="28" t="str">
        <f aca="false">IF(Data!N462="","",IFERROR(VLOOKUP(Data!N462,Codes!$A$47:$B$49,2,FALSE()),"Invalid ("&amp;Data!N462&amp;")"))</f>
        <v/>
      </c>
      <c r="O462" s="28" t="str">
        <f aca="false">IF(Data!O462="","",IFERROR(VLOOKUP(Data!O462,Codes!$A$53:$B$57,2,FALSE()),"Invalid ("&amp;Data!O462&amp;")"))</f>
        <v>No disease</v>
      </c>
      <c r="P462" s="22" t="str">
        <f aca="false">IF(Data!P462="","",IFERROR(VLOOKUP(Data!P462,Codes!$A$61:$B$64,2,FALSE()),"Invalid ("&amp;Data!P462&amp;")"))</f>
        <v>Hungarian Inst. of Cardiology, Budapest</v>
      </c>
    </row>
    <row r="463" customFormat="false" ht="15" hidden="false" customHeight="false" outlineLevel="0" collapsed="false">
      <c r="A463" s="19" t="n">
        <f aca="false">Data!A463</f>
        <v>462</v>
      </c>
      <c r="B463" s="20" t="n">
        <f aca="false">IF(Data!B463="","",Data!B463)</f>
        <v>44</v>
      </c>
      <c r="C463" s="28" t="str">
        <f aca="false">IF(Data!C463="","",IFERROR(VLOOKUP(Data!C463,Codes!$A$6:$B$7,2,FALSE()),"Invalid ("&amp;Data!C463&amp;")"))</f>
        <v>Male</v>
      </c>
      <c r="D463" s="28" t="str">
        <f aca="false">IF(Data!D463="","",IFERROR(VLOOKUP(Data!D463,Codes!$A$11:$B$14,2,FALSE()),"Invalid ("&amp;Data!D463&amp;")"))</f>
        <v>Asymptomatic</v>
      </c>
      <c r="E463" s="20" t="n">
        <f aca="false">IF(Data!E463="","",Data!E463)</f>
        <v>130</v>
      </c>
      <c r="F463" s="20" t="n">
        <f aca="false">IF(Data!F463="","",Data!F463)</f>
        <v>290</v>
      </c>
      <c r="G463" s="28" t="str">
        <f aca="false">IF(Data!G463="","",IFERROR(VLOOKUP(Data!G463,Codes!$A$18:$B$19,2,FALSE()),"Invalid ("&amp;Data!G463&amp;")"))</f>
        <v>No</v>
      </c>
      <c r="H463" s="28" t="str">
        <f aca="false">IF(Data!H463="","",IFERROR(VLOOKUP(Data!H463,Codes!$A$23:$B$25,2,FALSE()),"Invalid ("&amp;Data!H463&amp;")"))</f>
        <v>Normal</v>
      </c>
      <c r="I463" s="20" t="n">
        <f aca="false">IF(Data!I463="","",Data!I463)</f>
        <v>100</v>
      </c>
      <c r="J463" s="28" t="str">
        <f aca="false">IF(Data!J463="","",IFERROR(VLOOKUP(Data!J463,Codes!$A$29:$B$30,2,FALSE()),"Invalid ("&amp;Data!J463&amp;")"))</f>
        <v>Yes</v>
      </c>
      <c r="K463" s="21" t="n">
        <f aca="false">IF(Data!K463="","",Data!K463)</f>
        <v>2</v>
      </c>
      <c r="L463" s="28" t="str">
        <f aca="false">IF(Data!L463="","",IFERROR(VLOOKUP(Data!L463,Codes!$A$34:$B$36,2,FALSE()),"Invalid ("&amp;Data!L463&amp;")"))</f>
        <v>Flat</v>
      </c>
      <c r="M463" s="20" t="str">
        <f aca="false">IF(Data!M463="","",Data!M463)</f>
        <v/>
      </c>
      <c r="N463" s="28" t="str">
        <f aca="false">IF(Data!N463="","",IFERROR(VLOOKUP(Data!N463,Codes!$A$47:$B$49,2,FALSE()),"Invalid ("&amp;Data!N463&amp;")"))</f>
        <v/>
      </c>
      <c r="O463" s="28" t="str">
        <f aca="false">IF(Data!O463="","",IFERROR(VLOOKUP(Data!O463,Codes!$A$53:$B$57,2,FALSE()),"Invalid ("&amp;Data!O463&amp;")"))</f>
        <v>Disease (3)</v>
      </c>
      <c r="P463" s="22" t="str">
        <f aca="false">IF(Data!P463="","",IFERROR(VLOOKUP(Data!P463,Codes!$A$61:$B$64,2,FALSE()),"Invalid ("&amp;Data!P463&amp;")"))</f>
        <v>Hungarian Inst. of Cardiology, Budapest</v>
      </c>
    </row>
    <row r="464" customFormat="false" ht="15" hidden="false" customHeight="false" outlineLevel="0" collapsed="false">
      <c r="A464" s="19" t="n">
        <f aca="false">Data!A464</f>
        <v>463</v>
      </c>
      <c r="B464" s="20" t="n">
        <f aca="false">IF(Data!B464="","",Data!B464)</f>
        <v>54</v>
      </c>
      <c r="C464" s="28" t="str">
        <f aca="false">IF(Data!C464="","",IFERROR(VLOOKUP(Data!C464,Codes!$A$6:$B$7,2,FALSE()),"Invalid ("&amp;Data!C464&amp;")"))</f>
        <v>Male</v>
      </c>
      <c r="D464" s="28" t="str">
        <f aca="false">IF(Data!D464="","",IFERROR(VLOOKUP(Data!D464,Codes!$A$11:$B$14,2,FALSE()),"Invalid ("&amp;Data!D464&amp;")"))</f>
        <v>Atypical angina</v>
      </c>
      <c r="E464" s="20" t="n">
        <f aca="false">IF(Data!E464="","",Data!E464)</f>
        <v>160</v>
      </c>
      <c r="F464" s="20" t="n">
        <f aca="false">IF(Data!F464="","",Data!F464)</f>
        <v>195</v>
      </c>
      <c r="G464" s="28" t="str">
        <f aca="false">IF(Data!G464="","",IFERROR(VLOOKUP(Data!G464,Codes!$A$18:$B$19,2,FALSE()),"Invalid ("&amp;Data!G464&amp;")"))</f>
        <v>No</v>
      </c>
      <c r="H464" s="28" t="str">
        <f aca="false">IF(Data!H464="","",IFERROR(VLOOKUP(Data!H464,Codes!$A$23:$B$25,2,FALSE()),"Invalid ("&amp;Data!H464&amp;")"))</f>
        <v>ST-T wave abnormality</v>
      </c>
      <c r="I464" s="20" t="n">
        <f aca="false">IF(Data!I464="","",Data!I464)</f>
        <v>130</v>
      </c>
      <c r="J464" s="28" t="str">
        <f aca="false">IF(Data!J464="","",IFERROR(VLOOKUP(Data!J464,Codes!$A$29:$B$30,2,FALSE()),"Invalid ("&amp;Data!J464&amp;")"))</f>
        <v>No</v>
      </c>
      <c r="K464" s="21" t="n">
        <f aca="false">IF(Data!K464="","",Data!K464)</f>
        <v>1</v>
      </c>
      <c r="L464" s="28" t="str">
        <f aca="false">IF(Data!L464="","",IFERROR(VLOOKUP(Data!L464,Codes!$A$34:$B$36,2,FALSE()),"Invalid ("&amp;Data!L464&amp;")"))</f>
        <v>Upsloping</v>
      </c>
      <c r="M464" s="20" t="str">
        <f aca="false">IF(Data!M464="","",Data!M464)</f>
        <v/>
      </c>
      <c r="N464" s="28" t="str">
        <f aca="false">IF(Data!N464="","",IFERROR(VLOOKUP(Data!N464,Codes!$A$47:$B$49,2,FALSE()),"Invalid ("&amp;Data!N464&amp;")"))</f>
        <v/>
      </c>
      <c r="O464" s="28" t="str">
        <f aca="false">IF(Data!O464="","",IFERROR(VLOOKUP(Data!O464,Codes!$A$53:$B$57,2,FALSE()),"Invalid ("&amp;Data!O464&amp;")"))</f>
        <v>No disease</v>
      </c>
      <c r="P464" s="22" t="str">
        <f aca="false">IF(Data!P464="","",IFERROR(VLOOKUP(Data!P464,Codes!$A$61:$B$64,2,FALSE()),"Invalid ("&amp;Data!P464&amp;")"))</f>
        <v>Hungarian Inst. of Cardiology, Budapest</v>
      </c>
    </row>
    <row r="465" customFormat="false" ht="15" hidden="false" customHeight="false" outlineLevel="0" collapsed="false">
      <c r="A465" s="19" t="n">
        <f aca="false">Data!A465</f>
        <v>464</v>
      </c>
      <c r="B465" s="20" t="n">
        <f aca="false">IF(Data!B465="","",Data!B465)</f>
        <v>59</v>
      </c>
      <c r="C465" s="28" t="str">
        <f aca="false">IF(Data!C465="","",IFERROR(VLOOKUP(Data!C465,Codes!$A$6:$B$7,2,FALSE()),"Invalid ("&amp;Data!C465&amp;")"))</f>
        <v>Male</v>
      </c>
      <c r="D465" s="28" t="str">
        <f aca="false">IF(Data!D465="","",IFERROR(VLOOKUP(Data!D465,Codes!$A$11:$B$14,2,FALSE()),"Invalid ("&amp;Data!D465&amp;")"))</f>
        <v>Asymptomatic</v>
      </c>
      <c r="E465" s="20" t="n">
        <f aca="false">IF(Data!E465="","",Data!E465)</f>
        <v>140</v>
      </c>
      <c r="F465" s="20" t="n">
        <f aca="false">IF(Data!F465="","",Data!F465)</f>
        <v>264</v>
      </c>
      <c r="G465" s="28" t="str">
        <f aca="false">IF(Data!G465="","",IFERROR(VLOOKUP(Data!G465,Codes!$A$18:$B$19,2,FALSE()),"Invalid ("&amp;Data!G465&amp;")"))</f>
        <v>Yes</v>
      </c>
      <c r="H465" s="28" t="str">
        <f aca="false">IF(Data!H465="","",IFERROR(VLOOKUP(Data!H465,Codes!$A$23:$B$25,2,FALSE()),"Invalid ("&amp;Data!H465&amp;")"))</f>
        <v>Left ventricular hypertrophy</v>
      </c>
      <c r="I465" s="20" t="n">
        <f aca="false">IF(Data!I465="","",Data!I465)</f>
        <v>119</v>
      </c>
      <c r="J465" s="28" t="str">
        <f aca="false">IF(Data!J465="","",IFERROR(VLOOKUP(Data!J465,Codes!$A$29:$B$30,2,FALSE()),"Invalid ("&amp;Data!J465&amp;")"))</f>
        <v>Yes</v>
      </c>
      <c r="K465" s="21" t="n">
        <f aca="false">IF(Data!K465="","",Data!K465)</f>
        <v>0</v>
      </c>
      <c r="L465" s="28" t="str">
        <f aca="false">IF(Data!L465="","",IFERROR(VLOOKUP(Data!L465,Codes!$A$34:$B$36,2,FALSE()),"Invalid ("&amp;Data!L465&amp;")"))</f>
        <v/>
      </c>
      <c r="M465" s="20" t="str">
        <f aca="false">IF(Data!M465="","",Data!M465)</f>
        <v/>
      </c>
      <c r="N465" s="28" t="str">
        <f aca="false">IF(Data!N465="","",IFERROR(VLOOKUP(Data!N465,Codes!$A$47:$B$49,2,FALSE()),"Invalid ("&amp;Data!N465&amp;")"))</f>
        <v/>
      </c>
      <c r="O465" s="28" t="str">
        <f aca="false">IF(Data!O465="","",IFERROR(VLOOKUP(Data!O465,Codes!$A$53:$B$57,2,FALSE()),"Invalid ("&amp;Data!O465&amp;")"))</f>
        <v>Disease (3)</v>
      </c>
      <c r="P465" s="22" t="str">
        <f aca="false">IF(Data!P465="","",IFERROR(VLOOKUP(Data!P465,Codes!$A$61:$B$64,2,FALSE()),"Invalid ("&amp;Data!P465&amp;")"))</f>
        <v>Hungarian Inst. of Cardiology, Budapest</v>
      </c>
    </row>
    <row r="466" customFormat="false" ht="15" hidden="false" customHeight="false" outlineLevel="0" collapsed="false">
      <c r="A466" s="19" t="n">
        <f aca="false">Data!A466</f>
        <v>465</v>
      </c>
      <c r="B466" s="20" t="n">
        <f aca="false">IF(Data!B466="","",Data!B466)</f>
        <v>49</v>
      </c>
      <c r="C466" s="28" t="str">
        <f aca="false">IF(Data!C466="","",IFERROR(VLOOKUP(Data!C466,Codes!$A$6:$B$7,2,FALSE()),"Invalid ("&amp;Data!C466&amp;")"))</f>
        <v>Male</v>
      </c>
      <c r="D466" s="28" t="str">
        <f aca="false">IF(Data!D466="","",IFERROR(VLOOKUP(Data!D466,Codes!$A$11:$B$14,2,FALSE()),"Invalid ("&amp;Data!D466&amp;")"))</f>
        <v>Asymptomatic</v>
      </c>
      <c r="E466" s="20" t="n">
        <f aca="false">IF(Data!E466="","",Data!E466)</f>
        <v>128</v>
      </c>
      <c r="F466" s="20" t="n">
        <f aca="false">IF(Data!F466="","",Data!F466)</f>
        <v>212</v>
      </c>
      <c r="G466" s="28" t="str">
        <f aca="false">IF(Data!G466="","",IFERROR(VLOOKUP(Data!G466,Codes!$A$18:$B$19,2,FALSE()),"Invalid ("&amp;Data!G466&amp;")"))</f>
        <v>No</v>
      </c>
      <c r="H466" s="28" t="str">
        <f aca="false">IF(Data!H466="","",IFERROR(VLOOKUP(Data!H466,Codes!$A$23:$B$25,2,FALSE()),"Invalid ("&amp;Data!H466&amp;")"))</f>
        <v>Normal</v>
      </c>
      <c r="I466" s="20" t="n">
        <f aca="false">IF(Data!I466="","",Data!I466)</f>
        <v>96</v>
      </c>
      <c r="J466" s="28" t="str">
        <f aca="false">IF(Data!J466="","",IFERROR(VLOOKUP(Data!J466,Codes!$A$29:$B$30,2,FALSE()),"Invalid ("&amp;Data!J466&amp;")"))</f>
        <v>Yes</v>
      </c>
      <c r="K466" s="21" t="n">
        <f aca="false">IF(Data!K466="","",Data!K466)</f>
        <v>0</v>
      </c>
      <c r="L466" s="28" t="str">
        <f aca="false">IF(Data!L466="","",IFERROR(VLOOKUP(Data!L466,Codes!$A$34:$B$36,2,FALSE()),"Invalid ("&amp;Data!L466&amp;")"))</f>
        <v/>
      </c>
      <c r="M466" s="20" t="str">
        <f aca="false">IF(Data!M466="","",Data!M466)</f>
        <v/>
      </c>
      <c r="N466" s="28" t="str">
        <f aca="false">IF(Data!N466="","",IFERROR(VLOOKUP(Data!N466,Codes!$A$47:$B$49,2,FALSE()),"Invalid ("&amp;Data!N466&amp;")"))</f>
        <v/>
      </c>
      <c r="O466" s="28" t="str">
        <f aca="false">IF(Data!O466="","",IFERROR(VLOOKUP(Data!O466,Codes!$A$53:$B$57,2,FALSE()),"Invalid ("&amp;Data!O466&amp;")"))</f>
        <v>Disease (4)</v>
      </c>
      <c r="P466" s="22" t="str">
        <f aca="false">IF(Data!P466="","",IFERROR(VLOOKUP(Data!P466,Codes!$A$61:$B$64,2,FALSE()),"Invalid ("&amp;Data!P466&amp;")"))</f>
        <v>Hungarian Inst. of Cardiology, Budapest</v>
      </c>
    </row>
    <row r="467" customFormat="false" ht="15" hidden="false" customHeight="false" outlineLevel="0" collapsed="false">
      <c r="A467" s="19" t="n">
        <f aca="false">Data!A467</f>
        <v>466</v>
      </c>
      <c r="B467" s="20" t="n">
        <f aca="false">IF(Data!B467="","",Data!B467)</f>
        <v>47</v>
      </c>
      <c r="C467" s="28" t="str">
        <f aca="false">IF(Data!C467="","",IFERROR(VLOOKUP(Data!C467,Codes!$A$6:$B$7,2,FALSE()),"Invalid ("&amp;Data!C467&amp;")"))</f>
        <v>Male</v>
      </c>
      <c r="D467" s="28" t="str">
        <f aca="false">IF(Data!D467="","",IFERROR(VLOOKUP(Data!D467,Codes!$A$11:$B$14,2,FALSE()),"Invalid ("&amp;Data!D467&amp;")"))</f>
        <v>Atypical angina</v>
      </c>
      <c r="E467" s="20" t="n">
        <f aca="false">IF(Data!E467="","",Data!E467)</f>
        <v>160</v>
      </c>
      <c r="F467" s="20" t="n">
        <f aca="false">IF(Data!F467="","",Data!F467)</f>
        <v>263</v>
      </c>
      <c r="G467" s="28" t="str">
        <f aca="false">IF(Data!G467="","",IFERROR(VLOOKUP(Data!G467,Codes!$A$18:$B$19,2,FALSE()),"Invalid ("&amp;Data!G467&amp;")"))</f>
        <v>No</v>
      </c>
      <c r="H467" s="28" t="str">
        <f aca="false">IF(Data!H467="","",IFERROR(VLOOKUP(Data!H467,Codes!$A$23:$B$25,2,FALSE()),"Invalid ("&amp;Data!H467&amp;")"))</f>
        <v>Normal</v>
      </c>
      <c r="I467" s="20" t="n">
        <f aca="false">IF(Data!I467="","",Data!I467)</f>
        <v>174</v>
      </c>
      <c r="J467" s="28" t="str">
        <f aca="false">IF(Data!J467="","",IFERROR(VLOOKUP(Data!J467,Codes!$A$29:$B$30,2,FALSE()),"Invalid ("&amp;Data!J467&amp;")"))</f>
        <v>No</v>
      </c>
      <c r="K467" s="21" t="n">
        <f aca="false">IF(Data!K467="","",Data!K467)</f>
        <v>0</v>
      </c>
      <c r="L467" s="28" t="str">
        <f aca="false">IF(Data!L467="","",IFERROR(VLOOKUP(Data!L467,Codes!$A$34:$B$36,2,FALSE()),"Invalid ("&amp;Data!L467&amp;")"))</f>
        <v/>
      </c>
      <c r="M467" s="20" t="str">
        <f aca="false">IF(Data!M467="","",Data!M467)</f>
        <v/>
      </c>
      <c r="N467" s="28" t="str">
        <f aca="false">IF(Data!N467="","",IFERROR(VLOOKUP(Data!N467,Codes!$A$47:$B$49,2,FALSE()),"Invalid ("&amp;Data!N467&amp;")"))</f>
        <v/>
      </c>
      <c r="O467" s="28" t="str">
        <f aca="false">IF(Data!O467="","",IFERROR(VLOOKUP(Data!O467,Codes!$A$53:$B$57,2,FALSE()),"Invalid ("&amp;Data!O467&amp;")"))</f>
        <v>No disease</v>
      </c>
      <c r="P467" s="22" t="str">
        <f aca="false">IF(Data!P467="","",IFERROR(VLOOKUP(Data!P467,Codes!$A$61:$B$64,2,FALSE()),"Invalid ("&amp;Data!P467&amp;")"))</f>
        <v>Hungarian Inst. of Cardiology, Budapest</v>
      </c>
    </row>
    <row r="468" customFormat="false" ht="15" hidden="false" customHeight="false" outlineLevel="0" collapsed="false">
      <c r="A468" s="19" t="n">
        <f aca="false">Data!A468</f>
        <v>467</v>
      </c>
      <c r="B468" s="20" t="n">
        <f aca="false">IF(Data!B468="","",Data!B468)</f>
        <v>49</v>
      </c>
      <c r="C468" s="28" t="str">
        <f aca="false">IF(Data!C468="","",IFERROR(VLOOKUP(Data!C468,Codes!$A$6:$B$7,2,FALSE()),"Invalid ("&amp;Data!C468&amp;")"))</f>
        <v>Female</v>
      </c>
      <c r="D468" s="28" t="str">
        <f aca="false">IF(Data!D468="","",IFERROR(VLOOKUP(Data!D468,Codes!$A$11:$B$14,2,FALSE()),"Invalid ("&amp;Data!D468&amp;")"))</f>
        <v>Atypical angina</v>
      </c>
      <c r="E468" s="20" t="n">
        <f aca="false">IF(Data!E468="","",Data!E468)</f>
        <v>110</v>
      </c>
      <c r="F468" s="20" t="str">
        <f aca="false">IF(Data!F468="","",Data!F468)</f>
        <v/>
      </c>
      <c r="G468" s="28" t="str">
        <f aca="false">IF(Data!G468="","",IFERROR(VLOOKUP(Data!G468,Codes!$A$18:$B$19,2,FALSE()),"Invalid ("&amp;Data!G468&amp;")"))</f>
        <v>No</v>
      </c>
      <c r="H468" s="28" t="str">
        <f aca="false">IF(Data!H468="","",IFERROR(VLOOKUP(Data!H468,Codes!$A$23:$B$25,2,FALSE()),"Invalid ("&amp;Data!H468&amp;")"))</f>
        <v>Normal</v>
      </c>
      <c r="I468" s="20" t="n">
        <f aca="false">IF(Data!I468="","",Data!I468)</f>
        <v>160</v>
      </c>
      <c r="J468" s="28" t="str">
        <f aca="false">IF(Data!J468="","",IFERROR(VLOOKUP(Data!J468,Codes!$A$29:$B$30,2,FALSE()),"Invalid ("&amp;Data!J468&amp;")"))</f>
        <v>No</v>
      </c>
      <c r="K468" s="21" t="n">
        <f aca="false">IF(Data!K468="","",Data!K468)</f>
        <v>0</v>
      </c>
      <c r="L468" s="28" t="str">
        <f aca="false">IF(Data!L468="","",IFERROR(VLOOKUP(Data!L468,Codes!$A$34:$B$36,2,FALSE()),"Invalid ("&amp;Data!L468&amp;")"))</f>
        <v/>
      </c>
      <c r="M468" s="20" t="str">
        <f aca="false">IF(Data!M468="","",Data!M468)</f>
        <v/>
      </c>
      <c r="N468" s="28" t="str">
        <f aca="false">IF(Data!N468="","",IFERROR(VLOOKUP(Data!N468,Codes!$A$47:$B$49,2,FALSE()),"Invalid ("&amp;Data!N468&amp;")"))</f>
        <v/>
      </c>
      <c r="O468" s="28" t="str">
        <f aca="false">IF(Data!O468="","",IFERROR(VLOOKUP(Data!O468,Codes!$A$53:$B$57,2,FALSE()),"Invalid ("&amp;Data!O468&amp;")"))</f>
        <v>No disease</v>
      </c>
      <c r="P468" s="22" t="str">
        <f aca="false">IF(Data!P468="","",IFERROR(VLOOKUP(Data!P468,Codes!$A$61:$B$64,2,FALSE()),"Invalid ("&amp;Data!P468&amp;")"))</f>
        <v>Hungarian Inst. of Cardiology, Budapest</v>
      </c>
    </row>
    <row r="469" customFormat="false" ht="15" hidden="false" customHeight="false" outlineLevel="0" collapsed="false">
      <c r="A469" s="19" t="n">
        <f aca="false">Data!A469</f>
        <v>468</v>
      </c>
      <c r="B469" s="20" t="n">
        <f aca="false">IF(Data!B469="","",Data!B469)</f>
        <v>42</v>
      </c>
      <c r="C469" s="28" t="str">
        <f aca="false">IF(Data!C469="","",IFERROR(VLOOKUP(Data!C469,Codes!$A$6:$B$7,2,FALSE()),"Invalid ("&amp;Data!C469&amp;")"))</f>
        <v>Male</v>
      </c>
      <c r="D469" s="28" t="str">
        <f aca="false">IF(Data!D469="","",IFERROR(VLOOKUP(Data!D469,Codes!$A$11:$B$14,2,FALSE()),"Invalid ("&amp;Data!D469&amp;")"))</f>
        <v>Atypical angina</v>
      </c>
      <c r="E469" s="20" t="n">
        <f aca="false">IF(Data!E469="","",Data!E469)</f>
        <v>120</v>
      </c>
      <c r="F469" s="20" t="n">
        <f aca="false">IF(Data!F469="","",Data!F469)</f>
        <v>196</v>
      </c>
      <c r="G469" s="28" t="str">
        <f aca="false">IF(Data!G469="","",IFERROR(VLOOKUP(Data!G469,Codes!$A$18:$B$19,2,FALSE()),"Invalid ("&amp;Data!G469&amp;")"))</f>
        <v>No</v>
      </c>
      <c r="H469" s="28" t="str">
        <f aca="false">IF(Data!H469="","",IFERROR(VLOOKUP(Data!H469,Codes!$A$23:$B$25,2,FALSE()),"Invalid ("&amp;Data!H469&amp;")"))</f>
        <v>Normal</v>
      </c>
      <c r="I469" s="20" t="n">
        <f aca="false">IF(Data!I469="","",Data!I469)</f>
        <v>150</v>
      </c>
      <c r="J469" s="28" t="str">
        <f aca="false">IF(Data!J469="","",IFERROR(VLOOKUP(Data!J469,Codes!$A$29:$B$30,2,FALSE()),"Invalid ("&amp;Data!J469&amp;")"))</f>
        <v>No</v>
      </c>
      <c r="K469" s="21" t="n">
        <f aca="false">IF(Data!K469="","",Data!K469)</f>
        <v>0</v>
      </c>
      <c r="L469" s="28" t="str">
        <f aca="false">IF(Data!L469="","",IFERROR(VLOOKUP(Data!L469,Codes!$A$34:$B$36,2,FALSE()),"Invalid ("&amp;Data!L469&amp;")"))</f>
        <v/>
      </c>
      <c r="M469" s="20" t="str">
        <f aca="false">IF(Data!M469="","",Data!M469)</f>
        <v/>
      </c>
      <c r="N469" s="28" t="str">
        <f aca="false">IF(Data!N469="","",IFERROR(VLOOKUP(Data!N469,Codes!$A$47:$B$49,2,FALSE()),"Invalid ("&amp;Data!N469&amp;")"))</f>
        <v/>
      </c>
      <c r="O469" s="28" t="str">
        <f aca="false">IF(Data!O469="","",IFERROR(VLOOKUP(Data!O469,Codes!$A$53:$B$57,2,FALSE()),"Invalid ("&amp;Data!O469&amp;")"))</f>
        <v>No disease</v>
      </c>
      <c r="P469" s="22" t="str">
        <f aca="false">IF(Data!P469="","",IFERROR(VLOOKUP(Data!P469,Codes!$A$61:$B$64,2,FALSE()),"Invalid ("&amp;Data!P469&amp;")"))</f>
        <v>Hungarian Inst. of Cardiology, Budapest</v>
      </c>
    </row>
    <row r="470" customFormat="false" ht="15" hidden="false" customHeight="false" outlineLevel="0" collapsed="false">
      <c r="A470" s="19" t="n">
        <f aca="false">Data!A470</f>
        <v>469</v>
      </c>
      <c r="B470" s="20" t="n">
        <f aca="false">IF(Data!B470="","",Data!B470)</f>
        <v>52</v>
      </c>
      <c r="C470" s="28" t="str">
        <f aca="false">IF(Data!C470="","",IFERROR(VLOOKUP(Data!C470,Codes!$A$6:$B$7,2,FALSE()),"Invalid ("&amp;Data!C470&amp;")"))</f>
        <v>Female</v>
      </c>
      <c r="D470" s="28" t="str">
        <f aca="false">IF(Data!D470="","",IFERROR(VLOOKUP(Data!D470,Codes!$A$11:$B$14,2,FALSE()),"Invalid ("&amp;Data!D470&amp;")"))</f>
        <v>Atypical angina</v>
      </c>
      <c r="E470" s="20" t="n">
        <f aca="false">IF(Data!E470="","",Data!E470)</f>
        <v>140</v>
      </c>
      <c r="F470" s="20" t="str">
        <f aca="false">IF(Data!F470="","",Data!F470)</f>
        <v/>
      </c>
      <c r="G470" s="28" t="str">
        <f aca="false">IF(Data!G470="","",IFERROR(VLOOKUP(Data!G470,Codes!$A$18:$B$19,2,FALSE()),"Invalid ("&amp;Data!G470&amp;")"))</f>
        <v>No</v>
      </c>
      <c r="H470" s="28" t="str">
        <f aca="false">IF(Data!H470="","",IFERROR(VLOOKUP(Data!H470,Codes!$A$23:$B$25,2,FALSE()),"Invalid ("&amp;Data!H470&amp;")"))</f>
        <v>Normal</v>
      </c>
      <c r="I470" s="20" t="n">
        <f aca="false">IF(Data!I470="","",Data!I470)</f>
        <v>140</v>
      </c>
      <c r="J470" s="28" t="str">
        <f aca="false">IF(Data!J470="","",IFERROR(VLOOKUP(Data!J470,Codes!$A$29:$B$30,2,FALSE()),"Invalid ("&amp;Data!J470&amp;")"))</f>
        <v>No</v>
      </c>
      <c r="K470" s="21" t="n">
        <f aca="false">IF(Data!K470="","",Data!K470)</f>
        <v>0</v>
      </c>
      <c r="L470" s="28" t="str">
        <f aca="false">IF(Data!L470="","",IFERROR(VLOOKUP(Data!L470,Codes!$A$34:$B$36,2,FALSE()),"Invalid ("&amp;Data!L470&amp;")"))</f>
        <v/>
      </c>
      <c r="M470" s="20" t="str">
        <f aca="false">IF(Data!M470="","",Data!M470)</f>
        <v/>
      </c>
      <c r="N470" s="28" t="str">
        <f aca="false">IF(Data!N470="","",IFERROR(VLOOKUP(Data!N470,Codes!$A$47:$B$49,2,FALSE()),"Invalid ("&amp;Data!N470&amp;")"))</f>
        <v/>
      </c>
      <c r="O470" s="28" t="str">
        <f aca="false">IF(Data!O470="","",IFERROR(VLOOKUP(Data!O470,Codes!$A$53:$B$57,2,FALSE()),"Invalid ("&amp;Data!O470&amp;")"))</f>
        <v>No disease</v>
      </c>
      <c r="P470" s="22" t="str">
        <f aca="false">IF(Data!P470="","",IFERROR(VLOOKUP(Data!P470,Codes!$A$61:$B$64,2,FALSE()),"Invalid ("&amp;Data!P470&amp;")"))</f>
        <v>Hungarian Inst. of Cardiology, Budapest</v>
      </c>
    </row>
    <row r="471" customFormat="false" ht="15" hidden="false" customHeight="false" outlineLevel="0" collapsed="false">
      <c r="A471" s="19" t="n">
        <f aca="false">Data!A471</f>
        <v>470</v>
      </c>
      <c r="B471" s="20" t="n">
        <f aca="false">IF(Data!B471="","",Data!B471)</f>
        <v>46</v>
      </c>
      <c r="C471" s="28" t="str">
        <f aca="false">IF(Data!C471="","",IFERROR(VLOOKUP(Data!C471,Codes!$A$6:$B$7,2,FALSE()),"Invalid ("&amp;Data!C471&amp;")"))</f>
        <v>Male</v>
      </c>
      <c r="D471" s="28" t="str">
        <f aca="false">IF(Data!D471="","",IFERROR(VLOOKUP(Data!D471,Codes!$A$11:$B$14,2,FALSE()),"Invalid ("&amp;Data!D471&amp;")"))</f>
        <v>Typical angina</v>
      </c>
      <c r="E471" s="20" t="n">
        <f aca="false">IF(Data!E471="","",Data!E471)</f>
        <v>140</v>
      </c>
      <c r="F471" s="20" t="n">
        <f aca="false">IF(Data!F471="","",Data!F471)</f>
        <v>272</v>
      </c>
      <c r="G471" s="28" t="str">
        <f aca="false">IF(Data!G471="","",IFERROR(VLOOKUP(Data!G471,Codes!$A$18:$B$19,2,FALSE()),"Invalid ("&amp;Data!G471&amp;")"))</f>
        <v>Yes</v>
      </c>
      <c r="H471" s="28" t="str">
        <f aca="false">IF(Data!H471="","",IFERROR(VLOOKUP(Data!H471,Codes!$A$23:$B$25,2,FALSE()),"Invalid ("&amp;Data!H471&amp;")"))</f>
        <v>Normal</v>
      </c>
      <c r="I471" s="20" t="n">
        <f aca="false">IF(Data!I471="","",Data!I471)</f>
        <v>175</v>
      </c>
      <c r="J471" s="28" t="str">
        <f aca="false">IF(Data!J471="","",IFERROR(VLOOKUP(Data!J471,Codes!$A$29:$B$30,2,FALSE()),"Invalid ("&amp;Data!J471&amp;")"))</f>
        <v>No</v>
      </c>
      <c r="K471" s="21" t="n">
        <f aca="false">IF(Data!K471="","",Data!K471)</f>
        <v>2</v>
      </c>
      <c r="L471" s="28" t="str">
        <f aca="false">IF(Data!L471="","",IFERROR(VLOOKUP(Data!L471,Codes!$A$34:$B$36,2,FALSE()),"Invalid ("&amp;Data!L471&amp;")"))</f>
        <v>Flat</v>
      </c>
      <c r="M471" s="20" t="str">
        <f aca="false">IF(Data!M471="","",Data!M471)</f>
        <v/>
      </c>
      <c r="N471" s="28" t="str">
        <f aca="false">IF(Data!N471="","",IFERROR(VLOOKUP(Data!N471,Codes!$A$47:$B$49,2,FALSE()),"Invalid ("&amp;Data!N471&amp;")"))</f>
        <v/>
      </c>
      <c r="O471" s="28" t="str">
        <f aca="false">IF(Data!O471="","",IFERROR(VLOOKUP(Data!O471,Codes!$A$53:$B$57,2,FALSE()),"Invalid ("&amp;Data!O471&amp;")"))</f>
        <v>Disease (3)</v>
      </c>
      <c r="P471" s="22" t="str">
        <f aca="false">IF(Data!P471="","",IFERROR(VLOOKUP(Data!P471,Codes!$A$61:$B$64,2,FALSE()),"Invalid ("&amp;Data!P471&amp;")"))</f>
        <v>Hungarian Inst. of Cardiology, Budapest</v>
      </c>
    </row>
    <row r="472" customFormat="false" ht="15" hidden="false" customHeight="false" outlineLevel="0" collapsed="false">
      <c r="A472" s="19" t="n">
        <f aca="false">Data!A472</f>
        <v>471</v>
      </c>
      <c r="B472" s="20" t="n">
        <f aca="false">IF(Data!B472="","",Data!B472)</f>
        <v>50</v>
      </c>
      <c r="C472" s="28" t="str">
        <f aca="false">IF(Data!C472="","",IFERROR(VLOOKUP(Data!C472,Codes!$A$6:$B$7,2,FALSE()),"Invalid ("&amp;Data!C472&amp;")"))</f>
        <v>Male</v>
      </c>
      <c r="D472" s="28" t="str">
        <f aca="false">IF(Data!D472="","",IFERROR(VLOOKUP(Data!D472,Codes!$A$11:$B$14,2,FALSE()),"Invalid ("&amp;Data!D472&amp;")"))</f>
        <v>Asymptomatic</v>
      </c>
      <c r="E472" s="20" t="n">
        <f aca="false">IF(Data!E472="","",Data!E472)</f>
        <v>140</v>
      </c>
      <c r="F472" s="20" t="n">
        <f aca="false">IF(Data!F472="","",Data!F472)</f>
        <v>231</v>
      </c>
      <c r="G472" s="28" t="str">
        <f aca="false">IF(Data!G472="","",IFERROR(VLOOKUP(Data!G472,Codes!$A$18:$B$19,2,FALSE()),"Invalid ("&amp;Data!G472&amp;")"))</f>
        <v>No</v>
      </c>
      <c r="H472" s="28" t="str">
        <f aca="false">IF(Data!H472="","",IFERROR(VLOOKUP(Data!H472,Codes!$A$23:$B$25,2,FALSE()),"Invalid ("&amp;Data!H472&amp;")"))</f>
        <v>ST-T wave abnormality</v>
      </c>
      <c r="I472" s="20" t="n">
        <f aca="false">IF(Data!I472="","",Data!I472)</f>
        <v>140</v>
      </c>
      <c r="J472" s="28" t="str">
        <f aca="false">IF(Data!J472="","",IFERROR(VLOOKUP(Data!J472,Codes!$A$29:$B$30,2,FALSE()),"Invalid ("&amp;Data!J472&amp;")"))</f>
        <v>Yes</v>
      </c>
      <c r="K472" s="21" t="n">
        <f aca="false">IF(Data!K472="","",Data!K472)</f>
        <v>5</v>
      </c>
      <c r="L472" s="28" t="str">
        <f aca="false">IF(Data!L472="","",IFERROR(VLOOKUP(Data!L472,Codes!$A$34:$B$36,2,FALSE()),"Invalid ("&amp;Data!L472&amp;")"))</f>
        <v>Flat</v>
      </c>
      <c r="M472" s="20" t="str">
        <f aca="false">IF(Data!M472="","",Data!M472)</f>
        <v/>
      </c>
      <c r="N472" s="28" t="str">
        <f aca="false">IF(Data!N472="","",IFERROR(VLOOKUP(Data!N472,Codes!$A$47:$B$49,2,FALSE()),"Invalid ("&amp;Data!N472&amp;")"))</f>
        <v/>
      </c>
      <c r="O472" s="28" t="str">
        <f aca="false">IF(Data!O472="","",IFERROR(VLOOKUP(Data!O472,Codes!$A$53:$B$57,2,FALSE()),"Invalid ("&amp;Data!O472&amp;")"))</f>
        <v>Disease (4)</v>
      </c>
      <c r="P472" s="22" t="str">
        <f aca="false">IF(Data!P472="","",IFERROR(VLOOKUP(Data!P472,Codes!$A$61:$B$64,2,FALSE()),"Invalid ("&amp;Data!P472&amp;")"))</f>
        <v>Hungarian Inst. of Cardiology, Budapest</v>
      </c>
    </row>
    <row r="473" customFormat="false" ht="15" hidden="false" customHeight="false" outlineLevel="0" collapsed="false">
      <c r="A473" s="19" t="n">
        <f aca="false">Data!A473</f>
        <v>472</v>
      </c>
      <c r="B473" s="20" t="n">
        <f aca="false">IF(Data!B473="","",Data!B473)</f>
        <v>48</v>
      </c>
      <c r="C473" s="28" t="str">
        <f aca="false">IF(Data!C473="","",IFERROR(VLOOKUP(Data!C473,Codes!$A$6:$B$7,2,FALSE()),"Invalid ("&amp;Data!C473&amp;")"))</f>
        <v>Male</v>
      </c>
      <c r="D473" s="28" t="str">
        <f aca="false">IF(Data!D473="","",IFERROR(VLOOKUP(Data!D473,Codes!$A$11:$B$14,2,FALSE()),"Invalid ("&amp;Data!D473&amp;")"))</f>
        <v>Atypical angina</v>
      </c>
      <c r="E473" s="20" t="n">
        <f aca="false">IF(Data!E473="","",Data!E473)</f>
        <v>140</v>
      </c>
      <c r="F473" s="20" t="n">
        <f aca="false">IF(Data!F473="","",Data!F473)</f>
        <v>238</v>
      </c>
      <c r="G473" s="28" t="str">
        <f aca="false">IF(Data!G473="","",IFERROR(VLOOKUP(Data!G473,Codes!$A$18:$B$19,2,FALSE()),"Invalid ("&amp;Data!G473&amp;")"))</f>
        <v>No</v>
      </c>
      <c r="H473" s="28" t="str">
        <f aca="false">IF(Data!H473="","",IFERROR(VLOOKUP(Data!H473,Codes!$A$23:$B$25,2,FALSE()),"Invalid ("&amp;Data!H473&amp;")"))</f>
        <v>Normal</v>
      </c>
      <c r="I473" s="20" t="n">
        <f aca="false">IF(Data!I473="","",Data!I473)</f>
        <v>118</v>
      </c>
      <c r="J473" s="28" t="str">
        <f aca="false">IF(Data!J473="","",IFERROR(VLOOKUP(Data!J473,Codes!$A$29:$B$30,2,FALSE()),"Invalid ("&amp;Data!J473&amp;")"))</f>
        <v>No</v>
      </c>
      <c r="K473" s="21" t="n">
        <f aca="false">IF(Data!K473="","",Data!K473)</f>
        <v>0</v>
      </c>
      <c r="L473" s="28" t="str">
        <f aca="false">IF(Data!L473="","",IFERROR(VLOOKUP(Data!L473,Codes!$A$34:$B$36,2,FALSE()),"Invalid ("&amp;Data!L473&amp;")"))</f>
        <v/>
      </c>
      <c r="M473" s="20" t="str">
        <f aca="false">IF(Data!M473="","",Data!M473)</f>
        <v/>
      </c>
      <c r="N473" s="28" t="str">
        <f aca="false">IF(Data!N473="","",IFERROR(VLOOKUP(Data!N473,Codes!$A$47:$B$49,2,FALSE()),"Invalid ("&amp;Data!N473&amp;")"))</f>
        <v/>
      </c>
      <c r="O473" s="28" t="str">
        <f aca="false">IF(Data!O473="","",IFERROR(VLOOKUP(Data!O473,Codes!$A$53:$B$57,2,FALSE()),"Invalid ("&amp;Data!O473&amp;")"))</f>
        <v>No disease</v>
      </c>
      <c r="P473" s="22" t="str">
        <f aca="false">IF(Data!P473="","",IFERROR(VLOOKUP(Data!P473,Codes!$A$61:$B$64,2,FALSE()),"Invalid ("&amp;Data!P473&amp;")"))</f>
        <v>Hungarian Inst. of Cardiology, Budapest</v>
      </c>
    </row>
    <row r="474" customFormat="false" ht="15" hidden="false" customHeight="false" outlineLevel="0" collapsed="false">
      <c r="A474" s="19" t="n">
        <f aca="false">Data!A474</f>
        <v>473</v>
      </c>
      <c r="B474" s="20" t="n">
        <f aca="false">IF(Data!B474="","",Data!B474)</f>
        <v>58</v>
      </c>
      <c r="C474" s="28" t="str">
        <f aca="false">IF(Data!C474="","",IFERROR(VLOOKUP(Data!C474,Codes!$A$6:$B$7,2,FALSE()),"Invalid ("&amp;Data!C474&amp;")"))</f>
        <v>Male</v>
      </c>
      <c r="D474" s="28" t="str">
        <f aca="false">IF(Data!D474="","",IFERROR(VLOOKUP(Data!D474,Codes!$A$11:$B$14,2,FALSE()),"Invalid ("&amp;Data!D474&amp;")"))</f>
        <v>Asymptomatic</v>
      </c>
      <c r="E474" s="20" t="n">
        <f aca="false">IF(Data!E474="","",Data!E474)</f>
        <v>135</v>
      </c>
      <c r="F474" s="20" t="n">
        <f aca="false">IF(Data!F474="","",Data!F474)</f>
        <v>222</v>
      </c>
      <c r="G474" s="28" t="str">
        <f aca="false">IF(Data!G474="","",IFERROR(VLOOKUP(Data!G474,Codes!$A$18:$B$19,2,FALSE()),"Invalid ("&amp;Data!G474&amp;")"))</f>
        <v>No</v>
      </c>
      <c r="H474" s="28" t="str">
        <f aca="false">IF(Data!H474="","",IFERROR(VLOOKUP(Data!H474,Codes!$A$23:$B$25,2,FALSE()),"Invalid ("&amp;Data!H474&amp;")"))</f>
        <v>Normal</v>
      </c>
      <c r="I474" s="20" t="n">
        <f aca="false">IF(Data!I474="","",Data!I474)</f>
        <v>100</v>
      </c>
      <c r="J474" s="28" t="str">
        <f aca="false">IF(Data!J474="","",IFERROR(VLOOKUP(Data!J474,Codes!$A$29:$B$30,2,FALSE()),"Invalid ("&amp;Data!J474&amp;")"))</f>
        <v>No</v>
      </c>
      <c r="K474" s="21" t="n">
        <f aca="false">IF(Data!K474="","",Data!K474)</f>
        <v>0</v>
      </c>
      <c r="L474" s="28" t="str">
        <f aca="false">IF(Data!L474="","",IFERROR(VLOOKUP(Data!L474,Codes!$A$34:$B$36,2,FALSE()),"Invalid ("&amp;Data!L474&amp;")"))</f>
        <v/>
      </c>
      <c r="M474" s="20" t="str">
        <f aca="false">IF(Data!M474="","",Data!M474)</f>
        <v/>
      </c>
      <c r="N474" s="28" t="str">
        <f aca="false">IF(Data!N474="","",IFERROR(VLOOKUP(Data!N474,Codes!$A$47:$B$49,2,FALSE()),"Invalid ("&amp;Data!N474&amp;")"))</f>
        <v/>
      </c>
      <c r="O474" s="28" t="str">
        <f aca="false">IF(Data!O474="","",IFERROR(VLOOKUP(Data!O474,Codes!$A$53:$B$57,2,FALSE()),"Invalid ("&amp;Data!O474&amp;")"))</f>
        <v>No disease</v>
      </c>
      <c r="P474" s="22" t="str">
        <f aca="false">IF(Data!P474="","",IFERROR(VLOOKUP(Data!P474,Codes!$A$61:$B$64,2,FALSE()),"Invalid ("&amp;Data!P474&amp;")"))</f>
        <v>Hungarian Inst. of Cardiology, Budapest</v>
      </c>
    </row>
    <row r="475" customFormat="false" ht="15" hidden="false" customHeight="false" outlineLevel="0" collapsed="false">
      <c r="A475" s="19" t="n">
        <f aca="false">Data!A475</f>
        <v>474</v>
      </c>
      <c r="B475" s="20" t="n">
        <f aca="false">IF(Data!B475="","",Data!B475)</f>
        <v>58</v>
      </c>
      <c r="C475" s="28" t="str">
        <f aca="false">IF(Data!C475="","",IFERROR(VLOOKUP(Data!C475,Codes!$A$6:$B$7,2,FALSE()),"Invalid ("&amp;Data!C475&amp;")"))</f>
        <v>Male</v>
      </c>
      <c r="D475" s="28" t="str">
        <f aca="false">IF(Data!D475="","",IFERROR(VLOOKUP(Data!D475,Codes!$A$11:$B$14,2,FALSE()),"Invalid ("&amp;Data!D475&amp;")"))</f>
        <v>Non-anginal pain</v>
      </c>
      <c r="E475" s="20" t="n">
        <f aca="false">IF(Data!E475="","",Data!E475)</f>
        <v>140</v>
      </c>
      <c r="F475" s="20" t="n">
        <f aca="false">IF(Data!F475="","",Data!F475)</f>
        <v>179</v>
      </c>
      <c r="G475" s="28" t="str">
        <f aca="false">IF(Data!G475="","",IFERROR(VLOOKUP(Data!G475,Codes!$A$18:$B$19,2,FALSE()),"Invalid ("&amp;Data!G475&amp;")"))</f>
        <v>No</v>
      </c>
      <c r="H475" s="28" t="str">
        <f aca="false">IF(Data!H475="","",IFERROR(VLOOKUP(Data!H475,Codes!$A$23:$B$25,2,FALSE()),"Invalid ("&amp;Data!H475&amp;")"))</f>
        <v>Normal</v>
      </c>
      <c r="I475" s="20" t="n">
        <f aca="false">IF(Data!I475="","",Data!I475)</f>
        <v>160</v>
      </c>
      <c r="J475" s="28" t="str">
        <f aca="false">IF(Data!J475="","",IFERROR(VLOOKUP(Data!J475,Codes!$A$29:$B$30,2,FALSE()),"Invalid ("&amp;Data!J475&amp;")"))</f>
        <v>No</v>
      </c>
      <c r="K475" s="21" t="n">
        <f aca="false">IF(Data!K475="","",Data!K475)</f>
        <v>0</v>
      </c>
      <c r="L475" s="28" t="str">
        <f aca="false">IF(Data!L475="","",IFERROR(VLOOKUP(Data!L475,Codes!$A$34:$B$36,2,FALSE()),"Invalid ("&amp;Data!L475&amp;")"))</f>
        <v/>
      </c>
      <c r="M475" s="20" t="str">
        <f aca="false">IF(Data!M475="","",Data!M475)</f>
        <v/>
      </c>
      <c r="N475" s="28" t="str">
        <f aca="false">IF(Data!N475="","",IFERROR(VLOOKUP(Data!N475,Codes!$A$47:$B$49,2,FALSE()),"Invalid ("&amp;Data!N475&amp;")"))</f>
        <v/>
      </c>
      <c r="O475" s="28" t="str">
        <f aca="false">IF(Data!O475="","",IFERROR(VLOOKUP(Data!O475,Codes!$A$53:$B$57,2,FALSE()),"Invalid ("&amp;Data!O475&amp;")"))</f>
        <v>No disease</v>
      </c>
      <c r="P475" s="22" t="str">
        <f aca="false">IF(Data!P475="","",IFERROR(VLOOKUP(Data!P475,Codes!$A$61:$B$64,2,FALSE()),"Invalid ("&amp;Data!P475&amp;")"))</f>
        <v>Hungarian Inst. of Cardiology, Budapest</v>
      </c>
    </row>
    <row r="476" customFormat="false" ht="15" hidden="false" customHeight="false" outlineLevel="0" collapsed="false">
      <c r="A476" s="19" t="n">
        <f aca="false">Data!A476</f>
        <v>475</v>
      </c>
      <c r="B476" s="20" t="n">
        <f aca="false">IF(Data!B476="","",Data!B476)</f>
        <v>29</v>
      </c>
      <c r="C476" s="28" t="str">
        <f aca="false">IF(Data!C476="","",IFERROR(VLOOKUP(Data!C476,Codes!$A$6:$B$7,2,FALSE()),"Invalid ("&amp;Data!C476&amp;")"))</f>
        <v>Male</v>
      </c>
      <c r="D476" s="28" t="str">
        <f aca="false">IF(Data!D476="","",IFERROR(VLOOKUP(Data!D476,Codes!$A$11:$B$14,2,FALSE()),"Invalid ("&amp;Data!D476&amp;")"))</f>
        <v>Atypical angina</v>
      </c>
      <c r="E476" s="20" t="n">
        <f aca="false">IF(Data!E476="","",Data!E476)</f>
        <v>120</v>
      </c>
      <c r="F476" s="20" t="n">
        <f aca="false">IF(Data!F476="","",Data!F476)</f>
        <v>243</v>
      </c>
      <c r="G476" s="28" t="str">
        <f aca="false">IF(Data!G476="","",IFERROR(VLOOKUP(Data!G476,Codes!$A$18:$B$19,2,FALSE()),"Invalid ("&amp;Data!G476&amp;")"))</f>
        <v>No</v>
      </c>
      <c r="H476" s="28" t="str">
        <f aca="false">IF(Data!H476="","",IFERROR(VLOOKUP(Data!H476,Codes!$A$23:$B$25,2,FALSE()),"Invalid ("&amp;Data!H476&amp;")"))</f>
        <v>Normal</v>
      </c>
      <c r="I476" s="20" t="n">
        <f aca="false">IF(Data!I476="","",Data!I476)</f>
        <v>160</v>
      </c>
      <c r="J476" s="28" t="str">
        <f aca="false">IF(Data!J476="","",IFERROR(VLOOKUP(Data!J476,Codes!$A$29:$B$30,2,FALSE()),"Invalid ("&amp;Data!J476&amp;")"))</f>
        <v>No</v>
      </c>
      <c r="K476" s="21" t="n">
        <f aca="false">IF(Data!K476="","",Data!K476)</f>
        <v>0</v>
      </c>
      <c r="L476" s="28" t="str">
        <f aca="false">IF(Data!L476="","",IFERROR(VLOOKUP(Data!L476,Codes!$A$34:$B$36,2,FALSE()),"Invalid ("&amp;Data!L476&amp;")"))</f>
        <v/>
      </c>
      <c r="M476" s="20" t="str">
        <f aca="false">IF(Data!M476="","",Data!M476)</f>
        <v/>
      </c>
      <c r="N476" s="28" t="str">
        <f aca="false">IF(Data!N476="","",IFERROR(VLOOKUP(Data!N476,Codes!$A$47:$B$49,2,FALSE()),"Invalid ("&amp;Data!N476&amp;")"))</f>
        <v/>
      </c>
      <c r="O476" s="28" t="str">
        <f aca="false">IF(Data!O476="","",IFERROR(VLOOKUP(Data!O476,Codes!$A$53:$B$57,2,FALSE()),"Invalid ("&amp;Data!O476&amp;")"))</f>
        <v>No disease</v>
      </c>
      <c r="P476" s="22" t="str">
        <f aca="false">IF(Data!P476="","",IFERROR(VLOOKUP(Data!P476,Codes!$A$61:$B$64,2,FALSE()),"Invalid ("&amp;Data!P476&amp;")"))</f>
        <v>Hungarian Inst. of Cardiology, Budapest</v>
      </c>
    </row>
    <row r="477" customFormat="false" ht="15" hidden="false" customHeight="false" outlineLevel="0" collapsed="false">
      <c r="A477" s="19" t="n">
        <f aca="false">Data!A477</f>
        <v>476</v>
      </c>
      <c r="B477" s="20" t="n">
        <f aca="false">IF(Data!B477="","",Data!B477)</f>
        <v>40</v>
      </c>
      <c r="C477" s="28" t="str">
        <f aca="false">IF(Data!C477="","",IFERROR(VLOOKUP(Data!C477,Codes!$A$6:$B$7,2,FALSE()),"Invalid ("&amp;Data!C477&amp;")"))</f>
        <v>Male</v>
      </c>
      <c r="D477" s="28" t="str">
        <f aca="false">IF(Data!D477="","",IFERROR(VLOOKUP(Data!D477,Codes!$A$11:$B$14,2,FALSE()),"Invalid ("&amp;Data!D477&amp;")"))</f>
        <v>Non-anginal pain</v>
      </c>
      <c r="E477" s="20" t="n">
        <f aca="false">IF(Data!E477="","",Data!E477)</f>
        <v>140</v>
      </c>
      <c r="F477" s="20" t="str">
        <f aca="false">IF(Data!F477="","",Data!F477)</f>
        <v/>
      </c>
      <c r="G477" s="28" t="str">
        <f aca="false">IF(Data!G477="","",IFERROR(VLOOKUP(Data!G477,Codes!$A$18:$B$19,2,FALSE()),"Invalid ("&amp;Data!G477&amp;")"))</f>
        <v>No</v>
      </c>
      <c r="H477" s="28" t="str">
        <f aca="false">IF(Data!H477="","",IFERROR(VLOOKUP(Data!H477,Codes!$A$23:$B$25,2,FALSE()),"Invalid ("&amp;Data!H477&amp;")"))</f>
        <v>Normal</v>
      </c>
      <c r="I477" s="20" t="n">
        <f aca="false">IF(Data!I477="","",Data!I477)</f>
        <v>188</v>
      </c>
      <c r="J477" s="28" t="str">
        <f aca="false">IF(Data!J477="","",IFERROR(VLOOKUP(Data!J477,Codes!$A$29:$B$30,2,FALSE()),"Invalid ("&amp;Data!J477&amp;")"))</f>
        <v>No</v>
      </c>
      <c r="K477" s="21" t="n">
        <f aca="false">IF(Data!K477="","",Data!K477)</f>
        <v>0</v>
      </c>
      <c r="L477" s="28" t="str">
        <f aca="false">IF(Data!L477="","",IFERROR(VLOOKUP(Data!L477,Codes!$A$34:$B$36,2,FALSE()),"Invalid ("&amp;Data!L477&amp;")"))</f>
        <v/>
      </c>
      <c r="M477" s="20" t="str">
        <f aca="false">IF(Data!M477="","",Data!M477)</f>
        <v/>
      </c>
      <c r="N477" s="28" t="str">
        <f aca="false">IF(Data!N477="","",IFERROR(VLOOKUP(Data!N477,Codes!$A$47:$B$49,2,FALSE()),"Invalid ("&amp;Data!N477&amp;")"))</f>
        <v/>
      </c>
      <c r="O477" s="28" t="str">
        <f aca="false">IF(Data!O477="","",IFERROR(VLOOKUP(Data!O477,Codes!$A$53:$B$57,2,FALSE()),"Invalid ("&amp;Data!O477&amp;")"))</f>
        <v>No disease</v>
      </c>
      <c r="P477" s="22" t="str">
        <f aca="false">IF(Data!P477="","",IFERROR(VLOOKUP(Data!P477,Codes!$A$61:$B$64,2,FALSE()),"Invalid ("&amp;Data!P477&amp;")"))</f>
        <v>Hungarian Inst. of Cardiology, Budapest</v>
      </c>
    </row>
    <row r="478" customFormat="false" ht="15" hidden="false" customHeight="false" outlineLevel="0" collapsed="false">
      <c r="A478" s="19" t="n">
        <f aca="false">Data!A478</f>
        <v>477</v>
      </c>
      <c r="B478" s="20" t="n">
        <f aca="false">IF(Data!B478="","",Data!B478)</f>
        <v>53</v>
      </c>
      <c r="C478" s="28" t="str">
        <f aca="false">IF(Data!C478="","",IFERROR(VLOOKUP(Data!C478,Codes!$A$6:$B$7,2,FALSE()),"Invalid ("&amp;Data!C478&amp;")"))</f>
        <v>Male</v>
      </c>
      <c r="D478" s="28" t="str">
        <f aca="false">IF(Data!D478="","",IFERROR(VLOOKUP(Data!D478,Codes!$A$11:$B$14,2,FALSE()),"Invalid ("&amp;Data!D478&amp;")"))</f>
        <v>Atypical angina</v>
      </c>
      <c r="E478" s="20" t="n">
        <f aca="false">IF(Data!E478="","",Data!E478)</f>
        <v>140</v>
      </c>
      <c r="F478" s="20" t="n">
        <f aca="false">IF(Data!F478="","",Data!F478)</f>
        <v>320</v>
      </c>
      <c r="G478" s="28" t="str">
        <f aca="false">IF(Data!G478="","",IFERROR(VLOOKUP(Data!G478,Codes!$A$18:$B$19,2,FALSE()),"Invalid ("&amp;Data!G478&amp;")"))</f>
        <v>No</v>
      </c>
      <c r="H478" s="28" t="str">
        <f aca="false">IF(Data!H478="","",IFERROR(VLOOKUP(Data!H478,Codes!$A$23:$B$25,2,FALSE()),"Invalid ("&amp;Data!H478&amp;")"))</f>
        <v>Normal</v>
      </c>
      <c r="I478" s="20" t="n">
        <f aca="false">IF(Data!I478="","",Data!I478)</f>
        <v>162</v>
      </c>
      <c r="J478" s="28" t="str">
        <f aca="false">IF(Data!J478="","",IFERROR(VLOOKUP(Data!J478,Codes!$A$29:$B$30,2,FALSE()),"Invalid ("&amp;Data!J478&amp;")"))</f>
        <v>No</v>
      </c>
      <c r="K478" s="21" t="n">
        <f aca="false">IF(Data!K478="","",Data!K478)</f>
        <v>0</v>
      </c>
      <c r="L478" s="28" t="str">
        <f aca="false">IF(Data!L478="","",IFERROR(VLOOKUP(Data!L478,Codes!$A$34:$B$36,2,FALSE()),"Invalid ("&amp;Data!L478&amp;")"))</f>
        <v/>
      </c>
      <c r="M478" s="20" t="str">
        <f aca="false">IF(Data!M478="","",Data!M478)</f>
        <v/>
      </c>
      <c r="N478" s="28" t="str">
        <f aca="false">IF(Data!N478="","",IFERROR(VLOOKUP(Data!N478,Codes!$A$47:$B$49,2,FALSE()),"Invalid ("&amp;Data!N478&amp;")"))</f>
        <v/>
      </c>
      <c r="O478" s="28" t="str">
        <f aca="false">IF(Data!O478="","",IFERROR(VLOOKUP(Data!O478,Codes!$A$53:$B$57,2,FALSE()),"Invalid ("&amp;Data!O478&amp;")"))</f>
        <v>No disease</v>
      </c>
      <c r="P478" s="22" t="str">
        <f aca="false">IF(Data!P478="","",IFERROR(VLOOKUP(Data!P478,Codes!$A$61:$B$64,2,FALSE()),"Invalid ("&amp;Data!P478&amp;")"))</f>
        <v>Hungarian Inst. of Cardiology, Budapest</v>
      </c>
    </row>
    <row r="479" customFormat="false" ht="15" hidden="false" customHeight="false" outlineLevel="0" collapsed="false">
      <c r="A479" s="19" t="n">
        <f aca="false">Data!A479</f>
        <v>478</v>
      </c>
      <c r="B479" s="20" t="n">
        <f aca="false">IF(Data!B479="","",Data!B479)</f>
        <v>49</v>
      </c>
      <c r="C479" s="28" t="str">
        <f aca="false">IF(Data!C479="","",IFERROR(VLOOKUP(Data!C479,Codes!$A$6:$B$7,2,FALSE()),"Invalid ("&amp;Data!C479&amp;")"))</f>
        <v>Male</v>
      </c>
      <c r="D479" s="28" t="str">
        <f aca="false">IF(Data!D479="","",IFERROR(VLOOKUP(Data!D479,Codes!$A$11:$B$14,2,FALSE()),"Invalid ("&amp;Data!D479&amp;")"))</f>
        <v>Non-anginal pain</v>
      </c>
      <c r="E479" s="20" t="n">
        <f aca="false">IF(Data!E479="","",Data!E479)</f>
        <v>140</v>
      </c>
      <c r="F479" s="20" t="n">
        <f aca="false">IF(Data!F479="","",Data!F479)</f>
        <v>187</v>
      </c>
      <c r="G479" s="28" t="str">
        <f aca="false">IF(Data!G479="","",IFERROR(VLOOKUP(Data!G479,Codes!$A$18:$B$19,2,FALSE()),"Invalid ("&amp;Data!G479&amp;")"))</f>
        <v>No</v>
      </c>
      <c r="H479" s="28" t="str">
        <f aca="false">IF(Data!H479="","",IFERROR(VLOOKUP(Data!H479,Codes!$A$23:$B$25,2,FALSE()),"Invalid ("&amp;Data!H479&amp;")"))</f>
        <v>Normal</v>
      </c>
      <c r="I479" s="20" t="n">
        <f aca="false">IF(Data!I479="","",Data!I479)</f>
        <v>172</v>
      </c>
      <c r="J479" s="28" t="str">
        <f aca="false">IF(Data!J479="","",IFERROR(VLOOKUP(Data!J479,Codes!$A$29:$B$30,2,FALSE()),"Invalid ("&amp;Data!J479&amp;")"))</f>
        <v>No</v>
      </c>
      <c r="K479" s="21" t="n">
        <f aca="false">IF(Data!K479="","",Data!K479)</f>
        <v>0</v>
      </c>
      <c r="L479" s="28" t="str">
        <f aca="false">IF(Data!L479="","",IFERROR(VLOOKUP(Data!L479,Codes!$A$34:$B$36,2,FALSE()),"Invalid ("&amp;Data!L479&amp;")"))</f>
        <v/>
      </c>
      <c r="M479" s="20" t="str">
        <f aca="false">IF(Data!M479="","",Data!M479)</f>
        <v/>
      </c>
      <c r="N479" s="28" t="str">
        <f aca="false">IF(Data!N479="","",IFERROR(VLOOKUP(Data!N479,Codes!$A$47:$B$49,2,FALSE()),"Invalid ("&amp;Data!N479&amp;")"))</f>
        <v/>
      </c>
      <c r="O479" s="28" t="str">
        <f aca="false">IF(Data!O479="","",IFERROR(VLOOKUP(Data!O479,Codes!$A$53:$B$57,2,FALSE()),"Invalid ("&amp;Data!O479&amp;")"))</f>
        <v>No disease</v>
      </c>
      <c r="P479" s="22" t="str">
        <f aca="false">IF(Data!P479="","",IFERROR(VLOOKUP(Data!P479,Codes!$A$61:$B$64,2,FALSE()),"Invalid ("&amp;Data!P479&amp;")"))</f>
        <v>Hungarian Inst. of Cardiology, Budapest</v>
      </c>
    </row>
    <row r="480" customFormat="false" ht="15" hidden="false" customHeight="false" outlineLevel="0" collapsed="false">
      <c r="A480" s="19" t="n">
        <f aca="false">Data!A480</f>
        <v>479</v>
      </c>
      <c r="B480" s="20" t="n">
        <f aca="false">IF(Data!B480="","",Data!B480)</f>
        <v>52</v>
      </c>
      <c r="C480" s="28" t="str">
        <f aca="false">IF(Data!C480="","",IFERROR(VLOOKUP(Data!C480,Codes!$A$6:$B$7,2,FALSE()),"Invalid ("&amp;Data!C480&amp;")"))</f>
        <v>Male</v>
      </c>
      <c r="D480" s="28" t="str">
        <f aca="false">IF(Data!D480="","",IFERROR(VLOOKUP(Data!D480,Codes!$A$11:$B$14,2,FALSE()),"Invalid ("&amp;Data!D480&amp;")"))</f>
        <v>Asymptomatic</v>
      </c>
      <c r="E480" s="20" t="n">
        <f aca="false">IF(Data!E480="","",Data!E480)</f>
        <v>140</v>
      </c>
      <c r="F480" s="20" t="n">
        <f aca="false">IF(Data!F480="","",Data!F480)</f>
        <v>266</v>
      </c>
      <c r="G480" s="28" t="str">
        <f aca="false">IF(Data!G480="","",IFERROR(VLOOKUP(Data!G480,Codes!$A$18:$B$19,2,FALSE()),"Invalid ("&amp;Data!G480&amp;")"))</f>
        <v>No</v>
      </c>
      <c r="H480" s="28" t="str">
        <f aca="false">IF(Data!H480="","",IFERROR(VLOOKUP(Data!H480,Codes!$A$23:$B$25,2,FALSE()),"Invalid ("&amp;Data!H480&amp;")"))</f>
        <v>Normal</v>
      </c>
      <c r="I480" s="20" t="n">
        <f aca="false">IF(Data!I480="","",Data!I480)</f>
        <v>134</v>
      </c>
      <c r="J480" s="28" t="str">
        <f aca="false">IF(Data!J480="","",IFERROR(VLOOKUP(Data!J480,Codes!$A$29:$B$30,2,FALSE()),"Invalid ("&amp;Data!J480&amp;")"))</f>
        <v>Yes</v>
      </c>
      <c r="K480" s="21" t="n">
        <f aca="false">IF(Data!K480="","",Data!K480)</f>
        <v>2</v>
      </c>
      <c r="L480" s="28" t="str">
        <f aca="false">IF(Data!L480="","",IFERROR(VLOOKUP(Data!L480,Codes!$A$34:$B$36,2,FALSE()),"Invalid ("&amp;Data!L480&amp;")"))</f>
        <v>Flat</v>
      </c>
      <c r="M480" s="20" t="str">
        <f aca="false">IF(Data!M480="","",Data!M480)</f>
        <v/>
      </c>
      <c r="N480" s="28" t="str">
        <f aca="false">IF(Data!N480="","",IFERROR(VLOOKUP(Data!N480,Codes!$A$47:$B$49,2,FALSE()),"Invalid ("&amp;Data!N480&amp;")"))</f>
        <v/>
      </c>
      <c r="O480" s="28" t="str">
        <f aca="false">IF(Data!O480="","",IFERROR(VLOOKUP(Data!O480,Codes!$A$53:$B$57,2,FALSE()),"Invalid ("&amp;Data!O480&amp;")"))</f>
        <v>Disease (4)</v>
      </c>
      <c r="P480" s="22" t="str">
        <f aca="false">IF(Data!P480="","",IFERROR(VLOOKUP(Data!P480,Codes!$A$61:$B$64,2,FALSE()),"Invalid ("&amp;Data!P480&amp;")"))</f>
        <v>Hungarian Inst. of Cardiology, Budapest</v>
      </c>
    </row>
    <row r="481" customFormat="false" ht="15" hidden="false" customHeight="false" outlineLevel="0" collapsed="false">
      <c r="A481" s="19" t="n">
        <f aca="false">Data!A481</f>
        <v>480</v>
      </c>
      <c r="B481" s="20" t="n">
        <f aca="false">IF(Data!B481="","",Data!B481)</f>
        <v>43</v>
      </c>
      <c r="C481" s="28" t="str">
        <f aca="false">IF(Data!C481="","",IFERROR(VLOOKUP(Data!C481,Codes!$A$6:$B$7,2,FALSE()),"Invalid ("&amp;Data!C481&amp;")"))</f>
        <v>Male</v>
      </c>
      <c r="D481" s="28" t="str">
        <f aca="false">IF(Data!D481="","",IFERROR(VLOOKUP(Data!D481,Codes!$A$11:$B$14,2,FALSE()),"Invalid ("&amp;Data!D481&amp;")"))</f>
        <v>Asymptomatic</v>
      </c>
      <c r="E481" s="20" t="n">
        <f aca="false">IF(Data!E481="","",Data!E481)</f>
        <v>140</v>
      </c>
      <c r="F481" s="20" t="n">
        <f aca="false">IF(Data!F481="","",Data!F481)</f>
        <v>288</v>
      </c>
      <c r="G481" s="28" t="str">
        <f aca="false">IF(Data!G481="","",IFERROR(VLOOKUP(Data!G481,Codes!$A$18:$B$19,2,FALSE()),"Invalid ("&amp;Data!G481&amp;")"))</f>
        <v>No</v>
      </c>
      <c r="H481" s="28" t="str">
        <f aca="false">IF(Data!H481="","",IFERROR(VLOOKUP(Data!H481,Codes!$A$23:$B$25,2,FALSE()),"Invalid ("&amp;Data!H481&amp;")"))</f>
        <v>Normal</v>
      </c>
      <c r="I481" s="20" t="n">
        <f aca="false">IF(Data!I481="","",Data!I481)</f>
        <v>135</v>
      </c>
      <c r="J481" s="28" t="str">
        <f aca="false">IF(Data!J481="","",IFERROR(VLOOKUP(Data!J481,Codes!$A$29:$B$30,2,FALSE()),"Invalid ("&amp;Data!J481&amp;")"))</f>
        <v>Yes</v>
      </c>
      <c r="K481" s="21" t="n">
        <f aca="false">IF(Data!K481="","",Data!K481)</f>
        <v>2</v>
      </c>
      <c r="L481" s="28" t="str">
        <f aca="false">IF(Data!L481="","",IFERROR(VLOOKUP(Data!L481,Codes!$A$34:$B$36,2,FALSE()),"Invalid ("&amp;Data!L481&amp;")"))</f>
        <v>Flat</v>
      </c>
      <c r="M481" s="20" t="str">
        <f aca="false">IF(Data!M481="","",Data!M481)</f>
        <v/>
      </c>
      <c r="N481" s="28" t="str">
        <f aca="false">IF(Data!N481="","",IFERROR(VLOOKUP(Data!N481,Codes!$A$47:$B$49,2,FALSE()),"Invalid ("&amp;Data!N481&amp;")"))</f>
        <v/>
      </c>
      <c r="O481" s="28" t="str">
        <f aca="false">IF(Data!O481="","",IFERROR(VLOOKUP(Data!O481,Codes!$A$53:$B$57,2,FALSE()),"Invalid ("&amp;Data!O481&amp;")"))</f>
        <v>Disease (4)</v>
      </c>
      <c r="P481" s="22" t="str">
        <f aca="false">IF(Data!P481="","",IFERROR(VLOOKUP(Data!P481,Codes!$A$61:$B$64,2,FALSE()),"Invalid ("&amp;Data!P481&amp;")"))</f>
        <v>Hungarian Inst. of Cardiology, Budapest</v>
      </c>
    </row>
    <row r="482" customFormat="false" ht="15" hidden="false" customHeight="false" outlineLevel="0" collapsed="false">
      <c r="A482" s="19" t="n">
        <f aca="false">Data!A482</f>
        <v>481</v>
      </c>
      <c r="B482" s="20" t="n">
        <f aca="false">IF(Data!B482="","",Data!B482)</f>
        <v>54</v>
      </c>
      <c r="C482" s="28" t="str">
        <f aca="false">IF(Data!C482="","",IFERROR(VLOOKUP(Data!C482,Codes!$A$6:$B$7,2,FALSE()),"Invalid ("&amp;Data!C482&amp;")"))</f>
        <v>Male</v>
      </c>
      <c r="D482" s="28" t="str">
        <f aca="false">IF(Data!D482="","",IFERROR(VLOOKUP(Data!D482,Codes!$A$11:$B$14,2,FALSE()),"Invalid ("&amp;Data!D482&amp;")"))</f>
        <v>Asymptomatic</v>
      </c>
      <c r="E482" s="20" t="n">
        <f aca="false">IF(Data!E482="","",Data!E482)</f>
        <v>140</v>
      </c>
      <c r="F482" s="20" t="n">
        <f aca="false">IF(Data!F482="","",Data!F482)</f>
        <v>216</v>
      </c>
      <c r="G482" s="28" t="str">
        <f aca="false">IF(Data!G482="","",IFERROR(VLOOKUP(Data!G482,Codes!$A$18:$B$19,2,FALSE()),"Invalid ("&amp;Data!G482&amp;")"))</f>
        <v>No</v>
      </c>
      <c r="H482" s="28" t="str">
        <f aca="false">IF(Data!H482="","",IFERROR(VLOOKUP(Data!H482,Codes!$A$23:$B$25,2,FALSE()),"Invalid ("&amp;Data!H482&amp;")"))</f>
        <v>Normal</v>
      </c>
      <c r="I482" s="20" t="n">
        <f aca="false">IF(Data!I482="","",Data!I482)</f>
        <v>105</v>
      </c>
      <c r="J482" s="28" t="str">
        <f aca="false">IF(Data!J482="","",IFERROR(VLOOKUP(Data!J482,Codes!$A$29:$B$30,2,FALSE()),"Invalid ("&amp;Data!J482&amp;")"))</f>
        <v>No</v>
      </c>
      <c r="K482" s="21" t="n">
        <f aca="false">IF(Data!K482="","",Data!K482)</f>
        <v>1.5</v>
      </c>
      <c r="L482" s="28" t="str">
        <f aca="false">IF(Data!L482="","",IFERROR(VLOOKUP(Data!L482,Codes!$A$34:$B$36,2,FALSE()),"Invalid ("&amp;Data!L482&amp;")"))</f>
        <v>Flat</v>
      </c>
      <c r="M482" s="20" t="str">
        <f aca="false">IF(Data!M482="","",Data!M482)</f>
        <v/>
      </c>
      <c r="N482" s="28" t="str">
        <f aca="false">IF(Data!N482="","",IFERROR(VLOOKUP(Data!N482,Codes!$A$47:$B$49,2,FALSE()),"Invalid ("&amp;Data!N482&amp;")"))</f>
        <v/>
      </c>
      <c r="O482" s="28" t="str">
        <f aca="false">IF(Data!O482="","",IFERROR(VLOOKUP(Data!O482,Codes!$A$53:$B$57,2,FALSE()),"Invalid ("&amp;Data!O482&amp;")"))</f>
        <v>Disease (3)</v>
      </c>
      <c r="P482" s="22" t="str">
        <f aca="false">IF(Data!P482="","",IFERROR(VLOOKUP(Data!P482,Codes!$A$61:$B$64,2,FALSE()),"Invalid ("&amp;Data!P482&amp;")"))</f>
        <v>Hungarian Inst. of Cardiology, Budapest</v>
      </c>
    </row>
    <row r="483" customFormat="false" ht="15" hidden="false" customHeight="false" outlineLevel="0" collapsed="false">
      <c r="A483" s="19" t="n">
        <f aca="false">Data!A483</f>
        <v>482</v>
      </c>
      <c r="B483" s="20" t="n">
        <f aca="false">IF(Data!B483="","",Data!B483)</f>
        <v>59</v>
      </c>
      <c r="C483" s="28" t="str">
        <f aca="false">IF(Data!C483="","",IFERROR(VLOOKUP(Data!C483,Codes!$A$6:$B$7,2,FALSE()),"Invalid ("&amp;Data!C483&amp;")"))</f>
        <v>Male</v>
      </c>
      <c r="D483" s="28" t="str">
        <f aca="false">IF(Data!D483="","",IFERROR(VLOOKUP(Data!D483,Codes!$A$11:$B$14,2,FALSE()),"Invalid ("&amp;Data!D483&amp;")"))</f>
        <v>Atypical angina</v>
      </c>
      <c r="E483" s="20" t="n">
        <f aca="false">IF(Data!E483="","",Data!E483)</f>
        <v>140</v>
      </c>
      <c r="F483" s="20" t="n">
        <f aca="false">IF(Data!F483="","",Data!F483)</f>
        <v>287</v>
      </c>
      <c r="G483" s="28" t="str">
        <f aca="false">IF(Data!G483="","",IFERROR(VLOOKUP(Data!G483,Codes!$A$18:$B$19,2,FALSE()),"Invalid ("&amp;Data!G483&amp;")"))</f>
        <v>No</v>
      </c>
      <c r="H483" s="28" t="str">
        <f aca="false">IF(Data!H483="","",IFERROR(VLOOKUP(Data!H483,Codes!$A$23:$B$25,2,FALSE()),"Invalid ("&amp;Data!H483&amp;")"))</f>
        <v>Normal</v>
      </c>
      <c r="I483" s="20" t="n">
        <f aca="false">IF(Data!I483="","",Data!I483)</f>
        <v>150</v>
      </c>
      <c r="J483" s="28" t="str">
        <f aca="false">IF(Data!J483="","",IFERROR(VLOOKUP(Data!J483,Codes!$A$29:$B$30,2,FALSE()),"Invalid ("&amp;Data!J483&amp;")"))</f>
        <v>No</v>
      </c>
      <c r="K483" s="21" t="n">
        <f aca="false">IF(Data!K483="","",Data!K483)</f>
        <v>0</v>
      </c>
      <c r="L483" s="28" t="str">
        <f aca="false">IF(Data!L483="","",IFERROR(VLOOKUP(Data!L483,Codes!$A$34:$B$36,2,FALSE()),"Invalid ("&amp;Data!L483&amp;")"))</f>
        <v/>
      </c>
      <c r="M483" s="20" t="str">
        <f aca="false">IF(Data!M483="","",Data!M483)</f>
        <v/>
      </c>
      <c r="N483" s="28" t="str">
        <f aca="false">IF(Data!N483="","",IFERROR(VLOOKUP(Data!N483,Codes!$A$47:$B$49,2,FALSE()),"Invalid ("&amp;Data!N483&amp;")"))</f>
        <v/>
      </c>
      <c r="O483" s="28" t="str">
        <f aca="false">IF(Data!O483="","",IFERROR(VLOOKUP(Data!O483,Codes!$A$53:$B$57,2,FALSE()),"Invalid ("&amp;Data!O483&amp;")"))</f>
        <v>No disease</v>
      </c>
      <c r="P483" s="22" t="str">
        <f aca="false">IF(Data!P483="","",IFERROR(VLOOKUP(Data!P483,Codes!$A$61:$B$64,2,FALSE()),"Invalid ("&amp;Data!P483&amp;")"))</f>
        <v>Hungarian Inst. of Cardiology, Budapest</v>
      </c>
    </row>
    <row r="484" customFormat="false" ht="15" hidden="false" customHeight="false" outlineLevel="0" collapsed="false">
      <c r="A484" s="19" t="n">
        <f aca="false">Data!A484</f>
        <v>483</v>
      </c>
      <c r="B484" s="20" t="n">
        <f aca="false">IF(Data!B484="","",Data!B484)</f>
        <v>37</v>
      </c>
      <c r="C484" s="28" t="str">
        <f aca="false">IF(Data!C484="","",IFERROR(VLOOKUP(Data!C484,Codes!$A$6:$B$7,2,FALSE()),"Invalid ("&amp;Data!C484&amp;")"))</f>
        <v>Male</v>
      </c>
      <c r="D484" s="28" t="str">
        <f aca="false">IF(Data!D484="","",IFERROR(VLOOKUP(Data!D484,Codes!$A$11:$B$14,2,FALSE()),"Invalid ("&amp;Data!D484&amp;")"))</f>
        <v>Non-anginal pain</v>
      </c>
      <c r="E484" s="20" t="n">
        <f aca="false">IF(Data!E484="","",Data!E484)</f>
        <v>130</v>
      </c>
      <c r="F484" s="20" t="n">
        <f aca="false">IF(Data!F484="","",Data!F484)</f>
        <v>194</v>
      </c>
      <c r="G484" s="28" t="str">
        <f aca="false">IF(Data!G484="","",IFERROR(VLOOKUP(Data!G484,Codes!$A$18:$B$19,2,FALSE()),"Invalid ("&amp;Data!G484&amp;")"))</f>
        <v>No</v>
      </c>
      <c r="H484" s="28" t="str">
        <f aca="false">IF(Data!H484="","",IFERROR(VLOOKUP(Data!H484,Codes!$A$23:$B$25,2,FALSE()),"Invalid ("&amp;Data!H484&amp;")"))</f>
        <v>Normal</v>
      </c>
      <c r="I484" s="20" t="n">
        <f aca="false">IF(Data!I484="","",Data!I484)</f>
        <v>150</v>
      </c>
      <c r="J484" s="28" t="str">
        <f aca="false">IF(Data!J484="","",IFERROR(VLOOKUP(Data!J484,Codes!$A$29:$B$30,2,FALSE()),"Invalid ("&amp;Data!J484&amp;")"))</f>
        <v>No</v>
      </c>
      <c r="K484" s="21" t="n">
        <f aca="false">IF(Data!K484="","",Data!K484)</f>
        <v>0</v>
      </c>
      <c r="L484" s="28" t="str">
        <f aca="false">IF(Data!L484="","",IFERROR(VLOOKUP(Data!L484,Codes!$A$34:$B$36,2,FALSE()),"Invalid ("&amp;Data!L484&amp;")"))</f>
        <v/>
      </c>
      <c r="M484" s="20" t="str">
        <f aca="false">IF(Data!M484="","",Data!M484)</f>
        <v/>
      </c>
      <c r="N484" s="28" t="str">
        <f aca="false">IF(Data!N484="","",IFERROR(VLOOKUP(Data!N484,Codes!$A$47:$B$49,2,FALSE()),"Invalid ("&amp;Data!N484&amp;")"))</f>
        <v/>
      </c>
      <c r="O484" s="28" t="str">
        <f aca="false">IF(Data!O484="","",IFERROR(VLOOKUP(Data!O484,Codes!$A$53:$B$57,2,FALSE()),"Invalid ("&amp;Data!O484&amp;")"))</f>
        <v>No disease</v>
      </c>
      <c r="P484" s="22" t="str">
        <f aca="false">IF(Data!P484="","",IFERROR(VLOOKUP(Data!P484,Codes!$A$61:$B$64,2,FALSE()),"Invalid ("&amp;Data!P484&amp;")"))</f>
        <v>Hungarian Inst. of Cardiology, Budapest</v>
      </c>
    </row>
    <row r="485" customFormat="false" ht="15" hidden="false" customHeight="false" outlineLevel="0" collapsed="false">
      <c r="A485" s="19" t="n">
        <f aca="false">Data!A485</f>
        <v>484</v>
      </c>
      <c r="B485" s="20" t="n">
        <f aca="false">IF(Data!B485="","",Data!B485)</f>
        <v>46</v>
      </c>
      <c r="C485" s="28" t="str">
        <f aca="false">IF(Data!C485="","",IFERROR(VLOOKUP(Data!C485,Codes!$A$6:$B$7,2,FALSE()),"Invalid ("&amp;Data!C485&amp;")"))</f>
        <v>Female</v>
      </c>
      <c r="D485" s="28" t="str">
        <f aca="false">IF(Data!D485="","",IFERROR(VLOOKUP(Data!D485,Codes!$A$11:$B$14,2,FALSE()),"Invalid ("&amp;Data!D485&amp;")"))</f>
        <v>Asymptomatic</v>
      </c>
      <c r="E485" s="20" t="n">
        <f aca="false">IF(Data!E485="","",Data!E485)</f>
        <v>130</v>
      </c>
      <c r="F485" s="20" t="n">
        <f aca="false">IF(Data!F485="","",Data!F485)</f>
        <v>238</v>
      </c>
      <c r="G485" s="28" t="str">
        <f aca="false">IF(Data!G485="","",IFERROR(VLOOKUP(Data!G485,Codes!$A$18:$B$19,2,FALSE()),"Invalid ("&amp;Data!G485&amp;")"))</f>
        <v>No</v>
      </c>
      <c r="H485" s="28" t="str">
        <f aca="false">IF(Data!H485="","",IFERROR(VLOOKUP(Data!H485,Codes!$A$23:$B$25,2,FALSE()),"Invalid ("&amp;Data!H485&amp;")"))</f>
        <v>Normal</v>
      </c>
      <c r="I485" s="20" t="n">
        <f aca="false">IF(Data!I485="","",Data!I485)</f>
        <v>90</v>
      </c>
      <c r="J485" s="28" t="str">
        <f aca="false">IF(Data!J485="","",IFERROR(VLOOKUP(Data!J485,Codes!$A$29:$B$30,2,FALSE()),"Invalid ("&amp;Data!J485&amp;")"))</f>
        <v>No</v>
      </c>
      <c r="K485" s="21" t="n">
        <f aca="false">IF(Data!K485="","",Data!K485)</f>
        <v>0</v>
      </c>
      <c r="L485" s="28" t="str">
        <f aca="false">IF(Data!L485="","",IFERROR(VLOOKUP(Data!L485,Codes!$A$34:$B$36,2,FALSE()),"Invalid ("&amp;Data!L485&amp;")"))</f>
        <v/>
      </c>
      <c r="M485" s="20" t="str">
        <f aca="false">IF(Data!M485="","",Data!M485)</f>
        <v/>
      </c>
      <c r="N485" s="28" t="str">
        <f aca="false">IF(Data!N485="","",IFERROR(VLOOKUP(Data!N485,Codes!$A$47:$B$49,2,FALSE()),"Invalid ("&amp;Data!N485&amp;")"))</f>
        <v/>
      </c>
      <c r="O485" s="28" t="str">
        <f aca="false">IF(Data!O485="","",IFERROR(VLOOKUP(Data!O485,Codes!$A$53:$B$57,2,FALSE()),"Invalid ("&amp;Data!O485&amp;")"))</f>
        <v>No disease</v>
      </c>
      <c r="P485" s="22" t="str">
        <f aca="false">IF(Data!P485="","",IFERROR(VLOOKUP(Data!P485,Codes!$A$61:$B$64,2,FALSE()),"Invalid ("&amp;Data!P485&amp;")"))</f>
        <v>Hungarian Inst. of Cardiology, Budapest</v>
      </c>
    </row>
    <row r="486" customFormat="false" ht="15" hidden="false" customHeight="false" outlineLevel="0" collapsed="false">
      <c r="A486" s="19" t="n">
        <f aca="false">Data!A486</f>
        <v>485</v>
      </c>
      <c r="B486" s="20" t="n">
        <f aca="false">IF(Data!B486="","",Data!B486)</f>
        <v>52</v>
      </c>
      <c r="C486" s="28" t="str">
        <f aca="false">IF(Data!C486="","",IFERROR(VLOOKUP(Data!C486,Codes!$A$6:$B$7,2,FALSE()),"Invalid ("&amp;Data!C486&amp;")"))</f>
        <v>Male</v>
      </c>
      <c r="D486" s="28" t="str">
        <f aca="false">IF(Data!D486="","",IFERROR(VLOOKUP(Data!D486,Codes!$A$11:$B$14,2,FALSE()),"Invalid ("&amp;Data!D486&amp;")"))</f>
        <v>Asymptomatic</v>
      </c>
      <c r="E486" s="20" t="n">
        <f aca="false">IF(Data!E486="","",Data!E486)</f>
        <v>130</v>
      </c>
      <c r="F486" s="20" t="n">
        <f aca="false">IF(Data!F486="","",Data!F486)</f>
        <v>225</v>
      </c>
      <c r="G486" s="28" t="str">
        <f aca="false">IF(Data!G486="","",IFERROR(VLOOKUP(Data!G486,Codes!$A$18:$B$19,2,FALSE()),"Invalid ("&amp;Data!G486&amp;")"))</f>
        <v>No</v>
      </c>
      <c r="H486" s="28" t="str">
        <f aca="false">IF(Data!H486="","",IFERROR(VLOOKUP(Data!H486,Codes!$A$23:$B$25,2,FALSE()),"Invalid ("&amp;Data!H486&amp;")"))</f>
        <v>Normal</v>
      </c>
      <c r="I486" s="20" t="n">
        <f aca="false">IF(Data!I486="","",Data!I486)</f>
        <v>120</v>
      </c>
      <c r="J486" s="28" t="str">
        <f aca="false">IF(Data!J486="","",IFERROR(VLOOKUP(Data!J486,Codes!$A$29:$B$30,2,FALSE()),"Invalid ("&amp;Data!J486&amp;")"))</f>
        <v>Yes</v>
      </c>
      <c r="K486" s="21" t="n">
        <f aca="false">IF(Data!K486="","",Data!K486)</f>
        <v>2</v>
      </c>
      <c r="L486" s="28" t="str">
        <f aca="false">IF(Data!L486="","",IFERROR(VLOOKUP(Data!L486,Codes!$A$34:$B$36,2,FALSE()),"Invalid ("&amp;Data!L486&amp;")"))</f>
        <v>Flat</v>
      </c>
      <c r="M486" s="20" t="str">
        <f aca="false">IF(Data!M486="","",Data!M486)</f>
        <v/>
      </c>
      <c r="N486" s="28" t="str">
        <f aca="false">IF(Data!N486="","",IFERROR(VLOOKUP(Data!N486,Codes!$A$47:$B$49,2,FALSE()),"Invalid ("&amp;Data!N486&amp;")"))</f>
        <v/>
      </c>
      <c r="O486" s="28" t="str">
        <f aca="false">IF(Data!O486="","",IFERROR(VLOOKUP(Data!O486,Codes!$A$53:$B$57,2,FALSE()),"Invalid ("&amp;Data!O486&amp;")"))</f>
        <v>Disease (1)</v>
      </c>
      <c r="P486" s="22" t="str">
        <f aca="false">IF(Data!P486="","",IFERROR(VLOOKUP(Data!P486,Codes!$A$61:$B$64,2,FALSE()),"Invalid ("&amp;Data!P486&amp;")"))</f>
        <v>Hungarian Inst. of Cardiology, Budapest</v>
      </c>
    </row>
    <row r="487" customFormat="false" ht="15" hidden="false" customHeight="false" outlineLevel="0" collapsed="false">
      <c r="A487" s="19" t="n">
        <f aca="false">Data!A487</f>
        <v>486</v>
      </c>
      <c r="B487" s="20" t="n">
        <f aca="false">IF(Data!B487="","",Data!B487)</f>
        <v>51</v>
      </c>
      <c r="C487" s="28" t="str">
        <f aca="false">IF(Data!C487="","",IFERROR(VLOOKUP(Data!C487,Codes!$A$6:$B$7,2,FALSE()),"Invalid ("&amp;Data!C487&amp;")"))</f>
        <v>Male</v>
      </c>
      <c r="D487" s="28" t="str">
        <f aca="false">IF(Data!D487="","",IFERROR(VLOOKUP(Data!D487,Codes!$A$11:$B$14,2,FALSE()),"Invalid ("&amp;Data!D487&amp;")"))</f>
        <v>Atypical angina</v>
      </c>
      <c r="E487" s="20" t="n">
        <f aca="false">IF(Data!E487="","",Data!E487)</f>
        <v>130</v>
      </c>
      <c r="F487" s="20" t="n">
        <f aca="false">IF(Data!F487="","",Data!F487)</f>
        <v>224</v>
      </c>
      <c r="G487" s="28" t="str">
        <f aca="false">IF(Data!G487="","",IFERROR(VLOOKUP(Data!G487,Codes!$A$18:$B$19,2,FALSE()),"Invalid ("&amp;Data!G487&amp;")"))</f>
        <v>No</v>
      </c>
      <c r="H487" s="28" t="str">
        <f aca="false">IF(Data!H487="","",IFERROR(VLOOKUP(Data!H487,Codes!$A$23:$B$25,2,FALSE()),"Invalid ("&amp;Data!H487&amp;")"))</f>
        <v>Normal</v>
      </c>
      <c r="I487" s="20" t="n">
        <f aca="false">IF(Data!I487="","",Data!I487)</f>
        <v>150</v>
      </c>
      <c r="J487" s="28" t="str">
        <f aca="false">IF(Data!J487="","",IFERROR(VLOOKUP(Data!J487,Codes!$A$29:$B$30,2,FALSE()),"Invalid ("&amp;Data!J487&amp;")"))</f>
        <v>No</v>
      </c>
      <c r="K487" s="21" t="n">
        <f aca="false">IF(Data!K487="","",Data!K487)</f>
        <v>0</v>
      </c>
      <c r="L487" s="28" t="str">
        <f aca="false">IF(Data!L487="","",IFERROR(VLOOKUP(Data!L487,Codes!$A$34:$B$36,2,FALSE()),"Invalid ("&amp;Data!L487&amp;")"))</f>
        <v/>
      </c>
      <c r="M487" s="20" t="str">
        <f aca="false">IF(Data!M487="","",Data!M487)</f>
        <v/>
      </c>
      <c r="N487" s="28" t="str">
        <f aca="false">IF(Data!N487="","",IFERROR(VLOOKUP(Data!N487,Codes!$A$47:$B$49,2,FALSE()),"Invalid ("&amp;Data!N487&amp;")"))</f>
        <v/>
      </c>
      <c r="O487" s="28" t="str">
        <f aca="false">IF(Data!O487="","",IFERROR(VLOOKUP(Data!O487,Codes!$A$53:$B$57,2,FALSE()),"Invalid ("&amp;Data!O487&amp;")"))</f>
        <v>No disease</v>
      </c>
      <c r="P487" s="22" t="str">
        <f aca="false">IF(Data!P487="","",IFERROR(VLOOKUP(Data!P487,Codes!$A$61:$B$64,2,FALSE()),"Invalid ("&amp;Data!P487&amp;")"))</f>
        <v>Hungarian Inst. of Cardiology, Budapest</v>
      </c>
    </row>
    <row r="488" customFormat="false" ht="15" hidden="false" customHeight="false" outlineLevel="0" collapsed="false">
      <c r="A488" s="19" t="n">
        <f aca="false">Data!A488</f>
        <v>487</v>
      </c>
      <c r="B488" s="20" t="n">
        <f aca="false">IF(Data!B488="","",Data!B488)</f>
        <v>52</v>
      </c>
      <c r="C488" s="28" t="str">
        <f aca="false">IF(Data!C488="","",IFERROR(VLOOKUP(Data!C488,Codes!$A$6:$B$7,2,FALSE()),"Invalid ("&amp;Data!C488&amp;")"))</f>
        <v>Male</v>
      </c>
      <c r="D488" s="28" t="str">
        <f aca="false">IF(Data!D488="","",IFERROR(VLOOKUP(Data!D488,Codes!$A$11:$B$14,2,FALSE()),"Invalid ("&amp;Data!D488&amp;")"))</f>
        <v>Asymptomatic</v>
      </c>
      <c r="E488" s="20" t="n">
        <f aca="false">IF(Data!E488="","",Data!E488)</f>
        <v>140</v>
      </c>
      <c r="F488" s="20" t="n">
        <f aca="false">IF(Data!F488="","",Data!F488)</f>
        <v>404</v>
      </c>
      <c r="G488" s="28" t="str">
        <f aca="false">IF(Data!G488="","",IFERROR(VLOOKUP(Data!G488,Codes!$A$18:$B$19,2,FALSE()),"Invalid ("&amp;Data!G488&amp;")"))</f>
        <v>No</v>
      </c>
      <c r="H488" s="28" t="str">
        <f aca="false">IF(Data!H488="","",IFERROR(VLOOKUP(Data!H488,Codes!$A$23:$B$25,2,FALSE()),"Invalid ("&amp;Data!H488&amp;")"))</f>
        <v>Normal</v>
      </c>
      <c r="I488" s="20" t="n">
        <f aca="false">IF(Data!I488="","",Data!I488)</f>
        <v>124</v>
      </c>
      <c r="J488" s="28" t="str">
        <f aca="false">IF(Data!J488="","",IFERROR(VLOOKUP(Data!J488,Codes!$A$29:$B$30,2,FALSE()),"Invalid ("&amp;Data!J488&amp;")"))</f>
        <v>Yes</v>
      </c>
      <c r="K488" s="21" t="n">
        <f aca="false">IF(Data!K488="","",Data!K488)</f>
        <v>2</v>
      </c>
      <c r="L488" s="28" t="str">
        <f aca="false">IF(Data!L488="","",IFERROR(VLOOKUP(Data!L488,Codes!$A$34:$B$36,2,FALSE()),"Invalid ("&amp;Data!L488&amp;")"))</f>
        <v>Flat</v>
      </c>
      <c r="M488" s="20" t="str">
        <f aca="false">IF(Data!M488="","",Data!M488)</f>
        <v/>
      </c>
      <c r="N488" s="28" t="str">
        <f aca="false">IF(Data!N488="","",IFERROR(VLOOKUP(Data!N488,Codes!$A$47:$B$49,2,FALSE()),"Invalid ("&amp;Data!N488&amp;")"))</f>
        <v/>
      </c>
      <c r="O488" s="28" t="str">
        <f aca="false">IF(Data!O488="","",IFERROR(VLOOKUP(Data!O488,Codes!$A$53:$B$57,2,FALSE()),"Invalid ("&amp;Data!O488&amp;")"))</f>
        <v>Disease (3)</v>
      </c>
      <c r="P488" s="22" t="str">
        <f aca="false">IF(Data!P488="","",IFERROR(VLOOKUP(Data!P488,Codes!$A$61:$B$64,2,FALSE()),"Invalid ("&amp;Data!P488&amp;")"))</f>
        <v>Hungarian Inst. of Cardiology, Budapest</v>
      </c>
    </row>
    <row r="489" customFormat="false" ht="15" hidden="false" customHeight="false" outlineLevel="0" collapsed="false">
      <c r="A489" s="19" t="n">
        <f aca="false">Data!A489</f>
        <v>488</v>
      </c>
      <c r="B489" s="20" t="n">
        <f aca="false">IF(Data!B489="","",Data!B489)</f>
        <v>46</v>
      </c>
      <c r="C489" s="28" t="str">
        <f aca="false">IF(Data!C489="","",IFERROR(VLOOKUP(Data!C489,Codes!$A$6:$B$7,2,FALSE()),"Invalid ("&amp;Data!C489&amp;")"))</f>
        <v>Male</v>
      </c>
      <c r="D489" s="28" t="str">
        <f aca="false">IF(Data!D489="","",IFERROR(VLOOKUP(Data!D489,Codes!$A$11:$B$14,2,FALSE()),"Invalid ("&amp;Data!D489&amp;")"))</f>
        <v>Asymptomatic</v>
      </c>
      <c r="E489" s="20" t="n">
        <f aca="false">IF(Data!E489="","",Data!E489)</f>
        <v>110</v>
      </c>
      <c r="F489" s="20" t="n">
        <f aca="false">IF(Data!F489="","",Data!F489)</f>
        <v>238</v>
      </c>
      <c r="G489" s="28" t="str">
        <f aca="false">IF(Data!G489="","",IFERROR(VLOOKUP(Data!G489,Codes!$A$18:$B$19,2,FALSE()),"Invalid ("&amp;Data!G489&amp;")"))</f>
        <v>No</v>
      </c>
      <c r="H489" s="28" t="str">
        <f aca="false">IF(Data!H489="","",IFERROR(VLOOKUP(Data!H489,Codes!$A$23:$B$25,2,FALSE()),"Invalid ("&amp;Data!H489&amp;")"))</f>
        <v>ST-T wave abnormality</v>
      </c>
      <c r="I489" s="20" t="n">
        <f aca="false">IF(Data!I489="","",Data!I489)</f>
        <v>140</v>
      </c>
      <c r="J489" s="28" t="str">
        <f aca="false">IF(Data!J489="","",IFERROR(VLOOKUP(Data!J489,Codes!$A$29:$B$30,2,FALSE()),"Invalid ("&amp;Data!J489&amp;")"))</f>
        <v>Yes</v>
      </c>
      <c r="K489" s="21" t="n">
        <f aca="false">IF(Data!K489="","",Data!K489)</f>
        <v>1</v>
      </c>
      <c r="L489" s="28" t="str">
        <f aca="false">IF(Data!L489="","",IFERROR(VLOOKUP(Data!L489,Codes!$A$34:$B$36,2,FALSE()),"Invalid ("&amp;Data!L489&amp;")"))</f>
        <v>Flat</v>
      </c>
      <c r="M489" s="20" t="str">
        <f aca="false">IF(Data!M489="","",Data!M489)</f>
        <v/>
      </c>
      <c r="N489" s="28" t="str">
        <f aca="false">IF(Data!N489="","",IFERROR(VLOOKUP(Data!N489,Codes!$A$47:$B$49,2,FALSE()),"Invalid ("&amp;Data!N489&amp;")"))</f>
        <v>Normal</v>
      </c>
      <c r="O489" s="28" t="str">
        <f aca="false">IF(Data!O489="","",IFERROR(VLOOKUP(Data!O489,Codes!$A$53:$B$57,2,FALSE()),"Invalid ("&amp;Data!O489&amp;")"))</f>
        <v>No disease</v>
      </c>
      <c r="P489" s="22" t="str">
        <f aca="false">IF(Data!P489="","",IFERROR(VLOOKUP(Data!P489,Codes!$A$61:$B$64,2,FALSE()),"Invalid ("&amp;Data!P489&amp;")"))</f>
        <v>Hungarian Inst. of Cardiology, Budapest</v>
      </c>
    </row>
    <row r="490" customFormat="false" ht="15" hidden="false" customHeight="false" outlineLevel="0" collapsed="false">
      <c r="A490" s="19" t="n">
        <f aca="false">Data!A490</f>
        <v>489</v>
      </c>
      <c r="B490" s="20" t="n">
        <f aca="false">IF(Data!B490="","",Data!B490)</f>
        <v>54</v>
      </c>
      <c r="C490" s="28" t="str">
        <f aca="false">IF(Data!C490="","",IFERROR(VLOOKUP(Data!C490,Codes!$A$6:$B$7,2,FALSE()),"Invalid ("&amp;Data!C490&amp;")"))</f>
        <v>Female</v>
      </c>
      <c r="D490" s="28" t="str">
        <f aca="false">IF(Data!D490="","",IFERROR(VLOOKUP(Data!D490,Codes!$A$11:$B$14,2,FALSE()),"Invalid ("&amp;Data!D490&amp;")"))</f>
        <v>Atypical angina</v>
      </c>
      <c r="E490" s="20" t="n">
        <f aca="false">IF(Data!E490="","",Data!E490)</f>
        <v>160</v>
      </c>
      <c r="F490" s="20" t="n">
        <f aca="false">IF(Data!F490="","",Data!F490)</f>
        <v>312</v>
      </c>
      <c r="G490" s="28" t="str">
        <f aca="false">IF(Data!G490="","",IFERROR(VLOOKUP(Data!G490,Codes!$A$18:$B$19,2,FALSE()),"Invalid ("&amp;Data!G490&amp;")"))</f>
        <v>No</v>
      </c>
      <c r="H490" s="28" t="str">
        <f aca="false">IF(Data!H490="","",IFERROR(VLOOKUP(Data!H490,Codes!$A$23:$B$25,2,FALSE()),"Invalid ("&amp;Data!H490&amp;")"))</f>
        <v>Normal</v>
      </c>
      <c r="I490" s="20" t="n">
        <f aca="false">IF(Data!I490="","",Data!I490)</f>
        <v>130</v>
      </c>
      <c r="J490" s="28" t="str">
        <f aca="false">IF(Data!J490="","",IFERROR(VLOOKUP(Data!J490,Codes!$A$29:$B$30,2,FALSE()),"Invalid ("&amp;Data!J490&amp;")"))</f>
        <v>No</v>
      </c>
      <c r="K490" s="21" t="n">
        <f aca="false">IF(Data!K490="","",Data!K490)</f>
        <v>0</v>
      </c>
      <c r="L490" s="28" t="str">
        <f aca="false">IF(Data!L490="","",IFERROR(VLOOKUP(Data!L490,Codes!$A$34:$B$36,2,FALSE()),"Invalid ("&amp;Data!L490&amp;")"))</f>
        <v/>
      </c>
      <c r="M490" s="20" t="str">
        <f aca="false">IF(Data!M490="","",Data!M490)</f>
        <v/>
      </c>
      <c r="N490" s="28" t="str">
        <f aca="false">IF(Data!N490="","",IFERROR(VLOOKUP(Data!N490,Codes!$A$47:$B$49,2,FALSE()),"Invalid ("&amp;Data!N490&amp;")"))</f>
        <v/>
      </c>
      <c r="O490" s="28" t="str">
        <f aca="false">IF(Data!O490="","",IFERROR(VLOOKUP(Data!O490,Codes!$A$53:$B$57,2,FALSE()),"Invalid ("&amp;Data!O490&amp;")"))</f>
        <v>No disease</v>
      </c>
      <c r="P490" s="22" t="str">
        <f aca="false">IF(Data!P490="","",IFERROR(VLOOKUP(Data!P490,Codes!$A$61:$B$64,2,FALSE()),"Invalid ("&amp;Data!P490&amp;")"))</f>
        <v>Hungarian Inst. of Cardiology, Budapest</v>
      </c>
    </row>
    <row r="491" customFormat="false" ht="15" hidden="false" customHeight="false" outlineLevel="0" collapsed="false">
      <c r="A491" s="19" t="n">
        <f aca="false">Data!A491</f>
        <v>490</v>
      </c>
      <c r="B491" s="20" t="n">
        <f aca="false">IF(Data!B491="","",Data!B491)</f>
        <v>58</v>
      </c>
      <c r="C491" s="28" t="str">
        <f aca="false">IF(Data!C491="","",IFERROR(VLOOKUP(Data!C491,Codes!$A$6:$B$7,2,FALSE()),"Invalid ("&amp;Data!C491&amp;")"))</f>
        <v>Male</v>
      </c>
      <c r="D491" s="28" t="str">
        <f aca="false">IF(Data!D491="","",IFERROR(VLOOKUP(Data!D491,Codes!$A$11:$B$14,2,FALSE()),"Invalid ("&amp;Data!D491&amp;")"))</f>
        <v>Non-anginal pain</v>
      </c>
      <c r="E491" s="20" t="n">
        <f aca="false">IF(Data!E491="","",Data!E491)</f>
        <v>160</v>
      </c>
      <c r="F491" s="20" t="n">
        <f aca="false">IF(Data!F491="","",Data!F491)</f>
        <v>211</v>
      </c>
      <c r="G491" s="28" t="str">
        <f aca="false">IF(Data!G491="","",IFERROR(VLOOKUP(Data!G491,Codes!$A$18:$B$19,2,FALSE()),"Invalid ("&amp;Data!G491&amp;")"))</f>
        <v>Yes</v>
      </c>
      <c r="H491" s="28" t="str">
        <f aca="false">IF(Data!H491="","",IFERROR(VLOOKUP(Data!H491,Codes!$A$23:$B$25,2,FALSE()),"Invalid ("&amp;Data!H491&amp;")"))</f>
        <v>ST-T wave abnormality</v>
      </c>
      <c r="I491" s="20" t="n">
        <f aca="false">IF(Data!I491="","",Data!I491)</f>
        <v>92</v>
      </c>
      <c r="J491" s="28" t="str">
        <f aca="false">IF(Data!J491="","",IFERROR(VLOOKUP(Data!J491,Codes!$A$29:$B$30,2,FALSE()),"Invalid ("&amp;Data!J491&amp;")"))</f>
        <v>No</v>
      </c>
      <c r="K491" s="21" t="n">
        <f aca="false">IF(Data!K491="","",Data!K491)</f>
        <v>0</v>
      </c>
      <c r="L491" s="28" t="str">
        <f aca="false">IF(Data!L491="","",IFERROR(VLOOKUP(Data!L491,Codes!$A$34:$B$36,2,FALSE()),"Invalid ("&amp;Data!L491&amp;")"))</f>
        <v/>
      </c>
      <c r="M491" s="20" t="str">
        <f aca="false">IF(Data!M491="","",Data!M491)</f>
        <v/>
      </c>
      <c r="N491" s="28" t="str">
        <f aca="false">IF(Data!N491="","",IFERROR(VLOOKUP(Data!N491,Codes!$A$47:$B$49,2,FALSE()),"Invalid ("&amp;Data!N491&amp;")"))</f>
        <v/>
      </c>
      <c r="O491" s="28" t="str">
        <f aca="false">IF(Data!O491="","",IFERROR(VLOOKUP(Data!O491,Codes!$A$53:$B$57,2,FALSE()),"Invalid ("&amp;Data!O491&amp;")"))</f>
        <v>Disease (2)</v>
      </c>
      <c r="P491" s="22" t="str">
        <f aca="false">IF(Data!P491="","",IFERROR(VLOOKUP(Data!P491,Codes!$A$61:$B$64,2,FALSE()),"Invalid ("&amp;Data!P491&amp;")"))</f>
        <v>Hungarian Inst. of Cardiology, Budapest</v>
      </c>
    </row>
    <row r="492" customFormat="false" ht="15" hidden="false" customHeight="false" outlineLevel="0" collapsed="false">
      <c r="A492" s="19" t="n">
        <f aca="false">Data!A492</f>
        <v>491</v>
      </c>
      <c r="B492" s="20" t="n">
        <f aca="false">IF(Data!B492="","",Data!B492)</f>
        <v>58</v>
      </c>
      <c r="C492" s="28" t="str">
        <f aca="false">IF(Data!C492="","",IFERROR(VLOOKUP(Data!C492,Codes!$A$6:$B$7,2,FALSE()),"Invalid ("&amp;Data!C492&amp;")"))</f>
        <v>Male</v>
      </c>
      <c r="D492" s="28" t="str">
        <f aca="false">IF(Data!D492="","",IFERROR(VLOOKUP(Data!D492,Codes!$A$11:$B$14,2,FALSE()),"Invalid ("&amp;Data!D492&amp;")"))</f>
        <v>Atypical angina</v>
      </c>
      <c r="E492" s="20" t="n">
        <f aca="false">IF(Data!E492="","",Data!E492)</f>
        <v>130</v>
      </c>
      <c r="F492" s="20" t="n">
        <f aca="false">IF(Data!F492="","",Data!F492)</f>
        <v>251</v>
      </c>
      <c r="G492" s="28" t="str">
        <f aca="false">IF(Data!G492="","",IFERROR(VLOOKUP(Data!G492,Codes!$A$18:$B$19,2,FALSE()),"Invalid ("&amp;Data!G492&amp;")"))</f>
        <v>No</v>
      </c>
      <c r="H492" s="28" t="str">
        <f aca="false">IF(Data!H492="","",IFERROR(VLOOKUP(Data!H492,Codes!$A$23:$B$25,2,FALSE()),"Invalid ("&amp;Data!H492&amp;")"))</f>
        <v>Normal</v>
      </c>
      <c r="I492" s="20" t="n">
        <f aca="false">IF(Data!I492="","",Data!I492)</f>
        <v>110</v>
      </c>
      <c r="J492" s="28" t="str">
        <f aca="false">IF(Data!J492="","",IFERROR(VLOOKUP(Data!J492,Codes!$A$29:$B$30,2,FALSE()),"Invalid ("&amp;Data!J492&amp;")"))</f>
        <v>No</v>
      </c>
      <c r="K492" s="21" t="n">
        <f aca="false">IF(Data!K492="","",Data!K492)</f>
        <v>0</v>
      </c>
      <c r="L492" s="28" t="str">
        <f aca="false">IF(Data!L492="","",IFERROR(VLOOKUP(Data!L492,Codes!$A$34:$B$36,2,FALSE()),"Invalid ("&amp;Data!L492&amp;")"))</f>
        <v/>
      </c>
      <c r="M492" s="20" t="str">
        <f aca="false">IF(Data!M492="","",Data!M492)</f>
        <v/>
      </c>
      <c r="N492" s="28" t="str">
        <f aca="false">IF(Data!N492="","",IFERROR(VLOOKUP(Data!N492,Codes!$A$47:$B$49,2,FALSE()),"Invalid ("&amp;Data!N492&amp;")"))</f>
        <v/>
      </c>
      <c r="O492" s="28" t="str">
        <f aca="false">IF(Data!O492="","",IFERROR(VLOOKUP(Data!O492,Codes!$A$53:$B$57,2,FALSE()),"Invalid ("&amp;Data!O492&amp;")"))</f>
        <v>No disease</v>
      </c>
      <c r="P492" s="22" t="str">
        <f aca="false">IF(Data!P492="","",IFERROR(VLOOKUP(Data!P492,Codes!$A$61:$B$64,2,FALSE()),"Invalid ("&amp;Data!P492&amp;")"))</f>
        <v>Hungarian Inst. of Cardiology, Budapest</v>
      </c>
    </row>
    <row r="493" customFormat="false" ht="15" hidden="false" customHeight="false" outlineLevel="0" collapsed="false">
      <c r="A493" s="19" t="n">
        <f aca="false">Data!A493</f>
        <v>492</v>
      </c>
      <c r="B493" s="20" t="n">
        <f aca="false">IF(Data!B493="","",Data!B493)</f>
        <v>41</v>
      </c>
      <c r="C493" s="28" t="str">
        <f aca="false">IF(Data!C493="","",IFERROR(VLOOKUP(Data!C493,Codes!$A$6:$B$7,2,FALSE()),"Invalid ("&amp;Data!C493&amp;")"))</f>
        <v>Male</v>
      </c>
      <c r="D493" s="28" t="str">
        <f aca="false">IF(Data!D493="","",IFERROR(VLOOKUP(Data!D493,Codes!$A$11:$B$14,2,FALSE()),"Invalid ("&amp;Data!D493&amp;")"))</f>
        <v>Asymptomatic</v>
      </c>
      <c r="E493" s="20" t="n">
        <f aca="false">IF(Data!E493="","",Data!E493)</f>
        <v>120</v>
      </c>
      <c r="F493" s="20" t="n">
        <f aca="false">IF(Data!F493="","",Data!F493)</f>
        <v>237</v>
      </c>
      <c r="G493" s="28" t="str">
        <f aca="false">IF(Data!G493="","",IFERROR(VLOOKUP(Data!G493,Codes!$A$18:$B$19,2,FALSE()),"Invalid ("&amp;Data!G493&amp;")"))</f>
        <v/>
      </c>
      <c r="H493" s="28" t="str">
        <f aca="false">IF(Data!H493="","",IFERROR(VLOOKUP(Data!H493,Codes!$A$23:$B$25,2,FALSE()),"Invalid ("&amp;Data!H493&amp;")"))</f>
        <v>Normal</v>
      </c>
      <c r="I493" s="20" t="n">
        <f aca="false">IF(Data!I493="","",Data!I493)</f>
        <v>138</v>
      </c>
      <c r="J493" s="28" t="str">
        <f aca="false">IF(Data!J493="","",IFERROR(VLOOKUP(Data!J493,Codes!$A$29:$B$30,2,FALSE()),"Invalid ("&amp;Data!J493&amp;")"))</f>
        <v>Yes</v>
      </c>
      <c r="K493" s="21" t="n">
        <f aca="false">IF(Data!K493="","",Data!K493)</f>
        <v>1</v>
      </c>
      <c r="L493" s="28" t="str">
        <f aca="false">IF(Data!L493="","",IFERROR(VLOOKUP(Data!L493,Codes!$A$34:$B$36,2,FALSE()),"Invalid ("&amp;Data!L493&amp;")"))</f>
        <v>Flat</v>
      </c>
      <c r="M493" s="20" t="str">
        <f aca="false">IF(Data!M493="","",Data!M493)</f>
        <v/>
      </c>
      <c r="N493" s="28" t="str">
        <f aca="false">IF(Data!N493="","",IFERROR(VLOOKUP(Data!N493,Codes!$A$47:$B$49,2,FALSE()),"Invalid ("&amp;Data!N493&amp;")"))</f>
        <v/>
      </c>
      <c r="O493" s="28" t="str">
        <f aca="false">IF(Data!O493="","",IFERROR(VLOOKUP(Data!O493,Codes!$A$53:$B$57,2,FALSE()),"Invalid ("&amp;Data!O493&amp;")"))</f>
        <v>Disease (1)</v>
      </c>
      <c r="P493" s="22" t="str">
        <f aca="false">IF(Data!P493="","",IFERROR(VLOOKUP(Data!P493,Codes!$A$61:$B$64,2,FALSE()),"Invalid ("&amp;Data!P493&amp;")"))</f>
        <v>Hungarian Inst. of Cardiology, Budapest</v>
      </c>
    </row>
    <row r="494" customFormat="false" ht="15" hidden="false" customHeight="false" outlineLevel="0" collapsed="false">
      <c r="A494" s="19" t="n">
        <f aca="false">Data!A494</f>
        <v>493</v>
      </c>
      <c r="B494" s="20" t="n">
        <f aca="false">IF(Data!B494="","",Data!B494)</f>
        <v>50</v>
      </c>
      <c r="C494" s="28" t="str">
        <f aca="false">IF(Data!C494="","",IFERROR(VLOOKUP(Data!C494,Codes!$A$6:$B$7,2,FALSE()),"Invalid ("&amp;Data!C494&amp;")"))</f>
        <v>Female</v>
      </c>
      <c r="D494" s="28" t="str">
        <f aca="false">IF(Data!D494="","",IFERROR(VLOOKUP(Data!D494,Codes!$A$11:$B$14,2,FALSE()),"Invalid ("&amp;Data!D494&amp;")"))</f>
        <v>Asymptomatic</v>
      </c>
      <c r="E494" s="20" t="n">
        <f aca="false">IF(Data!E494="","",Data!E494)</f>
        <v>120</v>
      </c>
      <c r="F494" s="20" t="n">
        <f aca="false">IF(Data!F494="","",Data!F494)</f>
        <v>328</v>
      </c>
      <c r="G494" s="28" t="str">
        <f aca="false">IF(Data!G494="","",IFERROR(VLOOKUP(Data!G494,Codes!$A$18:$B$19,2,FALSE()),"Invalid ("&amp;Data!G494&amp;")"))</f>
        <v>No</v>
      </c>
      <c r="H494" s="28" t="str">
        <f aca="false">IF(Data!H494="","",IFERROR(VLOOKUP(Data!H494,Codes!$A$23:$B$25,2,FALSE()),"Invalid ("&amp;Data!H494&amp;")"))</f>
        <v>Normal</v>
      </c>
      <c r="I494" s="20" t="n">
        <f aca="false">IF(Data!I494="","",Data!I494)</f>
        <v>110</v>
      </c>
      <c r="J494" s="28" t="str">
        <f aca="false">IF(Data!J494="","",IFERROR(VLOOKUP(Data!J494,Codes!$A$29:$B$30,2,FALSE()),"Invalid ("&amp;Data!J494&amp;")"))</f>
        <v>Yes</v>
      </c>
      <c r="K494" s="21" t="n">
        <f aca="false">IF(Data!K494="","",Data!K494)</f>
        <v>1</v>
      </c>
      <c r="L494" s="28" t="str">
        <f aca="false">IF(Data!L494="","",IFERROR(VLOOKUP(Data!L494,Codes!$A$34:$B$36,2,FALSE()),"Invalid ("&amp;Data!L494&amp;")"))</f>
        <v>Flat</v>
      </c>
      <c r="M494" s="20" t="str">
        <f aca="false">IF(Data!M494="","",Data!M494)</f>
        <v/>
      </c>
      <c r="N494" s="28" t="str">
        <f aca="false">IF(Data!N494="","",IFERROR(VLOOKUP(Data!N494,Codes!$A$47:$B$49,2,FALSE()),"Invalid ("&amp;Data!N494&amp;")"))</f>
        <v/>
      </c>
      <c r="O494" s="28" t="str">
        <f aca="false">IF(Data!O494="","",IFERROR(VLOOKUP(Data!O494,Codes!$A$53:$B$57,2,FALSE()),"Invalid ("&amp;Data!O494&amp;")"))</f>
        <v>No disease</v>
      </c>
      <c r="P494" s="22" t="str">
        <f aca="false">IF(Data!P494="","",IFERROR(VLOOKUP(Data!P494,Codes!$A$61:$B$64,2,FALSE()),"Invalid ("&amp;Data!P494&amp;")"))</f>
        <v>Hungarian Inst. of Cardiology, Budapest</v>
      </c>
    </row>
    <row r="495" customFormat="false" ht="15" hidden="false" customHeight="false" outlineLevel="0" collapsed="false">
      <c r="A495" s="19" t="n">
        <f aca="false">Data!A495</f>
        <v>494</v>
      </c>
      <c r="B495" s="20" t="n">
        <f aca="false">IF(Data!B495="","",Data!B495)</f>
        <v>53</v>
      </c>
      <c r="C495" s="28" t="str">
        <f aca="false">IF(Data!C495="","",IFERROR(VLOOKUP(Data!C495,Codes!$A$6:$B$7,2,FALSE()),"Invalid ("&amp;Data!C495&amp;")"))</f>
        <v>Male</v>
      </c>
      <c r="D495" s="28" t="str">
        <f aca="false">IF(Data!D495="","",IFERROR(VLOOKUP(Data!D495,Codes!$A$11:$B$14,2,FALSE()),"Invalid ("&amp;Data!D495&amp;")"))</f>
        <v>Asymptomatic</v>
      </c>
      <c r="E495" s="20" t="n">
        <f aca="false">IF(Data!E495="","",Data!E495)</f>
        <v>180</v>
      </c>
      <c r="F495" s="20" t="n">
        <f aca="false">IF(Data!F495="","",Data!F495)</f>
        <v>285</v>
      </c>
      <c r="G495" s="28" t="str">
        <f aca="false">IF(Data!G495="","",IFERROR(VLOOKUP(Data!G495,Codes!$A$18:$B$19,2,FALSE()),"Invalid ("&amp;Data!G495&amp;")"))</f>
        <v>No</v>
      </c>
      <c r="H495" s="28" t="str">
        <f aca="false">IF(Data!H495="","",IFERROR(VLOOKUP(Data!H495,Codes!$A$23:$B$25,2,FALSE()),"Invalid ("&amp;Data!H495&amp;")"))</f>
        <v>ST-T wave abnormality</v>
      </c>
      <c r="I495" s="20" t="n">
        <f aca="false">IF(Data!I495="","",Data!I495)</f>
        <v>120</v>
      </c>
      <c r="J495" s="28" t="str">
        <f aca="false">IF(Data!J495="","",IFERROR(VLOOKUP(Data!J495,Codes!$A$29:$B$30,2,FALSE()),"Invalid ("&amp;Data!J495&amp;")"))</f>
        <v>Yes</v>
      </c>
      <c r="K495" s="21" t="n">
        <f aca="false">IF(Data!K495="","",Data!K495)</f>
        <v>1.5</v>
      </c>
      <c r="L495" s="28" t="str">
        <f aca="false">IF(Data!L495="","",IFERROR(VLOOKUP(Data!L495,Codes!$A$34:$B$36,2,FALSE()),"Invalid ("&amp;Data!L495&amp;")"))</f>
        <v>Flat</v>
      </c>
      <c r="M495" s="20" t="str">
        <f aca="false">IF(Data!M495="","",Data!M495)</f>
        <v/>
      </c>
      <c r="N495" s="28" t="str">
        <f aca="false">IF(Data!N495="","",IFERROR(VLOOKUP(Data!N495,Codes!$A$47:$B$49,2,FALSE()),"Invalid ("&amp;Data!N495&amp;")"))</f>
        <v/>
      </c>
      <c r="O495" s="28" t="str">
        <f aca="false">IF(Data!O495="","",IFERROR(VLOOKUP(Data!O495,Codes!$A$53:$B$57,2,FALSE()),"Invalid ("&amp;Data!O495&amp;")"))</f>
        <v>Disease (3)</v>
      </c>
      <c r="P495" s="22" t="str">
        <f aca="false">IF(Data!P495="","",IFERROR(VLOOKUP(Data!P495,Codes!$A$61:$B$64,2,FALSE()),"Invalid ("&amp;Data!P495&amp;")"))</f>
        <v>Hungarian Inst. of Cardiology, Budapest</v>
      </c>
    </row>
    <row r="496" customFormat="false" ht="15" hidden="false" customHeight="false" outlineLevel="0" collapsed="false">
      <c r="A496" s="19" t="n">
        <f aca="false">Data!A496</f>
        <v>495</v>
      </c>
      <c r="B496" s="20" t="n">
        <f aca="false">IF(Data!B496="","",Data!B496)</f>
        <v>46</v>
      </c>
      <c r="C496" s="28" t="str">
        <f aca="false">IF(Data!C496="","",IFERROR(VLOOKUP(Data!C496,Codes!$A$6:$B$7,2,FALSE()),"Invalid ("&amp;Data!C496&amp;")"))</f>
        <v>Male</v>
      </c>
      <c r="D496" s="28" t="str">
        <f aca="false">IF(Data!D496="","",IFERROR(VLOOKUP(Data!D496,Codes!$A$11:$B$14,2,FALSE()),"Invalid ("&amp;Data!D496&amp;")"))</f>
        <v>Asymptomatic</v>
      </c>
      <c r="E496" s="20" t="n">
        <f aca="false">IF(Data!E496="","",Data!E496)</f>
        <v>180</v>
      </c>
      <c r="F496" s="20" t="n">
        <f aca="false">IF(Data!F496="","",Data!F496)</f>
        <v>280</v>
      </c>
      <c r="G496" s="28" t="str">
        <f aca="false">IF(Data!G496="","",IFERROR(VLOOKUP(Data!G496,Codes!$A$18:$B$19,2,FALSE()),"Invalid ("&amp;Data!G496&amp;")"))</f>
        <v>No</v>
      </c>
      <c r="H496" s="28" t="str">
        <f aca="false">IF(Data!H496="","",IFERROR(VLOOKUP(Data!H496,Codes!$A$23:$B$25,2,FALSE()),"Invalid ("&amp;Data!H496&amp;")"))</f>
        <v>ST-T wave abnormality</v>
      </c>
      <c r="I496" s="20" t="n">
        <f aca="false">IF(Data!I496="","",Data!I496)</f>
        <v>120</v>
      </c>
      <c r="J496" s="28" t="str">
        <f aca="false">IF(Data!J496="","",IFERROR(VLOOKUP(Data!J496,Codes!$A$29:$B$30,2,FALSE()),"Invalid ("&amp;Data!J496&amp;")"))</f>
        <v>No</v>
      </c>
      <c r="K496" s="21" t="n">
        <f aca="false">IF(Data!K496="","",Data!K496)</f>
        <v>0</v>
      </c>
      <c r="L496" s="28" t="str">
        <f aca="false">IF(Data!L496="","",IFERROR(VLOOKUP(Data!L496,Codes!$A$34:$B$36,2,FALSE()),"Invalid ("&amp;Data!L496&amp;")"))</f>
        <v/>
      </c>
      <c r="M496" s="20" t="str">
        <f aca="false">IF(Data!M496="","",Data!M496)</f>
        <v/>
      </c>
      <c r="N496" s="28" t="str">
        <f aca="false">IF(Data!N496="","",IFERROR(VLOOKUP(Data!N496,Codes!$A$47:$B$49,2,FALSE()),"Invalid ("&amp;Data!N496&amp;")"))</f>
        <v/>
      </c>
      <c r="O496" s="28" t="str">
        <f aca="false">IF(Data!O496="","",IFERROR(VLOOKUP(Data!O496,Codes!$A$53:$B$57,2,FALSE()),"Invalid ("&amp;Data!O496&amp;")"))</f>
        <v>No disease</v>
      </c>
      <c r="P496" s="22" t="str">
        <f aca="false">IF(Data!P496="","",IFERROR(VLOOKUP(Data!P496,Codes!$A$61:$B$64,2,FALSE()),"Invalid ("&amp;Data!P496&amp;")"))</f>
        <v>Hungarian Inst. of Cardiology, Budapest</v>
      </c>
    </row>
    <row r="497" customFormat="false" ht="15" hidden="false" customHeight="false" outlineLevel="0" collapsed="false">
      <c r="A497" s="19" t="n">
        <f aca="false">Data!A497</f>
        <v>496</v>
      </c>
      <c r="B497" s="20" t="n">
        <f aca="false">IF(Data!B497="","",Data!B497)</f>
        <v>50</v>
      </c>
      <c r="C497" s="28" t="str">
        <f aca="false">IF(Data!C497="","",IFERROR(VLOOKUP(Data!C497,Codes!$A$6:$B$7,2,FALSE()),"Invalid ("&amp;Data!C497&amp;")"))</f>
        <v>Male</v>
      </c>
      <c r="D497" s="28" t="str">
        <f aca="false">IF(Data!D497="","",IFERROR(VLOOKUP(Data!D497,Codes!$A$11:$B$14,2,FALSE()),"Invalid ("&amp;Data!D497&amp;")"))</f>
        <v>Atypical angina</v>
      </c>
      <c r="E497" s="20" t="n">
        <f aca="false">IF(Data!E497="","",Data!E497)</f>
        <v>170</v>
      </c>
      <c r="F497" s="20" t="n">
        <f aca="false">IF(Data!F497="","",Data!F497)</f>
        <v>209</v>
      </c>
      <c r="G497" s="28" t="str">
        <f aca="false">IF(Data!G497="","",IFERROR(VLOOKUP(Data!G497,Codes!$A$18:$B$19,2,FALSE()),"Invalid ("&amp;Data!G497&amp;")"))</f>
        <v>No</v>
      </c>
      <c r="H497" s="28" t="str">
        <f aca="false">IF(Data!H497="","",IFERROR(VLOOKUP(Data!H497,Codes!$A$23:$B$25,2,FALSE()),"Invalid ("&amp;Data!H497&amp;")"))</f>
        <v>ST-T wave abnormality</v>
      </c>
      <c r="I497" s="20" t="n">
        <f aca="false">IF(Data!I497="","",Data!I497)</f>
        <v>116</v>
      </c>
      <c r="J497" s="28" t="str">
        <f aca="false">IF(Data!J497="","",IFERROR(VLOOKUP(Data!J497,Codes!$A$29:$B$30,2,FALSE()),"Invalid ("&amp;Data!J497&amp;")"))</f>
        <v>No</v>
      </c>
      <c r="K497" s="21" t="n">
        <f aca="false">IF(Data!K497="","",Data!K497)</f>
        <v>0</v>
      </c>
      <c r="L497" s="28" t="str">
        <f aca="false">IF(Data!L497="","",IFERROR(VLOOKUP(Data!L497,Codes!$A$34:$B$36,2,FALSE()),"Invalid ("&amp;Data!L497&amp;")"))</f>
        <v/>
      </c>
      <c r="M497" s="20" t="str">
        <f aca="false">IF(Data!M497="","",Data!M497)</f>
        <v/>
      </c>
      <c r="N497" s="28" t="str">
        <f aca="false">IF(Data!N497="","",IFERROR(VLOOKUP(Data!N497,Codes!$A$47:$B$49,2,FALSE()),"Invalid ("&amp;Data!N497&amp;")"))</f>
        <v/>
      </c>
      <c r="O497" s="28" t="str">
        <f aca="false">IF(Data!O497="","",IFERROR(VLOOKUP(Data!O497,Codes!$A$53:$B$57,2,FALSE()),"Invalid ("&amp;Data!O497&amp;")"))</f>
        <v>No disease</v>
      </c>
      <c r="P497" s="22" t="str">
        <f aca="false">IF(Data!P497="","",IFERROR(VLOOKUP(Data!P497,Codes!$A$61:$B$64,2,FALSE()),"Invalid ("&amp;Data!P497&amp;")"))</f>
        <v>Hungarian Inst. of Cardiology, Budapest</v>
      </c>
    </row>
    <row r="498" customFormat="false" ht="15" hidden="false" customHeight="false" outlineLevel="0" collapsed="false">
      <c r="A498" s="19" t="n">
        <f aca="false">Data!A498</f>
        <v>497</v>
      </c>
      <c r="B498" s="20" t="n">
        <f aca="false">IF(Data!B498="","",Data!B498)</f>
        <v>48</v>
      </c>
      <c r="C498" s="28" t="str">
        <f aca="false">IF(Data!C498="","",IFERROR(VLOOKUP(Data!C498,Codes!$A$6:$B$7,2,FALSE()),"Invalid ("&amp;Data!C498&amp;")"))</f>
        <v>Male</v>
      </c>
      <c r="D498" s="28" t="str">
        <f aca="false">IF(Data!D498="","",IFERROR(VLOOKUP(Data!D498,Codes!$A$11:$B$14,2,FALSE()),"Invalid ("&amp;Data!D498&amp;")"))</f>
        <v>Atypical angina</v>
      </c>
      <c r="E498" s="20" t="n">
        <f aca="false">IF(Data!E498="","",Data!E498)</f>
        <v>130</v>
      </c>
      <c r="F498" s="20" t="n">
        <f aca="false">IF(Data!F498="","",Data!F498)</f>
        <v>245</v>
      </c>
      <c r="G498" s="28" t="str">
        <f aca="false">IF(Data!G498="","",IFERROR(VLOOKUP(Data!G498,Codes!$A$18:$B$19,2,FALSE()),"Invalid ("&amp;Data!G498&amp;")"))</f>
        <v>No</v>
      </c>
      <c r="H498" s="28" t="str">
        <f aca="false">IF(Data!H498="","",IFERROR(VLOOKUP(Data!H498,Codes!$A$23:$B$25,2,FALSE()),"Invalid ("&amp;Data!H498&amp;")"))</f>
        <v>Normal</v>
      </c>
      <c r="I498" s="20" t="n">
        <f aca="false">IF(Data!I498="","",Data!I498)</f>
        <v>160</v>
      </c>
      <c r="J498" s="28" t="str">
        <f aca="false">IF(Data!J498="","",IFERROR(VLOOKUP(Data!J498,Codes!$A$29:$B$30,2,FALSE()),"Invalid ("&amp;Data!J498&amp;")"))</f>
        <v>No</v>
      </c>
      <c r="K498" s="21" t="n">
        <f aca="false">IF(Data!K498="","",Data!K498)</f>
        <v>0</v>
      </c>
      <c r="L498" s="28" t="str">
        <f aca="false">IF(Data!L498="","",IFERROR(VLOOKUP(Data!L498,Codes!$A$34:$B$36,2,FALSE()),"Invalid ("&amp;Data!L498&amp;")"))</f>
        <v/>
      </c>
      <c r="M498" s="20" t="str">
        <f aca="false">IF(Data!M498="","",Data!M498)</f>
        <v/>
      </c>
      <c r="N498" s="28" t="str">
        <f aca="false">IF(Data!N498="","",IFERROR(VLOOKUP(Data!N498,Codes!$A$47:$B$49,2,FALSE()),"Invalid ("&amp;Data!N498&amp;")"))</f>
        <v/>
      </c>
      <c r="O498" s="28" t="str">
        <f aca="false">IF(Data!O498="","",IFERROR(VLOOKUP(Data!O498,Codes!$A$53:$B$57,2,FALSE()),"Invalid ("&amp;Data!O498&amp;")"))</f>
        <v>No disease</v>
      </c>
      <c r="P498" s="22" t="str">
        <f aca="false">IF(Data!P498="","",IFERROR(VLOOKUP(Data!P498,Codes!$A$61:$B$64,2,FALSE()),"Invalid ("&amp;Data!P498&amp;")"))</f>
        <v>Hungarian Inst. of Cardiology, Budapest</v>
      </c>
    </row>
    <row r="499" customFormat="false" ht="15" hidden="false" customHeight="false" outlineLevel="0" collapsed="false">
      <c r="A499" s="19" t="n">
        <f aca="false">Data!A499</f>
        <v>498</v>
      </c>
      <c r="B499" s="20" t="n">
        <f aca="false">IF(Data!B499="","",Data!B499)</f>
        <v>45</v>
      </c>
      <c r="C499" s="28" t="str">
        <f aca="false">IF(Data!C499="","",IFERROR(VLOOKUP(Data!C499,Codes!$A$6:$B$7,2,FALSE()),"Invalid ("&amp;Data!C499&amp;")"))</f>
        <v>Male</v>
      </c>
      <c r="D499" s="28" t="str">
        <f aca="false">IF(Data!D499="","",IFERROR(VLOOKUP(Data!D499,Codes!$A$11:$B$14,2,FALSE()),"Invalid ("&amp;Data!D499&amp;")"))</f>
        <v>Non-anginal pain</v>
      </c>
      <c r="E499" s="20" t="n">
        <f aca="false">IF(Data!E499="","",Data!E499)</f>
        <v>135</v>
      </c>
      <c r="F499" s="20" t="str">
        <f aca="false">IF(Data!F499="","",Data!F499)</f>
        <v/>
      </c>
      <c r="G499" s="28" t="str">
        <f aca="false">IF(Data!G499="","",IFERROR(VLOOKUP(Data!G499,Codes!$A$18:$B$19,2,FALSE()),"Invalid ("&amp;Data!G499&amp;")"))</f>
        <v>No</v>
      </c>
      <c r="H499" s="28" t="str">
        <f aca="false">IF(Data!H499="","",IFERROR(VLOOKUP(Data!H499,Codes!$A$23:$B$25,2,FALSE()),"Invalid ("&amp;Data!H499&amp;")"))</f>
        <v>Normal</v>
      </c>
      <c r="I499" s="20" t="n">
        <f aca="false">IF(Data!I499="","",Data!I499)</f>
        <v>110</v>
      </c>
      <c r="J499" s="28" t="str">
        <f aca="false">IF(Data!J499="","",IFERROR(VLOOKUP(Data!J499,Codes!$A$29:$B$30,2,FALSE()),"Invalid ("&amp;Data!J499&amp;")"))</f>
        <v>No</v>
      </c>
      <c r="K499" s="21" t="n">
        <f aca="false">IF(Data!K499="","",Data!K499)</f>
        <v>0</v>
      </c>
      <c r="L499" s="28" t="str">
        <f aca="false">IF(Data!L499="","",IFERROR(VLOOKUP(Data!L499,Codes!$A$34:$B$36,2,FALSE()),"Invalid ("&amp;Data!L499&amp;")"))</f>
        <v/>
      </c>
      <c r="M499" s="20" t="str">
        <f aca="false">IF(Data!M499="","",Data!M499)</f>
        <v/>
      </c>
      <c r="N499" s="28" t="str">
        <f aca="false">IF(Data!N499="","",IFERROR(VLOOKUP(Data!N499,Codes!$A$47:$B$49,2,FALSE()),"Invalid ("&amp;Data!N499&amp;")"))</f>
        <v/>
      </c>
      <c r="O499" s="28" t="str">
        <f aca="false">IF(Data!O499="","",IFERROR(VLOOKUP(Data!O499,Codes!$A$53:$B$57,2,FALSE()),"Invalid ("&amp;Data!O499&amp;")"))</f>
        <v>No disease</v>
      </c>
      <c r="P499" s="22" t="str">
        <f aca="false">IF(Data!P499="","",IFERROR(VLOOKUP(Data!P499,Codes!$A$61:$B$64,2,FALSE()),"Invalid ("&amp;Data!P499&amp;")"))</f>
        <v>Hungarian Inst. of Cardiology, Budapest</v>
      </c>
    </row>
    <row r="500" customFormat="false" ht="15" hidden="false" customHeight="false" outlineLevel="0" collapsed="false">
      <c r="A500" s="19" t="n">
        <f aca="false">Data!A500</f>
        <v>499</v>
      </c>
      <c r="B500" s="20" t="n">
        <f aca="false">IF(Data!B500="","",Data!B500)</f>
        <v>41</v>
      </c>
      <c r="C500" s="28" t="str">
        <f aca="false">IF(Data!C500="","",IFERROR(VLOOKUP(Data!C500,Codes!$A$6:$B$7,2,FALSE()),"Invalid ("&amp;Data!C500&amp;")"))</f>
        <v>Female</v>
      </c>
      <c r="D500" s="28" t="str">
        <f aca="false">IF(Data!D500="","",IFERROR(VLOOKUP(Data!D500,Codes!$A$11:$B$14,2,FALSE()),"Invalid ("&amp;Data!D500&amp;")"))</f>
        <v>Atypical angina</v>
      </c>
      <c r="E500" s="20" t="n">
        <f aca="false">IF(Data!E500="","",Data!E500)</f>
        <v>125</v>
      </c>
      <c r="F500" s="20" t="n">
        <f aca="false">IF(Data!F500="","",Data!F500)</f>
        <v>184</v>
      </c>
      <c r="G500" s="28" t="str">
        <f aca="false">IF(Data!G500="","",IFERROR(VLOOKUP(Data!G500,Codes!$A$18:$B$19,2,FALSE()),"Invalid ("&amp;Data!G500&amp;")"))</f>
        <v>No</v>
      </c>
      <c r="H500" s="28" t="str">
        <f aca="false">IF(Data!H500="","",IFERROR(VLOOKUP(Data!H500,Codes!$A$23:$B$25,2,FALSE()),"Invalid ("&amp;Data!H500&amp;")"))</f>
        <v>Normal</v>
      </c>
      <c r="I500" s="20" t="n">
        <f aca="false">IF(Data!I500="","",Data!I500)</f>
        <v>180</v>
      </c>
      <c r="J500" s="28" t="str">
        <f aca="false">IF(Data!J500="","",IFERROR(VLOOKUP(Data!J500,Codes!$A$29:$B$30,2,FALSE()),"Invalid ("&amp;Data!J500&amp;")"))</f>
        <v>No</v>
      </c>
      <c r="K500" s="21" t="n">
        <f aca="false">IF(Data!K500="","",Data!K500)</f>
        <v>0</v>
      </c>
      <c r="L500" s="28" t="str">
        <f aca="false">IF(Data!L500="","",IFERROR(VLOOKUP(Data!L500,Codes!$A$34:$B$36,2,FALSE()),"Invalid ("&amp;Data!L500&amp;")"))</f>
        <v/>
      </c>
      <c r="M500" s="20" t="str">
        <f aca="false">IF(Data!M500="","",Data!M500)</f>
        <v/>
      </c>
      <c r="N500" s="28" t="str">
        <f aca="false">IF(Data!N500="","",IFERROR(VLOOKUP(Data!N500,Codes!$A$47:$B$49,2,FALSE()),"Invalid ("&amp;Data!N500&amp;")"))</f>
        <v/>
      </c>
      <c r="O500" s="28" t="str">
        <f aca="false">IF(Data!O500="","",IFERROR(VLOOKUP(Data!O500,Codes!$A$53:$B$57,2,FALSE()),"Invalid ("&amp;Data!O500&amp;")"))</f>
        <v>No disease</v>
      </c>
      <c r="P500" s="22" t="str">
        <f aca="false">IF(Data!P500="","",IFERROR(VLOOKUP(Data!P500,Codes!$A$61:$B$64,2,FALSE()),"Invalid ("&amp;Data!P500&amp;")"))</f>
        <v>Hungarian Inst. of Cardiology, Budapest</v>
      </c>
    </row>
    <row r="501" customFormat="false" ht="15" hidden="false" customHeight="false" outlineLevel="0" collapsed="false">
      <c r="A501" s="19" t="n">
        <f aca="false">Data!A501</f>
        <v>500</v>
      </c>
      <c r="B501" s="20" t="n">
        <f aca="false">IF(Data!B501="","",Data!B501)</f>
        <v>62</v>
      </c>
      <c r="C501" s="28" t="str">
        <f aca="false">IF(Data!C501="","",IFERROR(VLOOKUP(Data!C501,Codes!$A$6:$B$7,2,FALSE()),"Invalid ("&amp;Data!C501&amp;")"))</f>
        <v>Female</v>
      </c>
      <c r="D501" s="28" t="str">
        <f aca="false">IF(Data!D501="","",IFERROR(VLOOKUP(Data!D501,Codes!$A$11:$B$14,2,FALSE()),"Invalid ("&amp;Data!D501&amp;")"))</f>
        <v>Typical angina</v>
      </c>
      <c r="E501" s="20" t="n">
        <f aca="false">IF(Data!E501="","",Data!E501)</f>
        <v>160</v>
      </c>
      <c r="F501" s="20" t="n">
        <f aca="false">IF(Data!F501="","",Data!F501)</f>
        <v>193</v>
      </c>
      <c r="G501" s="28" t="str">
        <f aca="false">IF(Data!G501="","",IFERROR(VLOOKUP(Data!G501,Codes!$A$18:$B$19,2,FALSE()),"Invalid ("&amp;Data!G501&amp;")"))</f>
        <v>No</v>
      </c>
      <c r="H501" s="28" t="str">
        <f aca="false">IF(Data!H501="","",IFERROR(VLOOKUP(Data!H501,Codes!$A$23:$B$25,2,FALSE()),"Invalid ("&amp;Data!H501&amp;")"))</f>
        <v>Normal</v>
      </c>
      <c r="I501" s="20" t="n">
        <f aca="false">IF(Data!I501="","",Data!I501)</f>
        <v>116</v>
      </c>
      <c r="J501" s="28" t="str">
        <f aca="false">IF(Data!J501="","",IFERROR(VLOOKUP(Data!J501,Codes!$A$29:$B$30,2,FALSE()),"Invalid ("&amp;Data!J501&amp;")"))</f>
        <v>No</v>
      </c>
      <c r="K501" s="21" t="n">
        <f aca="false">IF(Data!K501="","",Data!K501)</f>
        <v>0</v>
      </c>
      <c r="L501" s="28" t="str">
        <f aca="false">IF(Data!L501="","",IFERROR(VLOOKUP(Data!L501,Codes!$A$34:$B$36,2,FALSE()),"Invalid ("&amp;Data!L501&amp;")"))</f>
        <v/>
      </c>
      <c r="M501" s="20" t="str">
        <f aca="false">IF(Data!M501="","",Data!M501)</f>
        <v/>
      </c>
      <c r="N501" s="28" t="str">
        <f aca="false">IF(Data!N501="","",IFERROR(VLOOKUP(Data!N501,Codes!$A$47:$B$49,2,FALSE()),"Invalid ("&amp;Data!N501&amp;")"))</f>
        <v/>
      </c>
      <c r="O501" s="28" t="str">
        <f aca="false">IF(Data!O501="","",IFERROR(VLOOKUP(Data!O501,Codes!$A$53:$B$57,2,FALSE()),"Invalid ("&amp;Data!O501&amp;")"))</f>
        <v>No disease</v>
      </c>
      <c r="P501" s="22" t="str">
        <f aca="false">IF(Data!P501="","",IFERROR(VLOOKUP(Data!P501,Codes!$A$61:$B$64,2,FALSE()),"Invalid ("&amp;Data!P501&amp;")"))</f>
        <v>Hungarian Inst. of Cardiology, Budapest</v>
      </c>
    </row>
    <row r="502" customFormat="false" ht="15" hidden="false" customHeight="false" outlineLevel="0" collapsed="false">
      <c r="A502" s="19" t="n">
        <f aca="false">Data!A502</f>
        <v>501</v>
      </c>
      <c r="B502" s="20" t="n">
        <f aca="false">IF(Data!B502="","",Data!B502)</f>
        <v>49</v>
      </c>
      <c r="C502" s="28" t="str">
        <f aca="false">IF(Data!C502="","",IFERROR(VLOOKUP(Data!C502,Codes!$A$6:$B$7,2,FALSE()),"Invalid ("&amp;Data!C502&amp;")"))</f>
        <v>Male</v>
      </c>
      <c r="D502" s="28" t="str">
        <f aca="false">IF(Data!D502="","",IFERROR(VLOOKUP(Data!D502,Codes!$A$11:$B$14,2,FALSE()),"Invalid ("&amp;Data!D502&amp;")"))</f>
        <v>Asymptomatic</v>
      </c>
      <c r="E502" s="20" t="n">
        <f aca="false">IF(Data!E502="","",Data!E502)</f>
        <v>120</v>
      </c>
      <c r="F502" s="20" t="n">
        <f aca="false">IF(Data!F502="","",Data!F502)</f>
        <v>297</v>
      </c>
      <c r="G502" s="28" t="str">
        <f aca="false">IF(Data!G502="","",IFERROR(VLOOKUP(Data!G502,Codes!$A$18:$B$19,2,FALSE()),"Invalid ("&amp;Data!G502&amp;")"))</f>
        <v/>
      </c>
      <c r="H502" s="28" t="str">
        <f aca="false">IF(Data!H502="","",IFERROR(VLOOKUP(Data!H502,Codes!$A$23:$B$25,2,FALSE()),"Invalid ("&amp;Data!H502&amp;")"))</f>
        <v>Normal</v>
      </c>
      <c r="I502" s="20" t="n">
        <f aca="false">IF(Data!I502="","",Data!I502)</f>
        <v>132</v>
      </c>
      <c r="J502" s="28" t="str">
        <f aca="false">IF(Data!J502="","",IFERROR(VLOOKUP(Data!J502,Codes!$A$29:$B$30,2,FALSE()),"Invalid ("&amp;Data!J502&amp;")"))</f>
        <v>No</v>
      </c>
      <c r="K502" s="21" t="n">
        <f aca="false">IF(Data!K502="","",Data!K502)</f>
        <v>1</v>
      </c>
      <c r="L502" s="28" t="str">
        <f aca="false">IF(Data!L502="","",IFERROR(VLOOKUP(Data!L502,Codes!$A$34:$B$36,2,FALSE()),"Invalid ("&amp;Data!L502&amp;")"))</f>
        <v>Flat</v>
      </c>
      <c r="M502" s="20" t="str">
        <f aca="false">IF(Data!M502="","",Data!M502)</f>
        <v/>
      </c>
      <c r="N502" s="28" t="str">
        <f aca="false">IF(Data!N502="","",IFERROR(VLOOKUP(Data!N502,Codes!$A$47:$B$49,2,FALSE()),"Invalid ("&amp;Data!N502&amp;")"))</f>
        <v/>
      </c>
      <c r="O502" s="28" t="str">
        <f aca="false">IF(Data!O502="","",IFERROR(VLOOKUP(Data!O502,Codes!$A$53:$B$57,2,FALSE()),"Invalid ("&amp;Data!O502&amp;")"))</f>
        <v>No disease</v>
      </c>
      <c r="P502" s="22" t="str">
        <f aca="false">IF(Data!P502="","",IFERROR(VLOOKUP(Data!P502,Codes!$A$61:$B$64,2,FALSE()),"Invalid ("&amp;Data!P502&amp;")"))</f>
        <v>Hungarian Inst. of Cardiology, Budapest</v>
      </c>
    </row>
    <row r="503" customFormat="false" ht="15" hidden="false" customHeight="false" outlineLevel="0" collapsed="false">
      <c r="A503" s="19" t="n">
        <f aca="false">Data!A503</f>
        <v>502</v>
      </c>
      <c r="B503" s="20" t="n">
        <f aca="false">IF(Data!B503="","",Data!B503)</f>
        <v>42</v>
      </c>
      <c r="C503" s="28" t="str">
        <f aca="false">IF(Data!C503="","",IFERROR(VLOOKUP(Data!C503,Codes!$A$6:$B$7,2,FALSE()),"Invalid ("&amp;Data!C503&amp;")"))</f>
        <v>Male</v>
      </c>
      <c r="D503" s="28" t="str">
        <f aca="false">IF(Data!D503="","",IFERROR(VLOOKUP(Data!D503,Codes!$A$11:$B$14,2,FALSE()),"Invalid ("&amp;Data!D503&amp;")"))</f>
        <v>Atypical angina</v>
      </c>
      <c r="E503" s="20" t="n">
        <f aca="false">IF(Data!E503="","",Data!E503)</f>
        <v>150</v>
      </c>
      <c r="F503" s="20" t="n">
        <f aca="false">IF(Data!F503="","",Data!F503)</f>
        <v>268</v>
      </c>
      <c r="G503" s="28" t="str">
        <f aca="false">IF(Data!G503="","",IFERROR(VLOOKUP(Data!G503,Codes!$A$18:$B$19,2,FALSE()),"Invalid ("&amp;Data!G503&amp;")"))</f>
        <v>No</v>
      </c>
      <c r="H503" s="28" t="str">
        <f aca="false">IF(Data!H503="","",IFERROR(VLOOKUP(Data!H503,Codes!$A$23:$B$25,2,FALSE()),"Invalid ("&amp;Data!H503&amp;")"))</f>
        <v>Normal</v>
      </c>
      <c r="I503" s="20" t="n">
        <f aca="false">IF(Data!I503="","",Data!I503)</f>
        <v>136</v>
      </c>
      <c r="J503" s="28" t="str">
        <f aca="false">IF(Data!J503="","",IFERROR(VLOOKUP(Data!J503,Codes!$A$29:$B$30,2,FALSE()),"Invalid ("&amp;Data!J503&amp;")"))</f>
        <v>No</v>
      </c>
      <c r="K503" s="21" t="n">
        <f aca="false">IF(Data!K503="","",Data!K503)</f>
        <v>0</v>
      </c>
      <c r="L503" s="28" t="str">
        <f aca="false">IF(Data!L503="","",IFERROR(VLOOKUP(Data!L503,Codes!$A$34:$B$36,2,FALSE()),"Invalid ("&amp;Data!L503&amp;")"))</f>
        <v/>
      </c>
      <c r="M503" s="20" t="str">
        <f aca="false">IF(Data!M503="","",Data!M503)</f>
        <v/>
      </c>
      <c r="N503" s="28" t="str">
        <f aca="false">IF(Data!N503="","",IFERROR(VLOOKUP(Data!N503,Codes!$A$47:$B$49,2,FALSE()),"Invalid ("&amp;Data!N503&amp;")"))</f>
        <v/>
      </c>
      <c r="O503" s="28" t="str">
        <f aca="false">IF(Data!O503="","",IFERROR(VLOOKUP(Data!O503,Codes!$A$53:$B$57,2,FALSE()),"Invalid ("&amp;Data!O503&amp;")"))</f>
        <v>No disease</v>
      </c>
      <c r="P503" s="22" t="str">
        <f aca="false">IF(Data!P503="","",IFERROR(VLOOKUP(Data!P503,Codes!$A$61:$B$64,2,FALSE()),"Invalid ("&amp;Data!P503&amp;")"))</f>
        <v>Hungarian Inst. of Cardiology, Budapest</v>
      </c>
    </row>
    <row r="504" customFormat="false" ht="15" hidden="false" customHeight="false" outlineLevel="0" collapsed="false">
      <c r="A504" s="19" t="n">
        <f aca="false">Data!A504</f>
        <v>503</v>
      </c>
      <c r="B504" s="20" t="n">
        <f aca="false">IF(Data!B504="","",Data!B504)</f>
        <v>53</v>
      </c>
      <c r="C504" s="28" t="str">
        <f aca="false">IF(Data!C504="","",IFERROR(VLOOKUP(Data!C504,Codes!$A$6:$B$7,2,FALSE()),"Invalid ("&amp;Data!C504&amp;")"))</f>
        <v>Male</v>
      </c>
      <c r="D504" s="28" t="str">
        <f aca="false">IF(Data!D504="","",IFERROR(VLOOKUP(Data!D504,Codes!$A$11:$B$14,2,FALSE()),"Invalid ("&amp;Data!D504&amp;")"))</f>
        <v>Asymptomatic</v>
      </c>
      <c r="E504" s="20" t="n">
        <f aca="false">IF(Data!E504="","",Data!E504)</f>
        <v>120</v>
      </c>
      <c r="F504" s="20" t="n">
        <f aca="false">IF(Data!F504="","",Data!F504)</f>
        <v>246</v>
      </c>
      <c r="G504" s="28" t="str">
        <f aca="false">IF(Data!G504="","",IFERROR(VLOOKUP(Data!G504,Codes!$A$18:$B$19,2,FALSE()),"Invalid ("&amp;Data!G504&amp;")"))</f>
        <v>No</v>
      </c>
      <c r="H504" s="28" t="str">
        <f aca="false">IF(Data!H504="","",IFERROR(VLOOKUP(Data!H504,Codes!$A$23:$B$25,2,FALSE()),"Invalid ("&amp;Data!H504&amp;")"))</f>
        <v>Normal</v>
      </c>
      <c r="I504" s="20" t="n">
        <f aca="false">IF(Data!I504="","",Data!I504)</f>
        <v>116</v>
      </c>
      <c r="J504" s="28" t="str">
        <f aca="false">IF(Data!J504="","",IFERROR(VLOOKUP(Data!J504,Codes!$A$29:$B$30,2,FALSE()),"Invalid ("&amp;Data!J504&amp;")"))</f>
        <v>Yes</v>
      </c>
      <c r="K504" s="21" t="n">
        <f aca="false">IF(Data!K504="","",Data!K504)</f>
        <v>0</v>
      </c>
      <c r="L504" s="28" t="str">
        <f aca="false">IF(Data!L504="","",IFERROR(VLOOKUP(Data!L504,Codes!$A$34:$B$36,2,FALSE()),"Invalid ("&amp;Data!L504&amp;")"))</f>
        <v/>
      </c>
      <c r="M504" s="20" t="str">
        <f aca="false">IF(Data!M504="","",Data!M504)</f>
        <v/>
      </c>
      <c r="N504" s="28" t="str">
        <f aca="false">IF(Data!N504="","",IFERROR(VLOOKUP(Data!N504,Codes!$A$47:$B$49,2,FALSE()),"Invalid ("&amp;Data!N504&amp;")"))</f>
        <v/>
      </c>
      <c r="O504" s="28" t="str">
        <f aca="false">IF(Data!O504="","",IFERROR(VLOOKUP(Data!O504,Codes!$A$53:$B$57,2,FALSE()),"Invalid ("&amp;Data!O504&amp;")"))</f>
        <v>Disease (2)</v>
      </c>
      <c r="P504" s="22" t="str">
        <f aca="false">IF(Data!P504="","",IFERROR(VLOOKUP(Data!P504,Codes!$A$61:$B$64,2,FALSE()),"Invalid ("&amp;Data!P504&amp;")"))</f>
        <v>Hungarian Inst. of Cardiology, Budapest</v>
      </c>
    </row>
    <row r="505" customFormat="false" ht="15" hidden="false" customHeight="false" outlineLevel="0" collapsed="false">
      <c r="A505" s="19" t="n">
        <f aca="false">Data!A505</f>
        <v>504</v>
      </c>
      <c r="B505" s="20" t="n">
        <f aca="false">IF(Data!B505="","",Data!B505)</f>
        <v>57</v>
      </c>
      <c r="C505" s="28" t="str">
        <f aca="false">IF(Data!C505="","",IFERROR(VLOOKUP(Data!C505,Codes!$A$6:$B$7,2,FALSE()),"Invalid ("&amp;Data!C505&amp;")"))</f>
        <v>Female</v>
      </c>
      <c r="D505" s="28" t="str">
        <f aca="false">IF(Data!D505="","",IFERROR(VLOOKUP(Data!D505,Codes!$A$11:$B$14,2,FALSE()),"Invalid ("&amp;Data!D505&amp;")"))</f>
        <v>Typical angina</v>
      </c>
      <c r="E505" s="20" t="n">
        <f aca="false">IF(Data!E505="","",Data!E505)</f>
        <v>130</v>
      </c>
      <c r="F505" s="20" t="n">
        <f aca="false">IF(Data!F505="","",Data!F505)</f>
        <v>308</v>
      </c>
      <c r="G505" s="28" t="str">
        <f aca="false">IF(Data!G505="","",IFERROR(VLOOKUP(Data!G505,Codes!$A$18:$B$19,2,FALSE()),"Invalid ("&amp;Data!G505&amp;")"))</f>
        <v>No</v>
      </c>
      <c r="H505" s="28" t="str">
        <f aca="false">IF(Data!H505="","",IFERROR(VLOOKUP(Data!H505,Codes!$A$23:$B$25,2,FALSE()),"Invalid ("&amp;Data!H505&amp;")"))</f>
        <v>Normal</v>
      </c>
      <c r="I505" s="20" t="n">
        <f aca="false">IF(Data!I505="","",Data!I505)</f>
        <v>98</v>
      </c>
      <c r="J505" s="28" t="str">
        <f aca="false">IF(Data!J505="","",IFERROR(VLOOKUP(Data!J505,Codes!$A$29:$B$30,2,FALSE()),"Invalid ("&amp;Data!J505&amp;")"))</f>
        <v>No</v>
      </c>
      <c r="K505" s="21" t="n">
        <f aca="false">IF(Data!K505="","",Data!K505)</f>
        <v>1</v>
      </c>
      <c r="L505" s="28" t="str">
        <f aca="false">IF(Data!L505="","",IFERROR(VLOOKUP(Data!L505,Codes!$A$34:$B$36,2,FALSE()),"Invalid ("&amp;Data!L505&amp;")"))</f>
        <v>Flat</v>
      </c>
      <c r="M505" s="20" t="str">
        <f aca="false">IF(Data!M505="","",Data!M505)</f>
        <v/>
      </c>
      <c r="N505" s="28" t="str">
        <f aca="false">IF(Data!N505="","",IFERROR(VLOOKUP(Data!N505,Codes!$A$47:$B$49,2,FALSE()),"Invalid ("&amp;Data!N505&amp;")"))</f>
        <v/>
      </c>
      <c r="O505" s="28" t="str">
        <f aca="false">IF(Data!O505="","",IFERROR(VLOOKUP(Data!O505,Codes!$A$53:$B$57,2,FALSE()),"Invalid ("&amp;Data!O505&amp;")"))</f>
        <v>No disease</v>
      </c>
      <c r="P505" s="22" t="str">
        <f aca="false">IF(Data!P505="","",IFERROR(VLOOKUP(Data!P505,Codes!$A$61:$B$64,2,FALSE()),"Invalid ("&amp;Data!P505&amp;")"))</f>
        <v>Hungarian Inst. of Cardiology, Budapest</v>
      </c>
    </row>
    <row r="506" customFormat="false" ht="15" hidden="false" customHeight="false" outlineLevel="0" collapsed="false">
      <c r="A506" s="19" t="n">
        <f aca="false">Data!A506</f>
        <v>505</v>
      </c>
      <c r="B506" s="20" t="n">
        <f aca="false">IF(Data!B506="","",Data!B506)</f>
        <v>47</v>
      </c>
      <c r="C506" s="28" t="str">
        <f aca="false">IF(Data!C506="","",IFERROR(VLOOKUP(Data!C506,Codes!$A$6:$B$7,2,FALSE()),"Invalid ("&amp;Data!C506&amp;")"))</f>
        <v>Male</v>
      </c>
      <c r="D506" s="28" t="str">
        <f aca="false">IF(Data!D506="","",IFERROR(VLOOKUP(Data!D506,Codes!$A$11:$B$14,2,FALSE()),"Invalid ("&amp;Data!D506&amp;")"))</f>
        <v>Typical angina</v>
      </c>
      <c r="E506" s="20" t="n">
        <f aca="false">IF(Data!E506="","",Data!E506)</f>
        <v>110</v>
      </c>
      <c r="F506" s="20" t="n">
        <f aca="false">IF(Data!F506="","",Data!F506)</f>
        <v>249</v>
      </c>
      <c r="G506" s="28" t="str">
        <f aca="false">IF(Data!G506="","",IFERROR(VLOOKUP(Data!G506,Codes!$A$18:$B$19,2,FALSE()),"Invalid ("&amp;Data!G506&amp;")"))</f>
        <v>No</v>
      </c>
      <c r="H506" s="28" t="str">
        <f aca="false">IF(Data!H506="","",IFERROR(VLOOKUP(Data!H506,Codes!$A$23:$B$25,2,FALSE()),"Invalid ("&amp;Data!H506&amp;")"))</f>
        <v>Normal</v>
      </c>
      <c r="I506" s="20" t="n">
        <f aca="false">IF(Data!I506="","",Data!I506)</f>
        <v>150</v>
      </c>
      <c r="J506" s="28" t="str">
        <f aca="false">IF(Data!J506="","",IFERROR(VLOOKUP(Data!J506,Codes!$A$29:$B$30,2,FALSE()),"Invalid ("&amp;Data!J506&amp;")"))</f>
        <v>No</v>
      </c>
      <c r="K506" s="21" t="n">
        <f aca="false">IF(Data!K506="","",Data!K506)</f>
        <v>0</v>
      </c>
      <c r="L506" s="28" t="str">
        <f aca="false">IF(Data!L506="","",IFERROR(VLOOKUP(Data!L506,Codes!$A$34:$B$36,2,FALSE()),"Invalid ("&amp;Data!L506&amp;")"))</f>
        <v/>
      </c>
      <c r="M506" s="20" t="str">
        <f aca="false">IF(Data!M506="","",Data!M506)</f>
        <v/>
      </c>
      <c r="N506" s="28" t="str">
        <f aca="false">IF(Data!N506="","",IFERROR(VLOOKUP(Data!N506,Codes!$A$47:$B$49,2,FALSE()),"Invalid ("&amp;Data!N506&amp;")"))</f>
        <v/>
      </c>
      <c r="O506" s="28" t="str">
        <f aca="false">IF(Data!O506="","",IFERROR(VLOOKUP(Data!O506,Codes!$A$53:$B$57,2,FALSE()),"Invalid ("&amp;Data!O506&amp;")"))</f>
        <v>No disease</v>
      </c>
      <c r="P506" s="22" t="str">
        <f aca="false">IF(Data!P506="","",IFERROR(VLOOKUP(Data!P506,Codes!$A$61:$B$64,2,FALSE()),"Invalid ("&amp;Data!P506&amp;")"))</f>
        <v>Hungarian Inst. of Cardiology, Budapest</v>
      </c>
    </row>
    <row r="507" customFormat="false" ht="15" hidden="false" customHeight="false" outlineLevel="0" collapsed="false">
      <c r="A507" s="19" t="n">
        <f aca="false">Data!A507</f>
        <v>506</v>
      </c>
      <c r="B507" s="20" t="n">
        <f aca="false">IF(Data!B507="","",Data!B507)</f>
        <v>46</v>
      </c>
      <c r="C507" s="28" t="str">
        <f aca="false">IF(Data!C507="","",IFERROR(VLOOKUP(Data!C507,Codes!$A$6:$B$7,2,FALSE()),"Invalid ("&amp;Data!C507&amp;")"))</f>
        <v>Male</v>
      </c>
      <c r="D507" s="28" t="str">
        <f aca="false">IF(Data!D507="","",IFERROR(VLOOKUP(Data!D507,Codes!$A$11:$B$14,2,FALSE()),"Invalid ("&amp;Data!D507&amp;")"))</f>
        <v>Non-anginal pain</v>
      </c>
      <c r="E507" s="20" t="n">
        <f aca="false">IF(Data!E507="","",Data!E507)</f>
        <v>120</v>
      </c>
      <c r="F507" s="20" t="n">
        <f aca="false">IF(Data!F507="","",Data!F507)</f>
        <v>230</v>
      </c>
      <c r="G507" s="28" t="str">
        <f aca="false">IF(Data!G507="","",IFERROR(VLOOKUP(Data!G507,Codes!$A$18:$B$19,2,FALSE()),"Invalid ("&amp;Data!G507&amp;")"))</f>
        <v>No</v>
      </c>
      <c r="H507" s="28" t="str">
        <f aca="false">IF(Data!H507="","",IFERROR(VLOOKUP(Data!H507,Codes!$A$23:$B$25,2,FALSE()),"Invalid ("&amp;Data!H507&amp;")"))</f>
        <v>Normal</v>
      </c>
      <c r="I507" s="20" t="n">
        <f aca="false">IF(Data!I507="","",Data!I507)</f>
        <v>150</v>
      </c>
      <c r="J507" s="28" t="str">
        <f aca="false">IF(Data!J507="","",IFERROR(VLOOKUP(Data!J507,Codes!$A$29:$B$30,2,FALSE()),"Invalid ("&amp;Data!J507&amp;")"))</f>
        <v>No</v>
      </c>
      <c r="K507" s="21" t="n">
        <f aca="false">IF(Data!K507="","",Data!K507)</f>
        <v>0</v>
      </c>
      <c r="L507" s="28" t="str">
        <f aca="false">IF(Data!L507="","",IFERROR(VLOOKUP(Data!L507,Codes!$A$34:$B$36,2,FALSE()),"Invalid ("&amp;Data!L507&amp;")"))</f>
        <v/>
      </c>
      <c r="M507" s="20" t="str">
        <f aca="false">IF(Data!M507="","",Data!M507)</f>
        <v/>
      </c>
      <c r="N507" s="28" t="str">
        <f aca="false">IF(Data!N507="","",IFERROR(VLOOKUP(Data!N507,Codes!$A$47:$B$49,2,FALSE()),"Invalid ("&amp;Data!N507&amp;")"))</f>
        <v/>
      </c>
      <c r="O507" s="28" t="str">
        <f aca="false">IF(Data!O507="","",IFERROR(VLOOKUP(Data!O507,Codes!$A$53:$B$57,2,FALSE()),"Invalid ("&amp;Data!O507&amp;")"))</f>
        <v>No disease</v>
      </c>
      <c r="P507" s="22" t="str">
        <f aca="false">IF(Data!P507="","",IFERROR(VLOOKUP(Data!P507,Codes!$A$61:$B$64,2,FALSE()),"Invalid ("&amp;Data!P507&amp;")"))</f>
        <v>Hungarian Inst. of Cardiology, Budapest</v>
      </c>
    </row>
    <row r="508" customFormat="false" ht="15" hidden="false" customHeight="false" outlineLevel="0" collapsed="false">
      <c r="A508" s="19" t="n">
        <f aca="false">Data!A508</f>
        <v>507</v>
      </c>
      <c r="B508" s="20" t="n">
        <f aca="false">IF(Data!B508="","",Data!B508)</f>
        <v>42</v>
      </c>
      <c r="C508" s="28" t="str">
        <f aca="false">IF(Data!C508="","",IFERROR(VLOOKUP(Data!C508,Codes!$A$6:$B$7,2,FALSE()),"Invalid ("&amp;Data!C508&amp;")"))</f>
        <v>Male</v>
      </c>
      <c r="D508" s="28" t="str">
        <f aca="false">IF(Data!D508="","",IFERROR(VLOOKUP(Data!D508,Codes!$A$11:$B$14,2,FALSE()),"Invalid ("&amp;Data!D508&amp;")"))</f>
        <v>Non-anginal pain</v>
      </c>
      <c r="E508" s="20" t="n">
        <f aca="false">IF(Data!E508="","",Data!E508)</f>
        <v>160</v>
      </c>
      <c r="F508" s="20" t="n">
        <f aca="false">IF(Data!F508="","",Data!F508)</f>
        <v>147</v>
      </c>
      <c r="G508" s="28" t="str">
        <f aca="false">IF(Data!G508="","",IFERROR(VLOOKUP(Data!G508,Codes!$A$18:$B$19,2,FALSE()),"Invalid ("&amp;Data!G508&amp;")"))</f>
        <v>No</v>
      </c>
      <c r="H508" s="28" t="str">
        <f aca="false">IF(Data!H508="","",IFERROR(VLOOKUP(Data!H508,Codes!$A$23:$B$25,2,FALSE()),"Invalid ("&amp;Data!H508&amp;")"))</f>
        <v>Normal</v>
      </c>
      <c r="I508" s="20" t="n">
        <f aca="false">IF(Data!I508="","",Data!I508)</f>
        <v>146</v>
      </c>
      <c r="J508" s="28" t="str">
        <f aca="false">IF(Data!J508="","",IFERROR(VLOOKUP(Data!J508,Codes!$A$29:$B$30,2,FALSE()),"Invalid ("&amp;Data!J508&amp;")"))</f>
        <v>No</v>
      </c>
      <c r="K508" s="21" t="n">
        <f aca="false">IF(Data!K508="","",Data!K508)</f>
        <v>0</v>
      </c>
      <c r="L508" s="28" t="str">
        <f aca="false">IF(Data!L508="","",IFERROR(VLOOKUP(Data!L508,Codes!$A$34:$B$36,2,FALSE()),"Invalid ("&amp;Data!L508&amp;")"))</f>
        <v/>
      </c>
      <c r="M508" s="20" t="str">
        <f aca="false">IF(Data!M508="","",Data!M508)</f>
        <v/>
      </c>
      <c r="N508" s="28" t="str">
        <f aca="false">IF(Data!N508="","",IFERROR(VLOOKUP(Data!N508,Codes!$A$47:$B$49,2,FALSE()),"Invalid ("&amp;Data!N508&amp;")"))</f>
        <v/>
      </c>
      <c r="O508" s="28" t="str">
        <f aca="false">IF(Data!O508="","",IFERROR(VLOOKUP(Data!O508,Codes!$A$53:$B$57,2,FALSE()),"Invalid ("&amp;Data!O508&amp;")"))</f>
        <v>No disease</v>
      </c>
      <c r="P508" s="22" t="str">
        <f aca="false">IF(Data!P508="","",IFERROR(VLOOKUP(Data!P508,Codes!$A$61:$B$64,2,FALSE()),"Invalid ("&amp;Data!P508&amp;")"))</f>
        <v>Hungarian Inst. of Cardiology, Budapest</v>
      </c>
    </row>
    <row r="509" customFormat="false" ht="15" hidden="false" customHeight="false" outlineLevel="0" collapsed="false">
      <c r="A509" s="19" t="n">
        <f aca="false">Data!A509</f>
        <v>508</v>
      </c>
      <c r="B509" s="20" t="n">
        <f aca="false">IF(Data!B509="","",Data!B509)</f>
        <v>31</v>
      </c>
      <c r="C509" s="28" t="str">
        <f aca="false">IF(Data!C509="","",IFERROR(VLOOKUP(Data!C509,Codes!$A$6:$B$7,2,FALSE()),"Invalid ("&amp;Data!C509&amp;")"))</f>
        <v>Female</v>
      </c>
      <c r="D509" s="28" t="str">
        <f aca="false">IF(Data!D509="","",IFERROR(VLOOKUP(Data!D509,Codes!$A$11:$B$14,2,FALSE()),"Invalid ("&amp;Data!D509&amp;")"))</f>
        <v>Atypical angina</v>
      </c>
      <c r="E509" s="20" t="n">
        <f aca="false">IF(Data!E509="","",Data!E509)</f>
        <v>100</v>
      </c>
      <c r="F509" s="20" t="n">
        <f aca="false">IF(Data!F509="","",Data!F509)</f>
        <v>219</v>
      </c>
      <c r="G509" s="28" t="str">
        <f aca="false">IF(Data!G509="","",IFERROR(VLOOKUP(Data!G509,Codes!$A$18:$B$19,2,FALSE()),"Invalid ("&amp;Data!G509&amp;")"))</f>
        <v>No</v>
      </c>
      <c r="H509" s="28" t="str">
        <f aca="false">IF(Data!H509="","",IFERROR(VLOOKUP(Data!H509,Codes!$A$23:$B$25,2,FALSE()),"Invalid ("&amp;Data!H509&amp;")"))</f>
        <v>ST-T wave abnormality</v>
      </c>
      <c r="I509" s="20" t="n">
        <f aca="false">IF(Data!I509="","",Data!I509)</f>
        <v>150</v>
      </c>
      <c r="J509" s="28" t="str">
        <f aca="false">IF(Data!J509="","",IFERROR(VLOOKUP(Data!J509,Codes!$A$29:$B$30,2,FALSE()),"Invalid ("&amp;Data!J509&amp;")"))</f>
        <v>No</v>
      </c>
      <c r="K509" s="21" t="n">
        <f aca="false">IF(Data!K509="","",Data!K509)</f>
        <v>0</v>
      </c>
      <c r="L509" s="28" t="str">
        <f aca="false">IF(Data!L509="","",IFERROR(VLOOKUP(Data!L509,Codes!$A$34:$B$36,2,FALSE()),"Invalid ("&amp;Data!L509&amp;")"))</f>
        <v/>
      </c>
      <c r="M509" s="20" t="str">
        <f aca="false">IF(Data!M509="","",Data!M509)</f>
        <v/>
      </c>
      <c r="N509" s="28" t="str">
        <f aca="false">IF(Data!N509="","",IFERROR(VLOOKUP(Data!N509,Codes!$A$47:$B$49,2,FALSE()),"Invalid ("&amp;Data!N509&amp;")"))</f>
        <v/>
      </c>
      <c r="O509" s="28" t="str">
        <f aca="false">IF(Data!O509="","",IFERROR(VLOOKUP(Data!O509,Codes!$A$53:$B$57,2,FALSE()),"Invalid ("&amp;Data!O509&amp;")"))</f>
        <v>No disease</v>
      </c>
      <c r="P509" s="22" t="str">
        <f aca="false">IF(Data!P509="","",IFERROR(VLOOKUP(Data!P509,Codes!$A$61:$B$64,2,FALSE()),"Invalid ("&amp;Data!P509&amp;")"))</f>
        <v>Hungarian Inst. of Cardiology, Budapest</v>
      </c>
    </row>
    <row r="510" customFormat="false" ht="15" hidden="false" customHeight="false" outlineLevel="0" collapsed="false">
      <c r="A510" s="19" t="n">
        <f aca="false">Data!A510</f>
        <v>509</v>
      </c>
      <c r="B510" s="20" t="n">
        <f aca="false">IF(Data!B510="","",Data!B510)</f>
        <v>56</v>
      </c>
      <c r="C510" s="28" t="str">
        <f aca="false">IF(Data!C510="","",IFERROR(VLOOKUP(Data!C510,Codes!$A$6:$B$7,2,FALSE()),"Invalid ("&amp;Data!C510&amp;")"))</f>
        <v>Male</v>
      </c>
      <c r="D510" s="28" t="str">
        <f aca="false">IF(Data!D510="","",IFERROR(VLOOKUP(Data!D510,Codes!$A$11:$B$14,2,FALSE()),"Invalid ("&amp;Data!D510&amp;")"))</f>
        <v>Atypical angina</v>
      </c>
      <c r="E510" s="20" t="n">
        <f aca="false">IF(Data!E510="","",Data!E510)</f>
        <v>130</v>
      </c>
      <c r="F510" s="20" t="n">
        <f aca="false">IF(Data!F510="","",Data!F510)</f>
        <v>184</v>
      </c>
      <c r="G510" s="28" t="str">
        <f aca="false">IF(Data!G510="","",IFERROR(VLOOKUP(Data!G510,Codes!$A$18:$B$19,2,FALSE()),"Invalid ("&amp;Data!G510&amp;")"))</f>
        <v>No</v>
      </c>
      <c r="H510" s="28" t="str">
        <f aca="false">IF(Data!H510="","",IFERROR(VLOOKUP(Data!H510,Codes!$A$23:$B$25,2,FALSE()),"Invalid ("&amp;Data!H510&amp;")"))</f>
        <v>Normal</v>
      </c>
      <c r="I510" s="20" t="n">
        <f aca="false">IF(Data!I510="","",Data!I510)</f>
        <v>100</v>
      </c>
      <c r="J510" s="28" t="str">
        <f aca="false">IF(Data!J510="","",IFERROR(VLOOKUP(Data!J510,Codes!$A$29:$B$30,2,FALSE()),"Invalid ("&amp;Data!J510&amp;")"))</f>
        <v>No</v>
      </c>
      <c r="K510" s="21" t="n">
        <f aca="false">IF(Data!K510="","",Data!K510)</f>
        <v>0</v>
      </c>
      <c r="L510" s="28" t="str">
        <f aca="false">IF(Data!L510="","",IFERROR(VLOOKUP(Data!L510,Codes!$A$34:$B$36,2,FALSE()),"Invalid ("&amp;Data!L510&amp;")"))</f>
        <v/>
      </c>
      <c r="M510" s="20" t="str">
        <f aca="false">IF(Data!M510="","",Data!M510)</f>
        <v/>
      </c>
      <c r="N510" s="28" t="str">
        <f aca="false">IF(Data!N510="","",IFERROR(VLOOKUP(Data!N510,Codes!$A$47:$B$49,2,FALSE()),"Invalid ("&amp;Data!N510&amp;")"))</f>
        <v/>
      </c>
      <c r="O510" s="28" t="str">
        <f aca="false">IF(Data!O510="","",IFERROR(VLOOKUP(Data!O510,Codes!$A$53:$B$57,2,FALSE()),"Invalid ("&amp;Data!O510&amp;")"))</f>
        <v>No disease</v>
      </c>
      <c r="P510" s="22" t="str">
        <f aca="false">IF(Data!P510="","",IFERROR(VLOOKUP(Data!P510,Codes!$A$61:$B$64,2,FALSE()),"Invalid ("&amp;Data!P510&amp;")"))</f>
        <v>Hungarian Inst. of Cardiology, Budapest</v>
      </c>
    </row>
    <row r="511" customFormat="false" ht="15" hidden="false" customHeight="false" outlineLevel="0" collapsed="false">
      <c r="A511" s="19" t="n">
        <f aca="false">Data!A511</f>
        <v>510</v>
      </c>
      <c r="B511" s="20" t="n">
        <f aca="false">IF(Data!B511="","",Data!B511)</f>
        <v>50</v>
      </c>
      <c r="C511" s="28" t="str">
        <f aca="false">IF(Data!C511="","",IFERROR(VLOOKUP(Data!C511,Codes!$A$6:$B$7,2,FALSE()),"Invalid ("&amp;Data!C511&amp;")"))</f>
        <v>Male</v>
      </c>
      <c r="D511" s="28" t="str">
        <f aca="false">IF(Data!D511="","",IFERROR(VLOOKUP(Data!D511,Codes!$A$11:$B$14,2,FALSE()),"Invalid ("&amp;Data!D511&amp;")"))</f>
        <v>Asymptomatic</v>
      </c>
      <c r="E511" s="20" t="n">
        <f aca="false">IF(Data!E511="","",Data!E511)</f>
        <v>150</v>
      </c>
      <c r="F511" s="20" t="n">
        <f aca="false">IF(Data!F511="","",Data!F511)</f>
        <v>215</v>
      </c>
      <c r="G511" s="28" t="str">
        <f aca="false">IF(Data!G511="","",IFERROR(VLOOKUP(Data!G511,Codes!$A$18:$B$19,2,FALSE()),"Invalid ("&amp;Data!G511&amp;")"))</f>
        <v>No</v>
      </c>
      <c r="H511" s="28" t="str">
        <f aca="false">IF(Data!H511="","",IFERROR(VLOOKUP(Data!H511,Codes!$A$23:$B$25,2,FALSE()),"Invalid ("&amp;Data!H511&amp;")"))</f>
        <v>Normal</v>
      </c>
      <c r="I511" s="20" t="n">
        <f aca="false">IF(Data!I511="","",Data!I511)</f>
        <v>140</v>
      </c>
      <c r="J511" s="28" t="str">
        <f aca="false">IF(Data!J511="","",IFERROR(VLOOKUP(Data!J511,Codes!$A$29:$B$30,2,FALSE()),"Invalid ("&amp;Data!J511&amp;")"))</f>
        <v>Yes</v>
      </c>
      <c r="K511" s="21" t="n">
        <f aca="false">IF(Data!K511="","",Data!K511)</f>
        <v>0</v>
      </c>
      <c r="L511" s="28" t="str">
        <f aca="false">IF(Data!L511="","",IFERROR(VLOOKUP(Data!L511,Codes!$A$34:$B$36,2,FALSE()),"Invalid ("&amp;Data!L511&amp;")"))</f>
        <v/>
      </c>
      <c r="M511" s="20" t="str">
        <f aca="false">IF(Data!M511="","",Data!M511)</f>
        <v/>
      </c>
      <c r="N511" s="28" t="str">
        <f aca="false">IF(Data!N511="","",IFERROR(VLOOKUP(Data!N511,Codes!$A$47:$B$49,2,FALSE()),"Invalid ("&amp;Data!N511&amp;")"))</f>
        <v/>
      </c>
      <c r="O511" s="28" t="str">
        <f aca="false">IF(Data!O511="","",IFERROR(VLOOKUP(Data!O511,Codes!$A$53:$B$57,2,FALSE()),"Invalid ("&amp;Data!O511&amp;")"))</f>
        <v>No disease</v>
      </c>
      <c r="P511" s="22" t="str">
        <f aca="false">IF(Data!P511="","",IFERROR(VLOOKUP(Data!P511,Codes!$A$61:$B$64,2,FALSE()),"Invalid ("&amp;Data!P511&amp;")"))</f>
        <v>Hungarian Inst. of Cardiology, Budapest</v>
      </c>
    </row>
    <row r="512" customFormat="false" ht="15" hidden="false" customHeight="false" outlineLevel="0" collapsed="false">
      <c r="A512" s="19" t="n">
        <f aca="false">Data!A512</f>
        <v>511</v>
      </c>
      <c r="B512" s="20" t="n">
        <f aca="false">IF(Data!B512="","",Data!B512)</f>
        <v>35</v>
      </c>
      <c r="C512" s="28" t="str">
        <f aca="false">IF(Data!C512="","",IFERROR(VLOOKUP(Data!C512,Codes!$A$6:$B$7,2,FALSE()),"Invalid ("&amp;Data!C512&amp;")"))</f>
        <v>Male</v>
      </c>
      <c r="D512" s="28" t="str">
        <f aca="false">IF(Data!D512="","",IFERROR(VLOOKUP(Data!D512,Codes!$A$11:$B$14,2,FALSE()),"Invalid ("&amp;Data!D512&amp;")"))</f>
        <v>Atypical angina</v>
      </c>
      <c r="E512" s="20" t="n">
        <f aca="false">IF(Data!E512="","",Data!E512)</f>
        <v>120</v>
      </c>
      <c r="F512" s="20" t="n">
        <f aca="false">IF(Data!F512="","",Data!F512)</f>
        <v>308</v>
      </c>
      <c r="G512" s="28" t="str">
        <f aca="false">IF(Data!G512="","",IFERROR(VLOOKUP(Data!G512,Codes!$A$18:$B$19,2,FALSE()),"Invalid ("&amp;Data!G512&amp;")"))</f>
        <v>No</v>
      </c>
      <c r="H512" s="28" t="str">
        <f aca="false">IF(Data!H512="","",IFERROR(VLOOKUP(Data!H512,Codes!$A$23:$B$25,2,FALSE()),"Invalid ("&amp;Data!H512&amp;")"))</f>
        <v>Left ventricular hypertrophy</v>
      </c>
      <c r="I512" s="20" t="n">
        <f aca="false">IF(Data!I512="","",Data!I512)</f>
        <v>180</v>
      </c>
      <c r="J512" s="28" t="str">
        <f aca="false">IF(Data!J512="","",IFERROR(VLOOKUP(Data!J512,Codes!$A$29:$B$30,2,FALSE()),"Invalid ("&amp;Data!J512&amp;")"))</f>
        <v>No</v>
      </c>
      <c r="K512" s="21" t="n">
        <f aca="false">IF(Data!K512="","",Data!K512)</f>
        <v>0</v>
      </c>
      <c r="L512" s="28" t="str">
        <f aca="false">IF(Data!L512="","",IFERROR(VLOOKUP(Data!L512,Codes!$A$34:$B$36,2,FALSE()),"Invalid ("&amp;Data!L512&amp;")"))</f>
        <v/>
      </c>
      <c r="M512" s="20" t="str">
        <f aca="false">IF(Data!M512="","",Data!M512)</f>
        <v/>
      </c>
      <c r="N512" s="28" t="str">
        <f aca="false">IF(Data!N512="","",IFERROR(VLOOKUP(Data!N512,Codes!$A$47:$B$49,2,FALSE()),"Invalid ("&amp;Data!N512&amp;")"))</f>
        <v/>
      </c>
      <c r="O512" s="28" t="str">
        <f aca="false">IF(Data!O512="","",IFERROR(VLOOKUP(Data!O512,Codes!$A$53:$B$57,2,FALSE()),"Invalid ("&amp;Data!O512&amp;")"))</f>
        <v>No disease</v>
      </c>
      <c r="P512" s="22" t="str">
        <f aca="false">IF(Data!P512="","",IFERROR(VLOOKUP(Data!P512,Codes!$A$61:$B$64,2,FALSE()),"Invalid ("&amp;Data!P512&amp;")"))</f>
        <v>Hungarian Inst. of Cardiology, Budapest</v>
      </c>
    </row>
    <row r="513" customFormat="false" ht="15" hidden="false" customHeight="false" outlineLevel="0" collapsed="false">
      <c r="A513" s="19" t="n">
        <f aca="false">Data!A513</f>
        <v>512</v>
      </c>
      <c r="B513" s="20" t="n">
        <f aca="false">IF(Data!B513="","",Data!B513)</f>
        <v>35</v>
      </c>
      <c r="C513" s="28" t="str">
        <f aca="false">IF(Data!C513="","",IFERROR(VLOOKUP(Data!C513,Codes!$A$6:$B$7,2,FALSE()),"Invalid ("&amp;Data!C513&amp;")"))</f>
        <v>Male</v>
      </c>
      <c r="D513" s="28" t="str">
        <f aca="false">IF(Data!D513="","",IFERROR(VLOOKUP(Data!D513,Codes!$A$11:$B$14,2,FALSE()),"Invalid ("&amp;Data!D513&amp;")"))</f>
        <v>Atypical angina</v>
      </c>
      <c r="E513" s="20" t="n">
        <f aca="false">IF(Data!E513="","",Data!E513)</f>
        <v>110</v>
      </c>
      <c r="F513" s="20" t="n">
        <f aca="false">IF(Data!F513="","",Data!F513)</f>
        <v>257</v>
      </c>
      <c r="G513" s="28" t="str">
        <f aca="false">IF(Data!G513="","",IFERROR(VLOOKUP(Data!G513,Codes!$A$18:$B$19,2,FALSE()),"Invalid ("&amp;Data!G513&amp;")"))</f>
        <v>No</v>
      </c>
      <c r="H513" s="28" t="str">
        <f aca="false">IF(Data!H513="","",IFERROR(VLOOKUP(Data!H513,Codes!$A$23:$B$25,2,FALSE()),"Invalid ("&amp;Data!H513&amp;")"))</f>
        <v>Normal</v>
      </c>
      <c r="I513" s="20" t="n">
        <f aca="false">IF(Data!I513="","",Data!I513)</f>
        <v>140</v>
      </c>
      <c r="J513" s="28" t="str">
        <f aca="false">IF(Data!J513="","",IFERROR(VLOOKUP(Data!J513,Codes!$A$29:$B$30,2,FALSE()),"Invalid ("&amp;Data!J513&amp;")"))</f>
        <v>No</v>
      </c>
      <c r="K513" s="21" t="n">
        <f aca="false">IF(Data!K513="","",Data!K513)</f>
        <v>0</v>
      </c>
      <c r="L513" s="28" t="str">
        <f aca="false">IF(Data!L513="","",IFERROR(VLOOKUP(Data!L513,Codes!$A$34:$B$36,2,FALSE()),"Invalid ("&amp;Data!L513&amp;")"))</f>
        <v/>
      </c>
      <c r="M513" s="20" t="str">
        <f aca="false">IF(Data!M513="","",Data!M513)</f>
        <v/>
      </c>
      <c r="N513" s="28" t="str">
        <f aca="false">IF(Data!N513="","",IFERROR(VLOOKUP(Data!N513,Codes!$A$47:$B$49,2,FALSE()),"Invalid ("&amp;Data!N513&amp;")"))</f>
        <v/>
      </c>
      <c r="O513" s="28" t="str">
        <f aca="false">IF(Data!O513="","",IFERROR(VLOOKUP(Data!O513,Codes!$A$53:$B$57,2,FALSE()),"Invalid ("&amp;Data!O513&amp;")"))</f>
        <v>Disease (1)</v>
      </c>
      <c r="P513" s="22" t="str">
        <f aca="false">IF(Data!P513="","",IFERROR(VLOOKUP(Data!P513,Codes!$A$61:$B$64,2,FALSE()),"Invalid ("&amp;Data!P513&amp;")"))</f>
        <v>Hungarian Inst. of Cardiology, Budapest</v>
      </c>
    </row>
    <row r="514" customFormat="false" ht="15" hidden="false" customHeight="false" outlineLevel="0" collapsed="false">
      <c r="A514" s="19" t="n">
        <f aca="false">Data!A514</f>
        <v>513</v>
      </c>
      <c r="B514" s="20" t="n">
        <f aca="false">IF(Data!B514="","",Data!B514)</f>
        <v>28</v>
      </c>
      <c r="C514" s="28" t="str">
        <f aca="false">IF(Data!C514="","",IFERROR(VLOOKUP(Data!C514,Codes!$A$6:$B$7,2,FALSE()),"Invalid ("&amp;Data!C514&amp;")"))</f>
        <v>Male</v>
      </c>
      <c r="D514" s="28" t="str">
        <f aca="false">IF(Data!D514="","",IFERROR(VLOOKUP(Data!D514,Codes!$A$11:$B$14,2,FALSE()),"Invalid ("&amp;Data!D514&amp;")"))</f>
        <v>Atypical angina</v>
      </c>
      <c r="E514" s="20" t="n">
        <f aca="false">IF(Data!E514="","",Data!E514)</f>
        <v>130</v>
      </c>
      <c r="F514" s="20" t="n">
        <f aca="false">IF(Data!F514="","",Data!F514)</f>
        <v>132</v>
      </c>
      <c r="G514" s="28" t="str">
        <f aca="false">IF(Data!G514="","",IFERROR(VLOOKUP(Data!G514,Codes!$A$18:$B$19,2,FALSE()),"Invalid ("&amp;Data!G514&amp;")"))</f>
        <v>No</v>
      </c>
      <c r="H514" s="28" t="str">
        <f aca="false">IF(Data!H514="","",IFERROR(VLOOKUP(Data!H514,Codes!$A$23:$B$25,2,FALSE()),"Invalid ("&amp;Data!H514&amp;")"))</f>
        <v>Left ventricular hypertrophy</v>
      </c>
      <c r="I514" s="20" t="n">
        <f aca="false">IF(Data!I514="","",Data!I514)</f>
        <v>185</v>
      </c>
      <c r="J514" s="28" t="str">
        <f aca="false">IF(Data!J514="","",IFERROR(VLOOKUP(Data!J514,Codes!$A$29:$B$30,2,FALSE()),"Invalid ("&amp;Data!J514&amp;")"))</f>
        <v>No</v>
      </c>
      <c r="K514" s="21" t="n">
        <f aca="false">IF(Data!K514="","",Data!K514)</f>
        <v>0</v>
      </c>
      <c r="L514" s="28" t="str">
        <f aca="false">IF(Data!L514="","",IFERROR(VLOOKUP(Data!L514,Codes!$A$34:$B$36,2,FALSE()),"Invalid ("&amp;Data!L514&amp;")"))</f>
        <v/>
      </c>
      <c r="M514" s="20" t="str">
        <f aca="false">IF(Data!M514="","",Data!M514)</f>
        <v/>
      </c>
      <c r="N514" s="28" t="str">
        <f aca="false">IF(Data!N514="","",IFERROR(VLOOKUP(Data!N514,Codes!$A$47:$B$49,2,FALSE()),"Invalid ("&amp;Data!N514&amp;")"))</f>
        <v/>
      </c>
      <c r="O514" s="28" t="str">
        <f aca="false">IF(Data!O514="","",IFERROR(VLOOKUP(Data!O514,Codes!$A$53:$B$57,2,FALSE()),"Invalid ("&amp;Data!O514&amp;")"))</f>
        <v>No disease</v>
      </c>
      <c r="P514" s="22" t="str">
        <f aca="false">IF(Data!P514="","",IFERROR(VLOOKUP(Data!P514,Codes!$A$61:$B$64,2,FALSE()),"Invalid ("&amp;Data!P514&amp;")"))</f>
        <v>Hungarian Inst. of Cardiology, Budapest</v>
      </c>
    </row>
    <row r="515" customFormat="false" ht="15" hidden="false" customHeight="false" outlineLevel="0" collapsed="false">
      <c r="A515" s="19" t="n">
        <f aca="false">Data!A515</f>
        <v>514</v>
      </c>
      <c r="B515" s="20" t="n">
        <f aca="false">IF(Data!B515="","",Data!B515)</f>
        <v>54</v>
      </c>
      <c r="C515" s="28" t="str">
        <f aca="false">IF(Data!C515="","",IFERROR(VLOOKUP(Data!C515,Codes!$A$6:$B$7,2,FALSE()),"Invalid ("&amp;Data!C515&amp;")"))</f>
        <v>Male</v>
      </c>
      <c r="D515" s="28" t="str">
        <f aca="false">IF(Data!D515="","",IFERROR(VLOOKUP(Data!D515,Codes!$A$11:$B$14,2,FALSE()),"Invalid ("&amp;Data!D515&amp;")"))</f>
        <v>Asymptomatic</v>
      </c>
      <c r="E515" s="20" t="n">
        <f aca="false">IF(Data!E515="","",Data!E515)</f>
        <v>125</v>
      </c>
      <c r="F515" s="20" t="n">
        <f aca="false">IF(Data!F515="","",Data!F515)</f>
        <v>216</v>
      </c>
      <c r="G515" s="28" t="str">
        <f aca="false">IF(Data!G515="","",IFERROR(VLOOKUP(Data!G515,Codes!$A$18:$B$19,2,FALSE()),"Invalid ("&amp;Data!G515&amp;")"))</f>
        <v>No</v>
      </c>
      <c r="H515" s="28" t="str">
        <f aca="false">IF(Data!H515="","",IFERROR(VLOOKUP(Data!H515,Codes!$A$23:$B$25,2,FALSE()),"Invalid ("&amp;Data!H515&amp;")"))</f>
        <v>Normal</v>
      </c>
      <c r="I515" s="20" t="n">
        <f aca="false">IF(Data!I515="","",Data!I515)</f>
        <v>140</v>
      </c>
      <c r="J515" s="28" t="str">
        <f aca="false">IF(Data!J515="","",IFERROR(VLOOKUP(Data!J515,Codes!$A$29:$B$30,2,FALSE()),"Invalid ("&amp;Data!J515&amp;")"))</f>
        <v>No</v>
      </c>
      <c r="K515" s="21" t="n">
        <f aca="false">IF(Data!K515="","",Data!K515)</f>
        <v>0</v>
      </c>
      <c r="L515" s="28" t="str">
        <f aca="false">IF(Data!L515="","",IFERROR(VLOOKUP(Data!L515,Codes!$A$34:$B$36,2,FALSE()),"Invalid ("&amp;Data!L515&amp;")"))</f>
        <v/>
      </c>
      <c r="M515" s="20" t="str">
        <f aca="false">IF(Data!M515="","",Data!M515)</f>
        <v/>
      </c>
      <c r="N515" s="28" t="str">
        <f aca="false">IF(Data!N515="","",IFERROR(VLOOKUP(Data!N515,Codes!$A$47:$B$49,2,FALSE()),"Invalid ("&amp;Data!N515&amp;")"))</f>
        <v/>
      </c>
      <c r="O515" s="28" t="str">
        <f aca="false">IF(Data!O515="","",IFERROR(VLOOKUP(Data!O515,Codes!$A$53:$B$57,2,FALSE()),"Invalid ("&amp;Data!O515&amp;")"))</f>
        <v>Disease (1)</v>
      </c>
      <c r="P515" s="22" t="str">
        <f aca="false">IF(Data!P515="","",IFERROR(VLOOKUP(Data!P515,Codes!$A$61:$B$64,2,FALSE()),"Invalid ("&amp;Data!P515&amp;")"))</f>
        <v>Hungarian Inst. of Cardiology, Budapest</v>
      </c>
    </row>
    <row r="516" customFormat="false" ht="15" hidden="false" customHeight="false" outlineLevel="0" collapsed="false">
      <c r="A516" s="19" t="n">
        <f aca="false">Data!A516</f>
        <v>515</v>
      </c>
      <c r="B516" s="20" t="n">
        <f aca="false">IF(Data!B516="","",Data!B516)</f>
        <v>48</v>
      </c>
      <c r="C516" s="28" t="str">
        <f aca="false">IF(Data!C516="","",IFERROR(VLOOKUP(Data!C516,Codes!$A$6:$B$7,2,FALSE()),"Invalid ("&amp;Data!C516&amp;")"))</f>
        <v>Male</v>
      </c>
      <c r="D516" s="28" t="str">
        <f aca="false">IF(Data!D516="","",IFERROR(VLOOKUP(Data!D516,Codes!$A$11:$B$14,2,FALSE()),"Invalid ("&amp;Data!D516&amp;")"))</f>
        <v>Asymptomatic</v>
      </c>
      <c r="E516" s="20" t="n">
        <f aca="false">IF(Data!E516="","",Data!E516)</f>
        <v>106</v>
      </c>
      <c r="F516" s="20" t="n">
        <f aca="false">IF(Data!F516="","",Data!F516)</f>
        <v>263</v>
      </c>
      <c r="G516" s="28" t="str">
        <f aca="false">IF(Data!G516="","",IFERROR(VLOOKUP(Data!G516,Codes!$A$18:$B$19,2,FALSE()),"Invalid ("&amp;Data!G516&amp;")"))</f>
        <v>Yes</v>
      </c>
      <c r="H516" s="28" t="str">
        <f aca="false">IF(Data!H516="","",IFERROR(VLOOKUP(Data!H516,Codes!$A$23:$B$25,2,FALSE()),"Invalid ("&amp;Data!H516&amp;")"))</f>
        <v>Normal</v>
      </c>
      <c r="I516" s="20" t="n">
        <f aca="false">IF(Data!I516="","",Data!I516)</f>
        <v>110</v>
      </c>
      <c r="J516" s="28" t="str">
        <f aca="false">IF(Data!J516="","",IFERROR(VLOOKUP(Data!J516,Codes!$A$29:$B$30,2,FALSE()),"Invalid ("&amp;Data!J516&amp;")"))</f>
        <v>No</v>
      </c>
      <c r="K516" s="21" t="n">
        <f aca="false">IF(Data!K516="","",Data!K516)</f>
        <v>0</v>
      </c>
      <c r="L516" s="28" t="str">
        <f aca="false">IF(Data!L516="","",IFERROR(VLOOKUP(Data!L516,Codes!$A$34:$B$36,2,FALSE()),"Invalid ("&amp;Data!L516&amp;")"))</f>
        <v/>
      </c>
      <c r="M516" s="20" t="str">
        <f aca="false">IF(Data!M516="","",Data!M516)</f>
        <v/>
      </c>
      <c r="N516" s="28" t="str">
        <f aca="false">IF(Data!N516="","",IFERROR(VLOOKUP(Data!N516,Codes!$A$47:$B$49,2,FALSE()),"Invalid ("&amp;Data!N516&amp;")"))</f>
        <v/>
      </c>
      <c r="O516" s="28" t="str">
        <f aca="false">IF(Data!O516="","",IFERROR(VLOOKUP(Data!O516,Codes!$A$53:$B$57,2,FALSE()),"Invalid ("&amp;Data!O516&amp;")"))</f>
        <v>Disease (1)</v>
      </c>
      <c r="P516" s="22" t="str">
        <f aca="false">IF(Data!P516="","",IFERROR(VLOOKUP(Data!P516,Codes!$A$61:$B$64,2,FALSE()),"Invalid ("&amp;Data!P516&amp;")"))</f>
        <v>Hungarian Inst. of Cardiology, Budapest</v>
      </c>
    </row>
    <row r="517" customFormat="false" ht="15" hidden="false" customHeight="false" outlineLevel="0" collapsed="false">
      <c r="A517" s="19" t="n">
        <f aca="false">Data!A517</f>
        <v>516</v>
      </c>
      <c r="B517" s="20" t="n">
        <f aca="false">IF(Data!B517="","",Data!B517)</f>
        <v>50</v>
      </c>
      <c r="C517" s="28" t="str">
        <f aca="false">IF(Data!C517="","",IFERROR(VLOOKUP(Data!C517,Codes!$A$6:$B$7,2,FALSE()),"Invalid ("&amp;Data!C517&amp;")"))</f>
        <v>Female</v>
      </c>
      <c r="D517" s="28" t="str">
        <f aca="false">IF(Data!D517="","",IFERROR(VLOOKUP(Data!D517,Codes!$A$11:$B$14,2,FALSE()),"Invalid ("&amp;Data!D517&amp;")"))</f>
        <v>Non-anginal pain</v>
      </c>
      <c r="E517" s="20" t="n">
        <f aca="false">IF(Data!E517="","",Data!E517)</f>
        <v>140</v>
      </c>
      <c r="F517" s="20" t="n">
        <f aca="false">IF(Data!F517="","",Data!F517)</f>
        <v>288</v>
      </c>
      <c r="G517" s="28" t="str">
        <f aca="false">IF(Data!G517="","",IFERROR(VLOOKUP(Data!G517,Codes!$A$18:$B$19,2,FALSE()),"Invalid ("&amp;Data!G517&amp;")"))</f>
        <v>No</v>
      </c>
      <c r="H517" s="28" t="str">
        <f aca="false">IF(Data!H517="","",IFERROR(VLOOKUP(Data!H517,Codes!$A$23:$B$25,2,FALSE()),"Invalid ("&amp;Data!H517&amp;")"))</f>
        <v>Normal</v>
      </c>
      <c r="I517" s="20" t="n">
        <f aca="false">IF(Data!I517="","",Data!I517)</f>
        <v>140</v>
      </c>
      <c r="J517" s="28" t="str">
        <f aca="false">IF(Data!J517="","",IFERROR(VLOOKUP(Data!J517,Codes!$A$29:$B$30,2,FALSE()),"Invalid ("&amp;Data!J517&amp;")"))</f>
        <v>Yes</v>
      </c>
      <c r="K517" s="21" t="n">
        <f aca="false">IF(Data!K517="","",Data!K517)</f>
        <v>0</v>
      </c>
      <c r="L517" s="28" t="str">
        <f aca="false">IF(Data!L517="","",IFERROR(VLOOKUP(Data!L517,Codes!$A$34:$B$36,2,FALSE()),"Invalid ("&amp;Data!L517&amp;")"))</f>
        <v/>
      </c>
      <c r="M517" s="20" t="str">
        <f aca="false">IF(Data!M517="","",Data!M517)</f>
        <v/>
      </c>
      <c r="N517" s="28" t="str">
        <f aca="false">IF(Data!N517="","",IFERROR(VLOOKUP(Data!N517,Codes!$A$47:$B$49,2,FALSE()),"Invalid ("&amp;Data!N517&amp;")"))</f>
        <v>Reversible defect</v>
      </c>
      <c r="O517" s="28" t="str">
        <f aca="false">IF(Data!O517="","",IFERROR(VLOOKUP(Data!O517,Codes!$A$53:$B$57,2,FALSE()),"Invalid ("&amp;Data!O517&amp;")"))</f>
        <v>Disease (1)</v>
      </c>
      <c r="P517" s="22" t="str">
        <f aca="false">IF(Data!P517="","",IFERROR(VLOOKUP(Data!P517,Codes!$A$61:$B$64,2,FALSE()),"Invalid ("&amp;Data!P517&amp;")"))</f>
        <v>Hungarian Inst. of Cardiology, Budapest</v>
      </c>
    </row>
    <row r="518" customFormat="false" ht="15" hidden="false" customHeight="false" outlineLevel="0" collapsed="false">
      <c r="A518" s="19" t="n">
        <f aca="false">Data!A518</f>
        <v>517</v>
      </c>
      <c r="B518" s="20" t="n">
        <f aca="false">IF(Data!B518="","",Data!B518)</f>
        <v>56</v>
      </c>
      <c r="C518" s="28" t="str">
        <f aca="false">IF(Data!C518="","",IFERROR(VLOOKUP(Data!C518,Codes!$A$6:$B$7,2,FALSE()),"Invalid ("&amp;Data!C518&amp;")"))</f>
        <v>Male</v>
      </c>
      <c r="D518" s="28" t="str">
        <f aca="false">IF(Data!D518="","",IFERROR(VLOOKUP(Data!D518,Codes!$A$11:$B$14,2,FALSE()),"Invalid ("&amp;Data!D518&amp;")"))</f>
        <v>Non-anginal pain</v>
      </c>
      <c r="E518" s="20" t="n">
        <f aca="false">IF(Data!E518="","",Data!E518)</f>
        <v>130</v>
      </c>
      <c r="F518" s="20" t="n">
        <f aca="false">IF(Data!F518="","",Data!F518)</f>
        <v>276</v>
      </c>
      <c r="G518" s="28" t="str">
        <f aca="false">IF(Data!G518="","",IFERROR(VLOOKUP(Data!G518,Codes!$A$18:$B$19,2,FALSE()),"Invalid ("&amp;Data!G518&amp;")"))</f>
        <v>No</v>
      </c>
      <c r="H518" s="28" t="str">
        <f aca="false">IF(Data!H518="","",IFERROR(VLOOKUP(Data!H518,Codes!$A$23:$B$25,2,FALSE()),"Invalid ("&amp;Data!H518&amp;")"))</f>
        <v>Normal</v>
      </c>
      <c r="I518" s="20" t="n">
        <f aca="false">IF(Data!I518="","",Data!I518)</f>
        <v>128</v>
      </c>
      <c r="J518" s="28" t="str">
        <f aca="false">IF(Data!J518="","",IFERROR(VLOOKUP(Data!J518,Codes!$A$29:$B$30,2,FALSE()),"Invalid ("&amp;Data!J518&amp;")"))</f>
        <v>Yes</v>
      </c>
      <c r="K518" s="21" t="n">
        <f aca="false">IF(Data!K518="","",Data!K518)</f>
        <v>1</v>
      </c>
      <c r="L518" s="28" t="str">
        <f aca="false">IF(Data!L518="","",IFERROR(VLOOKUP(Data!L518,Codes!$A$34:$B$36,2,FALSE()),"Invalid ("&amp;Data!L518&amp;")"))</f>
        <v>Upsloping</v>
      </c>
      <c r="M518" s="20" t="str">
        <f aca="false">IF(Data!M518="","",Data!M518)</f>
        <v/>
      </c>
      <c r="N518" s="28" t="str">
        <f aca="false">IF(Data!N518="","",IFERROR(VLOOKUP(Data!N518,Codes!$A$47:$B$49,2,FALSE()),"Invalid ("&amp;Data!N518&amp;")"))</f>
        <v>Fixed defect</v>
      </c>
      <c r="O518" s="28" t="str">
        <f aca="false">IF(Data!O518="","",IFERROR(VLOOKUP(Data!O518,Codes!$A$53:$B$57,2,FALSE()),"Invalid ("&amp;Data!O518&amp;")"))</f>
        <v>No disease</v>
      </c>
      <c r="P518" s="22" t="str">
        <f aca="false">IF(Data!P518="","",IFERROR(VLOOKUP(Data!P518,Codes!$A$61:$B$64,2,FALSE()),"Invalid ("&amp;Data!P518&amp;")"))</f>
        <v>Hungarian Inst. of Cardiology, Budapest</v>
      </c>
    </row>
    <row r="519" customFormat="false" ht="15" hidden="false" customHeight="false" outlineLevel="0" collapsed="false">
      <c r="A519" s="19" t="n">
        <f aca="false">Data!A519</f>
        <v>518</v>
      </c>
      <c r="B519" s="20" t="n">
        <f aca="false">IF(Data!B519="","",Data!B519)</f>
        <v>56</v>
      </c>
      <c r="C519" s="28" t="str">
        <f aca="false">IF(Data!C519="","",IFERROR(VLOOKUP(Data!C519,Codes!$A$6:$B$7,2,FALSE()),"Invalid ("&amp;Data!C519&amp;")"))</f>
        <v>Female</v>
      </c>
      <c r="D519" s="28" t="str">
        <f aca="false">IF(Data!D519="","",IFERROR(VLOOKUP(Data!D519,Codes!$A$11:$B$14,2,FALSE()),"Invalid ("&amp;Data!D519&amp;")"))</f>
        <v>Non-anginal pain</v>
      </c>
      <c r="E519" s="20" t="n">
        <f aca="false">IF(Data!E519="","",Data!E519)</f>
        <v>130</v>
      </c>
      <c r="F519" s="20" t="n">
        <f aca="false">IF(Data!F519="","",Data!F519)</f>
        <v>219</v>
      </c>
      <c r="G519" s="28" t="str">
        <f aca="false">IF(Data!G519="","",IFERROR(VLOOKUP(Data!G519,Codes!$A$18:$B$19,2,FALSE()),"Invalid ("&amp;Data!G519&amp;")"))</f>
        <v/>
      </c>
      <c r="H519" s="28" t="str">
        <f aca="false">IF(Data!H519="","",IFERROR(VLOOKUP(Data!H519,Codes!$A$23:$B$25,2,FALSE()),"Invalid ("&amp;Data!H519&amp;")"))</f>
        <v>ST-T wave abnormality</v>
      </c>
      <c r="I519" s="20" t="n">
        <f aca="false">IF(Data!I519="","",Data!I519)</f>
        <v>164</v>
      </c>
      <c r="J519" s="28" t="str">
        <f aca="false">IF(Data!J519="","",IFERROR(VLOOKUP(Data!J519,Codes!$A$29:$B$30,2,FALSE()),"Invalid ("&amp;Data!J519&amp;")"))</f>
        <v>No</v>
      </c>
      <c r="K519" s="21" t="n">
        <f aca="false">IF(Data!K519="","",Data!K519)</f>
        <v>0</v>
      </c>
      <c r="L519" s="28" t="str">
        <f aca="false">IF(Data!L519="","",IFERROR(VLOOKUP(Data!L519,Codes!$A$34:$B$36,2,FALSE()),"Invalid ("&amp;Data!L519&amp;")"))</f>
        <v/>
      </c>
      <c r="M519" s="20" t="str">
        <f aca="false">IF(Data!M519="","",Data!M519)</f>
        <v/>
      </c>
      <c r="N519" s="28" t="str">
        <f aca="false">IF(Data!N519="","",IFERROR(VLOOKUP(Data!N519,Codes!$A$47:$B$49,2,FALSE()),"Invalid ("&amp;Data!N519&amp;")"))</f>
        <v>Reversible defect</v>
      </c>
      <c r="O519" s="28" t="str">
        <f aca="false">IF(Data!O519="","",IFERROR(VLOOKUP(Data!O519,Codes!$A$53:$B$57,2,FALSE()),"Invalid ("&amp;Data!O519&amp;")"))</f>
        <v>No disease</v>
      </c>
      <c r="P519" s="22" t="str">
        <f aca="false">IF(Data!P519="","",IFERROR(VLOOKUP(Data!P519,Codes!$A$61:$B$64,2,FALSE()),"Invalid ("&amp;Data!P519&amp;")"))</f>
        <v>Hungarian Inst. of Cardiology, Budapest</v>
      </c>
    </row>
    <row r="520" customFormat="false" ht="15" hidden="false" customHeight="false" outlineLevel="0" collapsed="false">
      <c r="A520" s="19" t="n">
        <f aca="false">Data!A520</f>
        <v>519</v>
      </c>
      <c r="B520" s="20" t="n">
        <f aca="false">IF(Data!B520="","",Data!B520)</f>
        <v>47</v>
      </c>
      <c r="C520" s="28" t="str">
        <f aca="false">IF(Data!C520="","",IFERROR(VLOOKUP(Data!C520,Codes!$A$6:$B$7,2,FALSE()),"Invalid ("&amp;Data!C520&amp;")"))</f>
        <v>Male</v>
      </c>
      <c r="D520" s="28" t="str">
        <f aca="false">IF(Data!D520="","",IFERROR(VLOOKUP(Data!D520,Codes!$A$11:$B$14,2,FALSE()),"Invalid ("&amp;Data!D520&amp;")"))</f>
        <v>Asymptomatic</v>
      </c>
      <c r="E520" s="20" t="n">
        <f aca="false">IF(Data!E520="","",Data!E520)</f>
        <v>150</v>
      </c>
      <c r="F520" s="20" t="n">
        <f aca="false">IF(Data!F520="","",Data!F520)</f>
        <v>226</v>
      </c>
      <c r="G520" s="28" t="str">
        <f aca="false">IF(Data!G520="","",IFERROR(VLOOKUP(Data!G520,Codes!$A$18:$B$19,2,FALSE()),"Invalid ("&amp;Data!G520&amp;")"))</f>
        <v>No</v>
      </c>
      <c r="H520" s="28" t="str">
        <f aca="false">IF(Data!H520="","",IFERROR(VLOOKUP(Data!H520,Codes!$A$23:$B$25,2,FALSE()),"Invalid ("&amp;Data!H520&amp;")"))</f>
        <v>Normal</v>
      </c>
      <c r="I520" s="20" t="n">
        <f aca="false">IF(Data!I520="","",Data!I520)</f>
        <v>98</v>
      </c>
      <c r="J520" s="28" t="str">
        <f aca="false">IF(Data!J520="","",IFERROR(VLOOKUP(Data!J520,Codes!$A$29:$B$30,2,FALSE()),"Invalid ("&amp;Data!J520&amp;")"))</f>
        <v>Yes</v>
      </c>
      <c r="K520" s="21" t="n">
        <f aca="false">IF(Data!K520="","",Data!K520)</f>
        <v>1.5</v>
      </c>
      <c r="L520" s="28" t="str">
        <f aca="false">IF(Data!L520="","",IFERROR(VLOOKUP(Data!L520,Codes!$A$34:$B$36,2,FALSE()),"Invalid ("&amp;Data!L520&amp;")"))</f>
        <v>Flat</v>
      </c>
      <c r="M520" s="20" t="n">
        <f aca="false">IF(Data!M520="","",Data!M520)</f>
        <v>0</v>
      </c>
      <c r="N520" s="28" t="str">
        <f aca="false">IF(Data!N520="","",IFERROR(VLOOKUP(Data!N520,Codes!$A$47:$B$49,2,FALSE()),"Invalid ("&amp;Data!N520&amp;")"))</f>
        <v>Reversible defect</v>
      </c>
      <c r="O520" s="28" t="str">
        <f aca="false">IF(Data!O520="","",IFERROR(VLOOKUP(Data!O520,Codes!$A$53:$B$57,2,FALSE()),"Invalid ("&amp;Data!O520&amp;")"))</f>
        <v>Disease (1)</v>
      </c>
      <c r="P520" s="22" t="str">
        <f aca="false">IF(Data!P520="","",IFERROR(VLOOKUP(Data!P520,Codes!$A$61:$B$64,2,FALSE()),"Invalid ("&amp;Data!P520&amp;")"))</f>
        <v>Hungarian Inst. of Cardiology, Budapest</v>
      </c>
    </row>
    <row r="521" customFormat="false" ht="15" hidden="false" customHeight="false" outlineLevel="0" collapsed="false">
      <c r="A521" s="19" t="n">
        <f aca="false">Data!A521</f>
        <v>520</v>
      </c>
      <c r="B521" s="20" t="n">
        <f aca="false">IF(Data!B521="","",Data!B521)</f>
        <v>30</v>
      </c>
      <c r="C521" s="28" t="str">
        <f aca="false">IF(Data!C521="","",IFERROR(VLOOKUP(Data!C521,Codes!$A$6:$B$7,2,FALSE()),"Invalid ("&amp;Data!C521&amp;")"))</f>
        <v>Female</v>
      </c>
      <c r="D521" s="28" t="str">
        <f aca="false">IF(Data!D521="","",IFERROR(VLOOKUP(Data!D521,Codes!$A$11:$B$14,2,FALSE()),"Invalid ("&amp;Data!D521&amp;")"))</f>
        <v>Typical angina</v>
      </c>
      <c r="E521" s="20" t="n">
        <f aca="false">IF(Data!E521="","",Data!E521)</f>
        <v>170</v>
      </c>
      <c r="F521" s="20" t="n">
        <f aca="false">IF(Data!F521="","",Data!F521)</f>
        <v>237</v>
      </c>
      <c r="G521" s="28" t="str">
        <f aca="false">IF(Data!G521="","",IFERROR(VLOOKUP(Data!G521,Codes!$A$18:$B$19,2,FALSE()),"Invalid ("&amp;Data!G521&amp;")"))</f>
        <v>No</v>
      </c>
      <c r="H521" s="28" t="str">
        <f aca="false">IF(Data!H521="","",IFERROR(VLOOKUP(Data!H521,Codes!$A$23:$B$25,2,FALSE()),"Invalid ("&amp;Data!H521&amp;")"))</f>
        <v>ST-T wave abnormality</v>
      </c>
      <c r="I521" s="20" t="n">
        <f aca="false">IF(Data!I521="","",Data!I521)</f>
        <v>170</v>
      </c>
      <c r="J521" s="28" t="str">
        <f aca="false">IF(Data!J521="","",IFERROR(VLOOKUP(Data!J521,Codes!$A$29:$B$30,2,FALSE()),"Invalid ("&amp;Data!J521&amp;")"))</f>
        <v>No</v>
      </c>
      <c r="K521" s="21" t="n">
        <f aca="false">IF(Data!K521="","",Data!K521)</f>
        <v>0</v>
      </c>
      <c r="L521" s="28" t="str">
        <f aca="false">IF(Data!L521="","",IFERROR(VLOOKUP(Data!L521,Codes!$A$34:$B$36,2,FALSE()),"Invalid ("&amp;Data!L521&amp;")"))</f>
        <v/>
      </c>
      <c r="M521" s="20" t="str">
        <f aca="false">IF(Data!M521="","",Data!M521)</f>
        <v/>
      </c>
      <c r="N521" s="28" t="str">
        <f aca="false">IF(Data!N521="","",IFERROR(VLOOKUP(Data!N521,Codes!$A$47:$B$49,2,FALSE()),"Invalid ("&amp;Data!N521&amp;")"))</f>
        <v>Fixed defect</v>
      </c>
      <c r="O521" s="28" t="str">
        <f aca="false">IF(Data!O521="","",IFERROR(VLOOKUP(Data!O521,Codes!$A$53:$B$57,2,FALSE()),"Invalid ("&amp;Data!O521&amp;")"))</f>
        <v>No disease</v>
      </c>
      <c r="P521" s="22" t="str">
        <f aca="false">IF(Data!P521="","",IFERROR(VLOOKUP(Data!P521,Codes!$A$61:$B$64,2,FALSE()),"Invalid ("&amp;Data!P521&amp;")"))</f>
        <v>Hungarian Inst. of Cardiology, Budapest</v>
      </c>
    </row>
    <row r="522" customFormat="false" ht="15" hidden="false" customHeight="false" outlineLevel="0" collapsed="false">
      <c r="A522" s="19" t="n">
        <f aca="false">Data!A522</f>
        <v>521</v>
      </c>
      <c r="B522" s="20" t="n">
        <f aca="false">IF(Data!B522="","",Data!B522)</f>
        <v>39</v>
      </c>
      <c r="C522" s="28" t="str">
        <f aca="false">IF(Data!C522="","",IFERROR(VLOOKUP(Data!C522,Codes!$A$6:$B$7,2,FALSE()),"Invalid ("&amp;Data!C522&amp;")"))</f>
        <v>Male</v>
      </c>
      <c r="D522" s="28" t="str">
        <f aca="false">IF(Data!D522="","",IFERROR(VLOOKUP(Data!D522,Codes!$A$11:$B$14,2,FALSE()),"Invalid ("&amp;Data!D522&amp;")"))</f>
        <v>Asymptomatic</v>
      </c>
      <c r="E522" s="20" t="n">
        <f aca="false">IF(Data!E522="","",Data!E522)</f>
        <v>110</v>
      </c>
      <c r="F522" s="20" t="n">
        <f aca="false">IF(Data!F522="","",Data!F522)</f>
        <v>280</v>
      </c>
      <c r="G522" s="28" t="str">
        <f aca="false">IF(Data!G522="","",IFERROR(VLOOKUP(Data!G522,Codes!$A$18:$B$19,2,FALSE()),"Invalid ("&amp;Data!G522&amp;")"))</f>
        <v>No</v>
      </c>
      <c r="H522" s="28" t="str">
        <f aca="false">IF(Data!H522="","",IFERROR(VLOOKUP(Data!H522,Codes!$A$23:$B$25,2,FALSE()),"Invalid ("&amp;Data!H522&amp;")"))</f>
        <v>Normal</v>
      </c>
      <c r="I522" s="20" t="n">
        <f aca="false">IF(Data!I522="","",Data!I522)</f>
        <v>150</v>
      </c>
      <c r="J522" s="28" t="str">
        <f aca="false">IF(Data!J522="","",IFERROR(VLOOKUP(Data!J522,Codes!$A$29:$B$30,2,FALSE()),"Invalid ("&amp;Data!J522&amp;")"))</f>
        <v>No</v>
      </c>
      <c r="K522" s="21" t="n">
        <f aca="false">IF(Data!K522="","",Data!K522)</f>
        <v>0</v>
      </c>
      <c r="L522" s="28" t="str">
        <f aca="false">IF(Data!L522="","",IFERROR(VLOOKUP(Data!L522,Codes!$A$34:$B$36,2,FALSE()),"Invalid ("&amp;Data!L522&amp;")"))</f>
        <v/>
      </c>
      <c r="M522" s="20" t="str">
        <f aca="false">IF(Data!M522="","",Data!M522)</f>
        <v/>
      </c>
      <c r="N522" s="28" t="str">
        <f aca="false">IF(Data!N522="","",IFERROR(VLOOKUP(Data!N522,Codes!$A$47:$B$49,2,FALSE()),"Invalid ("&amp;Data!N522&amp;")"))</f>
        <v>Fixed defect</v>
      </c>
      <c r="O522" s="28" t="str">
        <f aca="false">IF(Data!O522="","",IFERROR(VLOOKUP(Data!O522,Codes!$A$53:$B$57,2,FALSE()),"Invalid ("&amp;Data!O522&amp;")"))</f>
        <v>Disease (2)</v>
      </c>
      <c r="P522" s="22" t="str">
        <f aca="false">IF(Data!P522="","",IFERROR(VLOOKUP(Data!P522,Codes!$A$61:$B$64,2,FALSE()),"Invalid ("&amp;Data!P522&amp;")"))</f>
        <v>Hungarian Inst. of Cardiology, Budapest</v>
      </c>
    </row>
    <row r="523" customFormat="false" ht="15" hidden="false" customHeight="false" outlineLevel="0" collapsed="false">
      <c r="A523" s="19" t="n">
        <f aca="false">Data!A523</f>
        <v>522</v>
      </c>
      <c r="B523" s="20" t="n">
        <f aca="false">IF(Data!B523="","",Data!B523)</f>
        <v>54</v>
      </c>
      <c r="C523" s="28" t="str">
        <f aca="false">IF(Data!C523="","",IFERROR(VLOOKUP(Data!C523,Codes!$A$6:$B$7,2,FALSE()),"Invalid ("&amp;Data!C523&amp;")"))</f>
        <v>Male</v>
      </c>
      <c r="D523" s="28" t="str">
        <f aca="false">IF(Data!D523="","",IFERROR(VLOOKUP(Data!D523,Codes!$A$11:$B$14,2,FALSE()),"Invalid ("&amp;Data!D523&amp;")"))</f>
        <v>Non-anginal pain</v>
      </c>
      <c r="E523" s="20" t="n">
        <f aca="false">IF(Data!E523="","",Data!E523)</f>
        <v>120</v>
      </c>
      <c r="F523" s="20" t="n">
        <f aca="false">IF(Data!F523="","",Data!F523)</f>
        <v>217</v>
      </c>
      <c r="G523" s="28" t="str">
        <f aca="false">IF(Data!G523="","",IFERROR(VLOOKUP(Data!G523,Codes!$A$18:$B$19,2,FALSE()),"Invalid ("&amp;Data!G523&amp;")"))</f>
        <v>No</v>
      </c>
      <c r="H523" s="28" t="str">
        <f aca="false">IF(Data!H523="","",IFERROR(VLOOKUP(Data!H523,Codes!$A$23:$B$25,2,FALSE()),"Invalid ("&amp;Data!H523&amp;")"))</f>
        <v>Normal</v>
      </c>
      <c r="I523" s="20" t="n">
        <f aca="false">IF(Data!I523="","",Data!I523)</f>
        <v>137</v>
      </c>
      <c r="J523" s="28" t="str">
        <f aca="false">IF(Data!J523="","",IFERROR(VLOOKUP(Data!J523,Codes!$A$29:$B$30,2,FALSE()),"Invalid ("&amp;Data!J523&amp;")"))</f>
        <v>No</v>
      </c>
      <c r="K523" s="21" t="n">
        <f aca="false">IF(Data!K523="","",Data!K523)</f>
        <v>0</v>
      </c>
      <c r="L523" s="28" t="str">
        <f aca="false">IF(Data!L523="","",IFERROR(VLOOKUP(Data!L523,Codes!$A$34:$B$36,2,FALSE()),"Invalid ("&amp;Data!L523&amp;")"))</f>
        <v/>
      </c>
      <c r="M523" s="20" t="str">
        <f aca="false">IF(Data!M523="","",Data!M523)</f>
        <v/>
      </c>
      <c r="N523" s="28" t="str">
        <f aca="false">IF(Data!N523="","",IFERROR(VLOOKUP(Data!N523,Codes!$A$47:$B$49,2,FALSE()),"Invalid ("&amp;Data!N523&amp;")"))</f>
        <v/>
      </c>
      <c r="O523" s="28" t="str">
        <f aca="false">IF(Data!O523="","",IFERROR(VLOOKUP(Data!O523,Codes!$A$53:$B$57,2,FALSE()),"Invalid ("&amp;Data!O523&amp;")"))</f>
        <v>No disease</v>
      </c>
      <c r="P523" s="22" t="str">
        <f aca="false">IF(Data!P523="","",IFERROR(VLOOKUP(Data!P523,Codes!$A$61:$B$64,2,FALSE()),"Invalid ("&amp;Data!P523&amp;")"))</f>
        <v>Hungarian Inst. of Cardiology, Budapest</v>
      </c>
    </row>
    <row r="524" customFormat="false" ht="15" hidden="false" customHeight="false" outlineLevel="0" collapsed="false">
      <c r="A524" s="19" t="n">
        <f aca="false">Data!A524</f>
        <v>523</v>
      </c>
      <c r="B524" s="20" t="n">
        <f aca="false">IF(Data!B524="","",Data!B524)</f>
        <v>55</v>
      </c>
      <c r="C524" s="28" t="str">
        <f aca="false">IF(Data!C524="","",IFERROR(VLOOKUP(Data!C524,Codes!$A$6:$B$7,2,FALSE()),"Invalid ("&amp;Data!C524&amp;")"))</f>
        <v>Male</v>
      </c>
      <c r="D524" s="28" t="str">
        <f aca="false">IF(Data!D524="","",IFERROR(VLOOKUP(Data!D524,Codes!$A$11:$B$14,2,FALSE()),"Invalid ("&amp;Data!D524&amp;")"))</f>
        <v>Atypical angina</v>
      </c>
      <c r="E524" s="20" t="n">
        <f aca="false">IF(Data!E524="","",Data!E524)</f>
        <v>140</v>
      </c>
      <c r="F524" s="20" t="n">
        <f aca="false">IF(Data!F524="","",Data!F524)</f>
        <v>196</v>
      </c>
      <c r="G524" s="28" t="str">
        <f aca="false">IF(Data!G524="","",IFERROR(VLOOKUP(Data!G524,Codes!$A$18:$B$19,2,FALSE()),"Invalid ("&amp;Data!G524&amp;")"))</f>
        <v>No</v>
      </c>
      <c r="H524" s="28" t="str">
        <f aca="false">IF(Data!H524="","",IFERROR(VLOOKUP(Data!H524,Codes!$A$23:$B$25,2,FALSE()),"Invalid ("&amp;Data!H524&amp;")"))</f>
        <v>Normal</v>
      </c>
      <c r="I524" s="20" t="n">
        <f aca="false">IF(Data!I524="","",Data!I524)</f>
        <v>150</v>
      </c>
      <c r="J524" s="28" t="str">
        <f aca="false">IF(Data!J524="","",IFERROR(VLOOKUP(Data!J524,Codes!$A$29:$B$30,2,FALSE()),"Invalid ("&amp;Data!J524&amp;")"))</f>
        <v>No</v>
      </c>
      <c r="K524" s="21" t="n">
        <f aca="false">IF(Data!K524="","",Data!K524)</f>
        <v>0</v>
      </c>
      <c r="L524" s="28" t="str">
        <f aca="false">IF(Data!L524="","",IFERROR(VLOOKUP(Data!L524,Codes!$A$34:$B$36,2,FALSE()),"Invalid ("&amp;Data!L524&amp;")"))</f>
        <v/>
      </c>
      <c r="M524" s="20" t="str">
        <f aca="false">IF(Data!M524="","",Data!M524)</f>
        <v/>
      </c>
      <c r="N524" s="28" t="str">
        <f aca="false">IF(Data!N524="","",IFERROR(VLOOKUP(Data!N524,Codes!$A$47:$B$49,2,FALSE()),"Invalid ("&amp;Data!N524&amp;")"))</f>
        <v>Reversible defect</v>
      </c>
      <c r="O524" s="28" t="str">
        <f aca="false">IF(Data!O524="","",IFERROR(VLOOKUP(Data!O524,Codes!$A$53:$B$57,2,FALSE()),"Invalid ("&amp;Data!O524&amp;")"))</f>
        <v>No disease</v>
      </c>
      <c r="P524" s="22" t="str">
        <f aca="false">IF(Data!P524="","",IFERROR(VLOOKUP(Data!P524,Codes!$A$61:$B$64,2,FALSE()),"Invalid ("&amp;Data!P524&amp;")"))</f>
        <v>Hungarian Inst. of Cardiology, Budapest</v>
      </c>
    </row>
    <row r="525" customFormat="false" ht="15" hidden="false" customHeight="false" outlineLevel="0" collapsed="false">
      <c r="A525" s="19" t="n">
        <f aca="false">Data!A525</f>
        <v>524</v>
      </c>
      <c r="B525" s="20" t="n">
        <f aca="false">IF(Data!B525="","",Data!B525)</f>
        <v>29</v>
      </c>
      <c r="C525" s="28" t="str">
        <f aca="false">IF(Data!C525="","",IFERROR(VLOOKUP(Data!C525,Codes!$A$6:$B$7,2,FALSE()),"Invalid ("&amp;Data!C525&amp;")"))</f>
        <v>Male</v>
      </c>
      <c r="D525" s="28" t="str">
        <f aca="false">IF(Data!D525="","",IFERROR(VLOOKUP(Data!D525,Codes!$A$11:$B$14,2,FALSE()),"Invalid ("&amp;Data!D525&amp;")"))</f>
        <v>Atypical angina</v>
      </c>
      <c r="E525" s="20" t="n">
        <f aca="false">IF(Data!E525="","",Data!E525)</f>
        <v>140</v>
      </c>
      <c r="F525" s="20" t="str">
        <f aca="false">IF(Data!F525="","",Data!F525)</f>
        <v/>
      </c>
      <c r="G525" s="28" t="str">
        <f aca="false">IF(Data!G525="","",IFERROR(VLOOKUP(Data!G525,Codes!$A$18:$B$19,2,FALSE()),"Invalid ("&amp;Data!G525&amp;")"))</f>
        <v>No</v>
      </c>
      <c r="H525" s="28" t="str">
        <f aca="false">IF(Data!H525="","",IFERROR(VLOOKUP(Data!H525,Codes!$A$23:$B$25,2,FALSE()),"Invalid ("&amp;Data!H525&amp;")"))</f>
        <v>Normal</v>
      </c>
      <c r="I525" s="20" t="n">
        <f aca="false">IF(Data!I525="","",Data!I525)</f>
        <v>170</v>
      </c>
      <c r="J525" s="28" t="str">
        <f aca="false">IF(Data!J525="","",IFERROR(VLOOKUP(Data!J525,Codes!$A$29:$B$30,2,FALSE()),"Invalid ("&amp;Data!J525&amp;")"))</f>
        <v>No</v>
      </c>
      <c r="K525" s="21" t="n">
        <f aca="false">IF(Data!K525="","",Data!K525)</f>
        <v>0</v>
      </c>
      <c r="L525" s="28" t="str">
        <f aca="false">IF(Data!L525="","",IFERROR(VLOOKUP(Data!L525,Codes!$A$34:$B$36,2,FALSE()),"Invalid ("&amp;Data!L525&amp;")"))</f>
        <v/>
      </c>
      <c r="M525" s="20" t="str">
        <f aca="false">IF(Data!M525="","",Data!M525)</f>
        <v/>
      </c>
      <c r="N525" s="28" t="str">
        <f aca="false">IF(Data!N525="","",IFERROR(VLOOKUP(Data!N525,Codes!$A$47:$B$49,2,FALSE()),"Invalid ("&amp;Data!N525&amp;")"))</f>
        <v/>
      </c>
      <c r="O525" s="28" t="str">
        <f aca="false">IF(Data!O525="","",IFERROR(VLOOKUP(Data!O525,Codes!$A$53:$B$57,2,FALSE()),"Invalid ("&amp;Data!O525&amp;")"))</f>
        <v>No disease</v>
      </c>
      <c r="P525" s="22" t="str">
        <f aca="false">IF(Data!P525="","",IFERROR(VLOOKUP(Data!P525,Codes!$A$61:$B$64,2,FALSE()),"Invalid ("&amp;Data!P525&amp;")"))</f>
        <v>Hungarian Inst. of Cardiology, Budapest</v>
      </c>
    </row>
    <row r="526" customFormat="false" ht="15" hidden="false" customHeight="false" outlineLevel="0" collapsed="false">
      <c r="A526" s="19" t="n">
        <f aca="false">Data!A526</f>
        <v>525</v>
      </c>
      <c r="B526" s="20" t="n">
        <f aca="false">IF(Data!B526="","",Data!B526)</f>
        <v>46</v>
      </c>
      <c r="C526" s="28" t="str">
        <f aca="false">IF(Data!C526="","",IFERROR(VLOOKUP(Data!C526,Codes!$A$6:$B$7,2,FALSE()),"Invalid ("&amp;Data!C526&amp;")"))</f>
        <v>Male</v>
      </c>
      <c r="D526" s="28" t="str">
        <f aca="false">IF(Data!D526="","",IFERROR(VLOOKUP(Data!D526,Codes!$A$11:$B$14,2,FALSE()),"Invalid ("&amp;Data!D526&amp;")"))</f>
        <v>Asymptomatic</v>
      </c>
      <c r="E526" s="20" t="n">
        <f aca="false">IF(Data!E526="","",Data!E526)</f>
        <v>130</v>
      </c>
      <c r="F526" s="20" t="n">
        <f aca="false">IF(Data!F526="","",Data!F526)</f>
        <v>222</v>
      </c>
      <c r="G526" s="28" t="str">
        <f aca="false">IF(Data!G526="","",IFERROR(VLOOKUP(Data!G526,Codes!$A$18:$B$19,2,FALSE()),"Invalid ("&amp;Data!G526&amp;")"))</f>
        <v>No</v>
      </c>
      <c r="H526" s="28" t="str">
        <f aca="false">IF(Data!H526="","",IFERROR(VLOOKUP(Data!H526,Codes!$A$23:$B$25,2,FALSE()),"Invalid ("&amp;Data!H526&amp;")"))</f>
        <v>Normal</v>
      </c>
      <c r="I526" s="20" t="n">
        <f aca="false">IF(Data!I526="","",Data!I526)</f>
        <v>112</v>
      </c>
      <c r="J526" s="28" t="str">
        <f aca="false">IF(Data!J526="","",IFERROR(VLOOKUP(Data!J526,Codes!$A$29:$B$30,2,FALSE()),"Invalid ("&amp;Data!J526&amp;")"))</f>
        <v>No</v>
      </c>
      <c r="K526" s="21" t="n">
        <f aca="false">IF(Data!K526="","",Data!K526)</f>
        <v>0</v>
      </c>
      <c r="L526" s="28" t="str">
        <f aca="false">IF(Data!L526="","",IFERROR(VLOOKUP(Data!L526,Codes!$A$34:$B$36,2,FALSE()),"Invalid ("&amp;Data!L526&amp;")"))</f>
        <v/>
      </c>
      <c r="M526" s="20" t="str">
        <f aca="false">IF(Data!M526="","",Data!M526)</f>
        <v/>
      </c>
      <c r="N526" s="28" t="str">
        <f aca="false">IF(Data!N526="","",IFERROR(VLOOKUP(Data!N526,Codes!$A$47:$B$49,2,FALSE()),"Invalid ("&amp;Data!N526&amp;")"))</f>
        <v/>
      </c>
      <c r="O526" s="28" t="str">
        <f aca="false">IF(Data!O526="","",IFERROR(VLOOKUP(Data!O526,Codes!$A$53:$B$57,2,FALSE()),"Invalid ("&amp;Data!O526&amp;")"))</f>
        <v>Disease (2)</v>
      </c>
      <c r="P526" s="22" t="str">
        <f aca="false">IF(Data!P526="","",IFERROR(VLOOKUP(Data!P526,Codes!$A$61:$B$64,2,FALSE()),"Invalid ("&amp;Data!P526&amp;")"))</f>
        <v>Hungarian Inst. of Cardiology, Budapest</v>
      </c>
    </row>
    <row r="527" customFormat="false" ht="15" hidden="false" customHeight="false" outlineLevel="0" collapsed="false">
      <c r="A527" s="19" t="n">
        <f aca="false">Data!A527</f>
        <v>526</v>
      </c>
      <c r="B527" s="20" t="n">
        <f aca="false">IF(Data!B527="","",Data!B527)</f>
        <v>51</v>
      </c>
      <c r="C527" s="28" t="str">
        <f aca="false">IF(Data!C527="","",IFERROR(VLOOKUP(Data!C527,Codes!$A$6:$B$7,2,FALSE()),"Invalid ("&amp;Data!C527&amp;")"))</f>
        <v>Female</v>
      </c>
      <c r="D527" s="28" t="str">
        <f aca="false">IF(Data!D527="","",IFERROR(VLOOKUP(Data!D527,Codes!$A$11:$B$14,2,FALSE()),"Invalid ("&amp;Data!D527&amp;")"))</f>
        <v>Asymptomatic</v>
      </c>
      <c r="E527" s="20" t="n">
        <f aca="false">IF(Data!E527="","",Data!E527)</f>
        <v>160</v>
      </c>
      <c r="F527" s="20" t="n">
        <f aca="false">IF(Data!F527="","",Data!F527)</f>
        <v>303</v>
      </c>
      <c r="G527" s="28" t="str">
        <f aca="false">IF(Data!G527="","",IFERROR(VLOOKUP(Data!G527,Codes!$A$18:$B$19,2,FALSE()),"Invalid ("&amp;Data!G527&amp;")"))</f>
        <v>No</v>
      </c>
      <c r="H527" s="28" t="str">
        <f aca="false">IF(Data!H527="","",IFERROR(VLOOKUP(Data!H527,Codes!$A$23:$B$25,2,FALSE()),"Invalid ("&amp;Data!H527&amp;")"))</f>
        <v>Normal</v>
      </c>
      <c r="I527" s="20" t="n">
        <f aca="false">IF(Data!I527="","",Data!I527)</f>
        <v>150</v>
      </c>
      <c r="J527" s="28" t="str">
        <f aca="false">IF(Data!J527="","",IFERROR(VLOOKUP(Data!J527,Codes!$A$29:$B$30,2,FALSE()),"Invalid ("&amp;Data!J527&amp;")"))</f>
        <v>Yes</v>
      </c>
      <c r="K527" s="21" t="n">
        <f aca="false">IF(Data!K527="","",Data!K527)</f>
        <v>1</v>
      </c>
      <c r="L527" s="28" t="str">
        <f aca="false">IF(Data!L527="","",IFERROR(VLOOKUP(Data!L527,Codes!$A$34:$B$36,2,FALSE()),"Invalid ("&amp;Data!L527&amp;")"))</f>
        <v>Flat</v>
      </c>
      <c r="M527" s="20" t="str">
        <f aca="false">IF(Data!M527="","",Data!M527)</f>
        <v/>
      </c>
      <c r="N527" s="28" t="str">
        <f aca="false">IF(Data!N527="","",IFERROR(VLOOKUP(Data!N527,Codes!$A$47:$B$49,2,FALSE()),"Invalid ("&amp;Data!N527&amp;")"))</f>
        <v/>
      </c>
      <c r="O527" s="28" t="str">
        <f aca="false">IF(Data!O527="","",IFERROR(VLOOKUP(Data!O527,Codes!$A$53:$B$57,2,FALSE()),"Invalid ("&amp;Data!O527&amp;")"))</f>
        <v>Disease (1)</v>
      </c>
      <c r="P527" s="22" t="str">
        <f aca="false">IF(Data!P527="","",IFERROR(VLOOKUP(Data!P527,Codes!$A$61:$B$64,2,FALSE()),"Invalid ("&amp;Data!P527&amp;")"))</f>
        <v>Hungarian Inst. of Cardiology, Budapest</v>
      </c>
    </row>
    <row r="528" customFormat="false" ht="15" hidden="false" customHeight="false" outlineLevel="0" collapsed="false">
      <c r="A528" s="19" t="n">
        <f aca="false">Data!A528</f>
        <v>527</v>
      </c>
      <c r="B528" s="20" t="n">
        <f aca="false">IF(Data!B528="","",Data!B528)</f>
        <v>48</v>
      </c>
      <c r="C528" s="28" t="str">
        <f aca="false">IF(Data!C528="","",IFERROR(VLOOKUP(Data!C528,Codes!$A$6:$B$7,2,FALSE()),"Invalid ("&amp;Data!C528&amp;")"))</f>
        <v>Female</v>
      </c>
      <c r="D528" s="28" t="str">
        <f aca="false">IF(Data!D528="","",IFERROR(VLOOKUP(Data!D528,Codes!$A$11:$B$14,2,FALSE()),"Invalid ("&amp;Data!D528&amp;")"))</f>
        <v>Non-anginal pain</v>
      </c>
      <c r="E528" s="20" t="n">
        <f aca="false">IF(Data!E528="","",Data!E528)</f>
        <v>120</v>
      </c>
      <c r="F528" s="20" t="n">
        <f aca="false">IF(Data!F528="","",Data!F528)</f>
        <v>195</v>
      </c>
      <c r="G528" s="28" t="str">
        <f aca="false">IF(Data!G528="","",IFERROR(VLOOKUP(Data!G528,Codes!$A$18:$B$19,2,FALSE()),"Invalid ("&amp;Data!G528&amp;")"))</f>
        <v>No</v>
      </c>
      <c r="H528" s="28" t="str">
        <f aca="false">IF(Data!H528="","",IFERROR(VLOOKUP(Data!H528,Codes!$A$23:$B$25,2,FALSE()),"Invalid ("&amp;Data!H528&amp;")"))</f>
        <v>Normal</v>
      </c>
      <c r="I528" s="20" t="n">
        <f aca="false">IF(Data!I528="","",Data!I528)</f>
        <v>125</v>
      </c>
      <c r="J528" s="28" t="str">
        <f aca="false">IF(Data!J528="","",IFERROR(VLOOKUP(Data!J528,Codes!$A$29:$B$30,2,FALSE()),"Invalid ("&amp;Data!J528&amp;")"))</f>
        <v>No</v>
      </c>
      <c r="K528" s="21" t="n">
        <f aca="false">IF(Data!K528="","",Data!K528)</f>
        <v>0</v>
      </c>
      <c r="L528" s="28" t="str">
        <f aca="false">IF(Data!L528="","",IFERROR(VLOOKUP(Data!L528,Codes!$A$34:$B$36,2,FALSE()),"Invalid ("&amp;Data!L528&amp;")"))</f>
        <v/>
      </c>
      <c r="M528" s="20" t="str">
        <f aca="false">IF(Data!M528="","",Data!M528)</f>
        <v/>
      </c>
      <c r="N528" s="28" t="str">
        <f aca="false">IF(Data!N528="","",IFERROR(VLOOKUP(Data!N528,Codes!$A$47:$B$49,2,FALSE()),"Invalid ("&amp;Data!N528&amp;")"))</f>
        <v/>
      </c>
      <c r="O528" s="28" t="str">
        <f aca="false">IF(Data!O528="","",IFERROR(VLOOKUP(Data!O528,Codes!$A$53:$B$57,2,FALSE()),"Invalid ("&amp;Data!O528&amp;")"))</f>
        <v>No disease</v>
      </c>
      <c r="P528" s="22" t="str">
        <f aca="false">IF(Data!P528="","",IFERROR(VLOOKUP(Data!P528,Codes!$A$61:$B$64,2,FALSE()),"Invalid ("&amp;Data!P528&amp;")"))</f>
        <v>Hungarian Inst. of Cardiology, Budapest</v>
      </c>
    </row>
    <row r="529" customFormat="false" ht="15" hidden="false" customHeight="false" outlineLevel="0" collapsed="false">
      <c r="A529" s="19" t="n">
        <f aca="false">Data!A529</f>
        <v>528</v>
      </c>
      <c r="B529" s="20" t="n">
        <f aca="false">IF(Data!B529="","",Data!B529)</f>
        <v>33</v>
      </c>
      <c r="C529" s="28" t="str">
        <f aca="false">IF(Data!C529="","",IFERROR(VLOOKUP(Data!C529,Codes!$A$6:$B$7,2,FALSE()),"Invalid ("&amp;Data!C529&amp;")"))</f>
        <v>Male</v>
      </c>
      <c r="D529" s="28" t="str">
        <f aca="false">IF(Data!D529="","",IFERROR(VLOOKUP(Data!D529,Codes!$A$11:$B$14,2,FALSE()),"Invalid ("&amp;Data!D529&amp;")"))</f>
        <v>Non-anginal pain</v>
      </c>
      <c r="E529" s="20" t="n">
        <f aca="false">IF(Data!E529="","",Data!E529)</f>
        <v>120</v>
      </c>
      <c r="F529" s="20" t="n">
        <f aca="false">IF(Data!F529="","",Data!F529)</f>
        <v>298</v>
      </c>
      <c r="G529" s="28" t="str">
        <f aca="false">IF(Data!G529="","",IFERROR(VLOOKUP(Data!G529,Codes!$A$18:$B$19,2,FALSE()),"Invalid ("&amp;Data!G529&amp;")"))</f>
        <v>No</v>
      </c>
      <c r="H529" s="28" t="str">
        <f aca="false">IF(Data!H529="","",IFERROR(VLOOKUP(Data!H529,Codes!$A$23:$B$25,2,FALSE()),"Invalid ("&amp;Data!H529&amp;")"))</f>
        <v>Normal</v>
      </c>
      <c r="I529" s="20" t="n">
        <f aca="false">IF(Data!I529="","",Data!I529)</f>
        <v>185</v>
      </c>
      <c r="J529" s="28" t="str">
        <f aca="false">IF(Data!J529="","",IFERROR(VLOOKUP(Data!J529,Codes!$A$29:$B$30,2,FALSE()),"Invalid ("&amp;Data!J529&amp;")"))</f>
        <v>No</v>
      </c>
      <c r="K529" s="21" t="n">
        <f aca="false">IF(Data!K529="","",Data!K529)</f>
        <v>0</v>
      </c>
      <c r="L529" s="28" t="str">
        <f aca="false">IF(Data!L529="","",IFERROR(VLOOKUP(Data!L529,Codes!$A$34:$B$36,2,FALSE()),"Invalid ("&amp;Data!L529&amp;")"))</f>
        <v/>
      </c>
      <c r="M529" s="20" t="str">
        <f aca="false">IF(Data!M529="","",Data!M529)</f>
        <v/>
      </c>
      <c r="N529" s="28" t="str">
        <f aca="false">IF(Data!N529="","",IFERROR(VLOOKUP(Data!N529,Codes!$A$47:$B$49,2,FALSE()),"Invalid ("&amp;Data!N529&amp;")"))</f>
        <v/>
      </c>
      <c r="O529" s="28" t="str">
        <f aca="false">IF(Data!O529="","",IFERROR(VLOOKUP(Data!O529,Codes!$A$53:$B$57,2,FALSE()),"Invalid ("&amp;Data!O529&amp;")"))</f>
        <v>No disease</v>
      </c>
      <c r="P529" s="22" t="str">
        <f aca="false">IF(Data!P529="","",IFERROR(VLOOKUP(Data!P529,Codes!$A$61:$B$64,2,FALSE()),"Invalid ("&amp;Data!P529&amp;")"))</f>
        <v>Hungarian Inst. of Cardiology, Budapest</v>
      </c>
    </row>
    <row r="530" customFormat="false" ht="15" hidden="false" customHeight="false" outlineLevel="0" collapsed="false">
      <c r="A530" s="19" t="n">
        <f aca="false">Data!A530</f>
        <v>529</v>
      </c>
      <c r="B530" s="20" t="n">
        <f aca="false">IF(Data!B530="","",Data!B530)</f>
        <v>55</v>
      </c>
      <c r="C530" s="28" t="str">
        <f aca="false">IF(Data!C530="","",IFERROR(VLOOKUP(Data!C530,Codes!$A$6:$B$7,2,FALSE()),"Invalid ("&amp;Data!C530&amp;")"))</f>
        <v>Male</v>
      </c>
      <c r="D530" s="28" t="str">
        <f aca="false">IF(Data!D530="","",IFERROR(VLOOKUP(Data!D530,Codes!$A$11:$B$14,2,FALSE()),"Invalid ("&amp;Data!D530&amp;")"))</f>
        <v>Atypical angina</v>
      </c>
      <c r="E530" s="20" t="n">
        <f aca="false">IF(Data!E530="","",Data!E530)</f>
        <v>120</v>
      </c>
      <c r="F530" s="20" t="n">
        <f aca="false">IF(Data!F530="","",Data!F530)</f>
        <v>256</v>
      </c>
      <c r="G530" s="28" t="str">
        <f aca="false">IF(Data!G530="","",IFERROR(VLOOKUP(Data!G530,Codes!$A$18:$B$19,2,FALSE()),"Invalid ("&amp;Data!G530&amp;")"))</f>
        <v>Yes</v>
      </c>
      <c r="H530" s="28" t="str">
        <f aca="false">IF(Data!H530="","",IFERROR(VLOOKUP(Data!H530,Codes!$A$23:$B$25,2,FALSE()),"Invalid ("&amp;Data!H530&amp;")"))</f>
        <v>Normal</v>
      </c>
      <c r="I530" s="20" t="n">
        <f aca="false">IF(Data!I530="","",Data!I530)</f>
        <v>137</v>
      </c>
      <c r="J530" s="28" t="str">
        <f aca="false">IF(Data!J530="","",IFERROR(VLOOKUP(Data!J530,Codes!$A$29:$B$30,2,FALSE()),"Invalid ("&amp;Data!J530&amp;")"))</f>
        <v>No</v>
      </c>
      <c r="K530" s="21" t="n">
        <f aca="false">IF(Data!K530="","",Data!K530)</f>
        <v>0</v>
      </c>
      <c r="L530" s="28" t="str">
        <f aca="false">IF(Data!L530="","",IFERROR(VLOOKUP(Data!L530,Codes!$A$34:$B$36,2,FALSE()),"Invalid ("&amp;Data!L530&amp;")"))</f>
        <v/>
      </c>
      <c r="M530" s="20" t="str">
        <f aca="false">IF(Data!M530="","",Data!M530)</f>
        <v/>
      </c>
      <c r="N530" s="28" t="str">
        <f aca="false">IF(Data!N530="","",IFERROR(VLOOKUP(Data!N530,Codes!$A$47:$B$49,2,FALSE()),"Invalid ("&amp;Data!N530&amp;")"))</f>
        <v>Reversible defect</v>
      </c>
      <c r="O530" s="28" t="str">
        <f aca="false">IF(Data!O530="","",IFERROR(VLOOKUP(Data!O530,Codes!$A$53:$B$57,2,FALSE()),"Invalid ("&amp;Data!O530&amp;")"))</f>
        <v>No disease</v>
      </c>
      <c r="P530" s="22" t="str">
        <f aca="false">IF(Data!P530="","",IFERROR(VLOOKUP(Data!P530,Codes!$A$61:$B$64,2,FALSE()),"Invalid ("&amp;Data!P530&amp;")"))</f>
        <v>Hungarian Inst. of Cardiology, Budapest</v>
      </c>
    </row>
    <row r="531" customFormat="false" ht="15" hidden="false" customHeight="false" outlineLevel="0" collapsed="false">
      <c r="A531" s="19" t="n">
        <f aca="false">Data!A531</f>
        <v>530</v>
      </c>
      <c r="B531" s="20" t="n">
        <f aca="false">IF(Data!B531="","",Data!B531)</f>
        <v>50</v>
      </c>
      <c r="C531" s="28" t="str">
        <f aca="false">IF(Data!C531="","",IFERROR(VLOOKUP(Data!C531,Codes!$A$6:$B$7,2,FALSE()),"Invalid ("&amp;Data!C531&amp;")"))</f>
        <v>Male</v>
      </c>
      <c r="D531" s="28" t="str">
        <f aca="false">IF(Data!D531="","",IFERROR(VLOOKUP(Data!D531,Codes!$A$11:$B$14,2,FALSE()),"Invalid ("&amp;Data!D531&amp;")"))</f>
        <v>Asymptomatic</v>
      </c>
      <c r="E531" s="20" t="n">
        <f aca="false">IF(Data!E531="","",Data!E531)</f>
        <v>145</v>
      </c>
      <c r="F531" s="20" t="n">
        <f aca="false">IF(Data!F531="","",Data!F531)</f>
        <v>264</v>
      </c>
      <c r="G531" s="28" t="str">
        <f aca="false">IF(Data!G531="","",IFERROR(VLOOKUP(Data!G531,Codes!$A$18:$B$19,2,FALSE()),"Invalid ("&amp;Data!G531&amp;")"))</f>
        <v>No</v>
      </c>
      <c r="H531" s="28" t="str">
        <f aca="false">IF(Data!H531="","",IFERROR(VLOOKUP(Data!H531,Codes!$A$23:$B$25,2,FALSE()),"Invalid ("&amp;Data!H531&amp;")"))</f>
        <v>Normal</v>
      </c>
      <c r="I531" s="20" t="n">
        <f aca="false">IF(Data!I531="","",Data!I531)</f>
        <v>150</v>
      </c>
      <c r="J531" s="28" t="str">
        <f aca="false">IF(Data!J531="","",IFERROR(VLOOKUP(Data!J531,Codes!$A$29:$B$30,2,FALSE()),"Invalid ("&amp;Data!J531&amp;")"))</f>
        <v>No</v>
      </c>
      <c r="K531" s="21" t="n">
        <f aca="false">IF(Data!K531="","",Data!K531)</f>
        <v>0</v>
      </c>
      <c r="L531" s="28" t="str">
        <f aca="false">IF(Data!L531="","",IFERROR(VLOOKUP(Data!L531,Codes!$A$34:$B$36,2,FALSE()),"Invalid ("&amp;Data!L531&amp;")"))</f>
        <v/>
      </c>
      <c r="M531" s="20" t="str">
        <f aca="false">IF(Data!M531="","",Data!M531)</f>
        <v/>
      </c>
      <c r="N531" s="28" t="str">
        <f aca="false">IF(Data!N531="","",IFERROR(VLOOKUP(Data!N531,Codes!$A$47:$B$49,2,FALSE()),"Invalid ("&amp;Data!N531&amp;")"))</f>
        <v/>
      </c>
      <c r="O531" s="28" t="str">
        <f aca="false">IF(Data!O531="","",IFERROR(VLOOKUP(Data!O531,Codes!$A$53:$B$57,2,FALSE()),"Invalid ("&amp;Data!O531&amp;")"))</f>
        <v>Disease (1)</v>
      </c>
      <c r="P531" s="22" t="str">
        <f aca="false">IF(Data!P531="","",IFERROR(VLOOKUP(Data!P531,Codes!$A$61:$B$64,2,FALSE()),"Invalid ("&amp;Data!P531&amp;")"))</f>
        <v>Hungarian Inst. of Cardiology, Budapest</v>
      </c>
    </row>
    <row r="532" customFormat="false" ht="15" hidden="false" customHeight="false" outlineLevel="0" collapsed="false">
      <c r="A532" s="19" t="n">
        <f aca="false">Data!A532</f>
        <v>531</v>
      </c>
      <c r="B532" s="20" t="n">
        <f aca="false">IF(Data!B532="","",Data!B532)</f>
        <v>53</v>
      </c>
      <c r="C532" s="28" t="str">
        <f aca="false">IF(Data!C532="","",IFERROR(VLOOKUP(Data!C532,Codes!$A$6:$B$7,2,FALSE()),"Invalid ("&amp;Data!C532&amp;")"))</f>
        <v>Male</v>
      </c>
      <c r="D532" s="28" t="str">
        <f aca="false">IF(Data!D532="","",IFERROR(VLOOKUP(Data!D532,Codes!$A$11:$B$14,2,FALSE()),"Invalid ("&amp;Data!D532&amp;")"))</f>
        <v>Non-anginal pain</v>
      </c>
      <c r="E532" s="20" t="n">
        <f aca="false">IF(Data!E532="","",Data!E532)</f>
        <v>120</v>
      </c>
      <c r="F532" s="20" t="n">
        <f aca="false">IF(Data!F532="","",Data!F532)</f>
        <v>195</v>
      </c>
      <c r="G532" s="28" t="str">
        <f aca="false">IF(Data!G532="","",IFERROR(VLOOKUP(Data!G532,Codes!$A$18:$B$19,2,FALSE()),"Invalid ("&amp;Data!G532&amp;")"))</f>
        <v>No</v>
      </c>
      <c r="H532" s="28" t="str">
        <f aca="false">IF(Data!H532="","",IFERROR(VLOOKUP(Data!H532,Codes!$A$23:$B$25,2,FALSE()),"Invalid ("&amp;Data!H532&amp;")"))</f>
        <v>Normal</v>
      </c>
      <c r="I532" s="20" t="n">
        <f aca="false">IF(Data!I532="","",Data!I532)</f>
        <v>140</v>
      </c>
      <c r="J532" s="28" t="str">
        <f aca="false">IF(Data!J532="","",IFERROR(VLOOKUP(Data!J532,Codes!$A$29:$B$30,2,FALSE()),"Invalid ("&amp;Data!J532&amp;")"))</f>
        <v>No</v>
      </c>
      <c r="K532" s="21" t="n">
        <f aca="false">IF(Data!K532="","",Data!K532)</f>
        <v>0</v>
      </c>
      <c r="L532" s="28" t="str">
        <f aca="false">IF(Data!L532="","",IFERROR(VLOOKUP(Data!L532,Codes!$A$34:$B$36,2,FALSE()),"Invalid ("&amp;Data!L532&amp;")"))</f>
        <v/>
      </c>
      <c r="M532" s="20" t="str">
        <f aca="false">IF(Data!M532="","",Data!M532)</f>
        <v/>
      </c>
      <c r="N532" s="28" t="str">
        <f aca="false">IF(Data!N532="","",IFERROR(VLOOKUP(Data!N532,Codes!$A$47:$B$49,2,FALSE()),"Invalid ("&amp;Data!N532&amp;")"))</f>
        <v/>
      </c>
      <c r="O532" s="28" t="str">
        <f aca="false">IF(Data!O532="","",IFERROR(VLOOKUP(Data!O532,Codes!$A$53:$B$57,2,FALSE()),"Invalid ("&amp;Data!O532&amp;")"))</f>
        <v>No disease</v>
      </c>
      <c r="P532" s="22" t="str">
        <f aca="false">IF(Data!P532="","",IFERROR(VLOOKUP(Data!P532,Codes!$A$61:$B$64,2,FALSE()),"Invalid ("&amp;Data!P532&amp;")"))</f>
        <v>Hungarian Inst. of Cardiology, Budapest</v>
      </c>
    </row>
    <row r="533" customFormat="false" ht="15" hidden="false" customHeight="false" outlineLevel="0" collapsed="false">
      <c r="A533" s="19" t="n">
        <f aca="false">Data!A533</f>
        <v>532</v>
      </c>
      <c r="B533" s="20" t="n">
        <f aca="false">IF(Data!B533="","",Data!B533)</f>
        <v>38</v>
      </c>
      <c r="C533" s="28" t="str">
        <f aca="false">IF(Data!C533="","",IFERROR(VLOOKUP(Data!C533,Codes!$A$6:$B$7,2,FALSE()),"Invalid ("&amp;Data!C533&amp;")"))</f>
        <v>Male</v>
      </c>
      <c r="D533" s="28" t="str">
        <f aca="false">IF(Data!D533="","",IFERROR(VLOOKUP(Data!D533,Codes!$A$11:$B$14,2,FALSE()),"Invalid ("&amp;Data!D533&amp;")"))</f>
        <v>Asymptomatic</v>
      </c>
      <c r="E533" s="20" t="n">
        <f aca="false">IF(Data!E533="","",Data!E533)</f>
        <v>92</v>
      </c>
      <c r="F533" s="20" t="n">
        <f aca="false">IF(Data!F533="","",Data!F533)</f>
        <v>117</v>
      </c>
      <c r="G533" s="28" t="str">
        <f aca="false">IF(Data!G533="","",IFERROR(VLOOKUP(Data!G533,Codes!$A$18:$B$19,2,FALSE()),"Invalid ("&amp;Data!G533&amp;")"))</f>
        <v>No</v>
      </c>
      <c r="H533" s="28" t="str">
        <f aca="false">IF(Data!H533="","",IFERROR(VLOOKUP(Data!H533,Codes!$A$23:$B$25,2,FALSE()),"Invalid ("&amp;Data!H533&amp;")"))</f>
        <v>Normal</v>
      </c>
      <c r="I533" s="20" t="n">
        <f aca="false">IF(Data!I533="","",Data!I533)</f>
        <v>134</v>
      </c>
      <c r="J533" s="28" t="str">
        <f aca="false">IF(Data!J533="","",IFERROR(VLOOKUP(Data!J533,Codes!$A$29:$B$30,2,FALSE()),"Invalid ("&amp;Data!J533&amp;")"))</f>
        <v>Yes</v>
      </c>
      <c r="K533" s="21" t="n">
        <f aca="false">IF(Data!K533="","",Data!K533)</f>
        <v>2.5</v>
      </c>
      <c r="L533" s="28" t="str">
        <f aca="false">IF(Data!L533="","",IFERROR(VLOOKUP(Data!L533,Codes!$A$34:$B$36,2,FALSE()),"Invalid ("&amp;Data!L533&amp;")"))</f>
        <v>Flat</v>
      </c>
      <c r="M533" s="20" t="str">
        <f aca="false">IF(Data!M533="","",Data!M533)</f>
        <v/>
      </c>
      <c r="N533" s="28" t="str">
        <f aca="false">IF(Data!N533="","",IFERROR(VLOOKUP(Data!N533,Codes!$A$47:$B$49,2,FALSE()),"Invalid ("&amp;Data!N533&amp;")"))</f>
        <v/>
      </c>
      <c r="O533" s="28" t="str">
        <f aca="false">IF(Data!O533="","",IFERROR(VLOOKUP(Data!O533,Codes!$A$53:$B$57,2,FALSE()),"Invalid ("&amp;Data!O533&amp;")"))</f>
        <v>Disease (1)</v>
      </c>
      <c r="P533" s="22" t="str">
        <f aca="false">IF(Data!P533="","",IFERROR(VLOOKUP(Data!P533,Codes!$A$61:$B$64,2,FALSE()),"Invalid ("&amp;Data!P533&amp;")"))</f>
        <v>Hungarian Inst. of Cardiology, Budapest</v>
      </c>
    </row>
    <row r="534" customFormat="false" ht="15" hidden="false" customHeight="false" outlineLevel="0" collapsed="false">
      <c r="A534" s="19" t="n">
        <f aca="false">Data!A534</f>
        <v>533</v>
      </c>
      <c r="B534" s="20" t="n">
        <f aca="false">IF(Data!B534="","",Data!B534)</f>
        <v>41</v>
      </c>
      <c r="C534" s="28" t="str">
        <f aca="false">IF(Data!C534="","",IFERROR(VLOOKUP(Data!C534,Codes!$A$6:$B$7,2,FALSE()),"Invalid ("&amp;Data!C534&amp;")"))</f>
        <v>Male</v>
      </c>
      <c r="D534" s="28" t="str">
        <f aca="false">IF(Data!D534="","",IFERROR(VLOOKUP(Data!D534,Codes!$A$11:$B$14,2,FALSE()),"Invalid ("&amp;Data!D534&amp;")"))</f>
        <v>Atypical angina</v>
      </c>
      <c r="E534" s="20" t="n">
        <f aca="false">IF(Data!E534="","",Data!E534)</f>
        <v>120</v>
      </c>
      <c r="F534" s="20" t="n">
        <f aca="false">IF(Data!F534="","",Data!F534)</f>
        <v>295</v>
      </c>
      <c r="G534" s="28" t="str">
        <f aca="false">IF(Data!G534="","",IFERROR(VLOOKUP(Data!G534,Codes!$A$18:$B$19,2,FALSE()),"Invalid ("&amp;Data!G534&amp;")"))</f>
        <v>No</v>
      </c>
      <c r="H534" s="28" t="str">
        <f aca="false">IF(Data!H534="","",IFERROR(VLOOKUP(Data!H534,Codes!$A$23:$B$25,2,FALSE()),"Invalid ("&amp;Data!H534&amp;")"))</f>
        <v>Normal</v>
      </c>
      <c r="I534" s="20" t="n">
        <f aca="false">IF(Data!I534="","",Data!I534)</f>
        <v>170</v>
      </c>
      <c r="J534" s="28" t="str">
        <f aca="false">IF(Data!J534="","",IFERROR(VLOOKUP(Data!J534,Codes!$A$29:$B$30,2,FALSE()),"Invalid ("&amp;Data!J534&amp;")"))</f>
        <v>No</v>
      </c>
      <c r="K534" s="21" t="n">
        <f aca="false">IF(Data!K534="","",Data!K534)</f>
        <v>0</v>
      </c>
      <c r="L534" s="28" t="str">
        <f aca="false">IF(Data!L534="","",IFERROR(VLOOKUP(Data!L534,Codes!$A$34:$B$36,2,FALSE()),"Invalid ("&amp;Data!L534&amp;")"))</f>
        <v/>
      </c>
      <c r="M534" s="20" t="str">
        <f aca="false">IF(Data!M534="","",Data!M534)</f>
        <v/>
      </c>
      <c r="N534" s="28" t="str">
        <f aca="false">IF(Data!N534="","",IFERROR(VLOOKUP(Data!N534,Codes!$A$47:$B$49,2,FALSE()),"Invalid ("&amp;Data!N534&amp;")"))</f>
        <v/>
      </c>
      <c r="O534" s="28" t="str">
        <f aca="false">IF(Data!O534="","",IFERROR(VLOOKUP(Data!O534,Codes!$A$53:$B$57,2,FALSE()),"Invalid ("&amp;Data!O534&amp;")"))</f>
        <v>No disease</v>
      </c>
      <c r="P534" s="22" t="str">
        <f aca="false">IF(Data!P534="","",IFERROR(VLOOKUP(Data!P534,Codes!$A$61:$B$64,2,FALSE()),"Invalid ("&amp;Data!P534&amp;")"))</f>
        <v>Hungarian Inst. of Cardiology, Budapest</v>
      </c>
    </row>
    <row r="535" customFormat="false" ht="15" hidden="false" customHeight="false" outlineLevel="0" collapsed="false">
      <c r="A535" s="19" t="n">
        <f aca="false">Data!A535</f>
        <v>534</v>
      </c>
      <c r="B535" s="20" t="n">
        <f aca="false">IF(Data!B535="","",Data!B535)</f>
        <v>37</v>
      </c>
      <c r="C535" s="28" t="str">
        <f aca="false">IF(Data!C535="","",IFERROR(VLOOKUP(Data!C535,Codes!$A$6:$B$7,2,FALSE()),"Invalid ("&amp;Data!C535&amp;")"))</f>
        <v>Female</v>
      </c>
      <c r="D535" s="28" t="str">
        <f aca="false">IF(Data!D535="","",IFERROR(VLOOKUP(Data!D535,Codes!$A$11:$B$14,2,FALSE()),"Invalid ("&amp;Data!D535&amp;")"))</f>
        <v>Asymptomatic</v>
      </c>
      <c r="E535" s="20" t="n">
        <f aca="false">IF(Data!E535="","",Data!E535)</f>
        <v>130</v>
      </c>
      <c r="F535" s="20" t="n">
        <f aca="false">IF(Data!F535="","",Data!F535)</f>
        <v>173</v>
      </c>
      <c r="G535" s="28" t="str">
        <f aca="false">IF(Data!G535="","",IFERROR(VLOOKUP(Data!G535,Codes!$A$18:$B$19,2,FALSE()),"Invalid ("&amp;Data!G535&amp;")"))</f>
        <v>No</v>
      </c>
      <c r="H535" s="28" t="str">
        <f aca="false">IF(Data!H535="","",IFERROR(VLOOKUP(Data!H535,Codes!$A$23:$B$25,2,FALSE()),"Invalid ("&amp;Data!H535&amp;")"))</f>
        <v>ST-T wave abnormality</v>
      </c>
      <c r="I535" s="20" t="n">
        <f aca="false">IF(Data!I535="","",Data!I535)</f>
        <v>184</v>
      </c>
      <c r="J535" s="28" t="str">
        <f aca="false">IF(Data!J535="","",IFERROR(VLOOKUP(Data!J535,Codes!$A$29:$B$30,2,FALSE()),"Invalid ("&amp;Data!J535&amp;")"))</f>
        <v>No</v>
      </c>
      <c r="K535" s="21" t="n">
        <f aca="false">IF(Data!K535="","",Data!K535)</f>
        <v>0</v>
      </c>
      <c r="L535" s="28" t="str">
        <f aca="false">IF(Data!L535="","",IFERROR(VLOOKUP(Data!L535,Codes!$A$34:$B$36,2,FALSE()),"Invalid ("&amp;Data!L535&amp;")"))</f>
        <v/>
      </c>
      <c r="M535" s="20" t="str">
        <f aca="false">IF(Data!M535="","",Data!M535)</f>
        <v/>
      </c>
      <c r="N535" s="28" t="str">
        <f aca="false">IF(Data!N535="","",IFERROR(VLOOKUP(Data!N535,Codes!$A$47:$B$49,2,FALSE()),"Invalid ("&amp;Data!N535&amp;")"))</f>
        <v/>
      </c>
      <c r="O535" s="28" t="str">
        <f aca="false">IF(Data!O535="","",IFERROR(VLOOKUP(Data!O535,Codes!$A$53:$B$57,2,FALSE()),"Invalid ("&amp;Data!O535&amp;")"))</f>
        <v>No disease</v>
      </c>
      <c r="P535" s="22" t="str">
        <f aca="false">IF(Data!P535="","",IFERROR(VLOOKUP(Data!P535,Codes!$A$61:$B$64,2,FALSE()),"Invalid ("&amp;Data!P535&amp;")"))</f>
        <v>Hungarian Inst. of Cardiology, Budapest</v>
      </c>
    </row>
    <row r="536" customFormat="false" ht="15" hidden="false" customHeight="false" outlineLevel="0" collapsed="false">
      <c r="A536" s="19" t="n">
        <f aca="false">Data!A536</f>
        <v>535</v>
      </c>
      <c r="B536" s="20" t="n">
        <f aca="false">IF(Data!B536="","",Data!B536)</f>
        <v>37</v>
      </c>
      <c r="C536" s="28" t="str">
        <f aca="false">IF(Data!C536="","",IFERROR(VLOOKUP(Data!C536,Codes!$A$6:$B$7,2,FALSE()),"Invalid ("&amp;Data!C536&amp;")"))</f>
        <v>Male</v>
      </c>
      <c r="D536" s="28" t="str">
        <f aca="false">IF(Data!D536="","",IFERROR(VLOOKUP(Data!D536,Codes!$A$11:$B$14,2,FALSE()),"Invalid ("&amp;Data!D536&amp;")"))</f>
        <v>Asymptomatic</v>
      </c>
      <c r="E536" s="20" t="n">
        <f aca="false">IF(Data!E536="","",Data!E536)</f>
        <v>130</v>
      </c>
      <c r="F536" s="20" t="n">
        <f aca="false">IF(Data!F536="","",Data!F536)</f>
        <v>315</v>
      </c>
      <c r="G536" s="28" t="str">
        <f aca="false">IF(Data!G536="","",IFERROR(VLOOKUP(Data!G536,Codes!$A$18:$B$19,2,FALSE()),"Invalid ("&amp;Data!G536&amp;")"))</f>
        <v>No</v>
      </c>
      <c r="H536" s="28" t="str">
        <f aca="false">IF(Data!H536="","",IFERROR(VLOOKUP(Data!H536,Codes!$A$23:$B$25,2,FALSE()),"Invalid ("&amp;Data!H536&amp;")"))</f>
        <v>Normal</v>
      </c>
      <c r="I536" s="20" t="n">
        <f aca="false">IF(Data!I536="","",Data!I536)</f>
        <v>158</v>
      </c>
      <c r="J536" s="28" t="str">
        <f aca="false">IF(Data!J536="","",IFERROR(VLOOKUP(Data!J536,Codes!$A$29:$B$30,2,FALSE()),"Invalid ("&amp;Data!J536&amp;")"))</f>
        <v>No</v>
      </c>
      <c r="K536" s="21" t="n">
        <f aca="false">IF(Data!K536="","",Data!K536)</f>
        <v>0</v>
      </c>
      <c r="L536" s="28" t="str">
        <f aca="false">IF(Data!L536="","",IFERROR(VLOOKUP(Data!L536,Codes!$A$34:$B$36,2,FALSE()),"Invalid ("&amp;Data!L536&amp;")"))</f>
        <v/>
      </c>
      <c r="M536" s="20" t="str">
        <f aca="false">IF(Data!M536="","",Data!M536)</f>
        <v/>
      </c>
      <c r="N536" s="28" t="str">
        <f aca="false">IF(Data!N536="","",IFERROR(VLOOKUP(Data!N536,Codes!$A$47:$B$49,2,FALSE()),"Invalid ("&amp;Data!N536&amp;")"))</f>
        <v/>
      </c>
      <c r="O536" s="28" t="str">
        <f aca="false">IF(Data!O536="","",IFERROR(VLOOKUP(Data!O536,Codes!$A$53:$B$57,2,FALSE()),"Invalid ("&amp;Data!O536&amp;")"))</f>
        <v>No disease</v>
      </c>
      <c r="P536" s="22" t="str">
        <f aca="false">IF(Data!P536="","",IFERROR(VLOOKUP(Data!P536,Codes!$A$61:$B$64,2,FALSE()),"Invalid ("&amp;Data!P536&amp;")"))</f>
        <v>Hungarian Inst. of Cardiology, Budapest</v>
      </c>
    </row>
    <row r="537" customFormat="false" ht="15" hidden="false" customHeight="false" outlineLevel="0" collapsed="false">
      <c r="A537" s="19" t="n">
        <f aca="false">Data!A537</f>
        <v>536</v>
      </c>
      <c r="B537" s="20" t="n">
        <f aca="false">IF(Data!B537="","",Data!B537)</f>
        <v>40</v>
      </c>
      <c r="C537" s="28" t="str">
        <f aca="false">IF(Data!C537="","",IFERROR(VLOOKUP(Data!C537,Codes!$A$6:$B$7,2,FALSE()),"Invalid ("&amp;Data!C537&amp;")"))</f>
        <v>Male</v>
      </c>
      <c r="D537" s="28" t="str">
        <f aca="false">IF(Data!D537="","",IFERROR(VLOOKUP(Data!D537,Codes!$A$11:$B$14,2,FALSE()),"Invalid ("&amp;Data!D537&amp;")"))</f>
        <v>Non-anginal pain</v>
      </c>
      <c r="E537" s="20" t="n">
        <f aca="false">IF(Data!E537="","",Data!E537)</f>
        <v>130</v>
      </c>
      <c r="F537" s="20" t="n">
        <f aca="false">IF(Data!F537="","",Data!F537)</f>
        <v>281</v>
      </c>
      <c r="G537" s="28" t="str">
        <f aca="false">IF(Data!G537="","",IFERROR(VLOOKUP(Data!G537,Codes!$A$18:$B$19,2,FALSE()),"Invalid ("&amp;Data!G537&amp;")"))</f>
        <v>No</v>
      </c>
      <c r="H537" s="28" t="str">
        <f aca="false">IF(Data!H537="","",IFERROR(VLOOKUP(Data!H537,Codes!$A$23:$B$25,2,FALSE()),"Invalid ("&amp;Data!H537&amp;")"))</f>
        <v>Normal</v>
      </c>
      <c r="I537" s="20" t="n">
        <f aca="false">IF(Data!I537="","",Data!I537)</f>
        <v>167</v>
      </c>
      <c r="J537" s="28" t="str">
        <f aca="false">IF(Data!J537="","",IFERROR(VLOOKUP(Data!J537,Codes!$A$29:$B$30,2,FALSE()),"Invalid ("&amp;Data!J537&amp;")"))</f>
        <v>No</v>
      </c>
      <c r="K537" s="21" t="n">
        <f aca="false">IF(Data!K537="","",Data!K537)</f>
        <v>0</v>
      </c>
      <c r="L537" s="28" t="str">
        <f aca="false">IF(Data!L537="","",IFERROR(VLOOKUP(Data!L537,Codes!$A$34:$B$36,2,FALSE()),"Invalid ("&amp;Data!L537&amp;")"))</f>
        <v/>
      </c>
      <c r="M537" s="20" t="str">
        <f aca="false">IF(Data!M537="","",Data!M537)</f>
        <v/>
      </c>
      <c r="N537" s="28" t="str">
        <f aca="false">IF(Data!N537="","",IFERROR(VLOOKUP(Data!N537,Codes!$A$47:$B$49,2,FALSE()),"Invalid ("&amp;Data!N537&amp;")"))</f>
        <v/>
      </c>
      <c r="O537" s="28" t="str">
        <f aca="false">IF(Data!O537="","",IFERROR(VLOOKUP(Data!O537,Codes!$A$53:$B$57,2,FALSE()),"Invalid ("&amp;Data!O537&amp;")"))</f>
        <v>No disease</v>
      </c>
      <c r="P537" s="22" t="str">
        <f aca="false">IF(Data!P537="","",IFERROR(VLOOKUP(Data!P537,Codes!$A$61:$B$64,2,FALSE()),"Invalid ("&amp;Data!P537&amp;")"))</f>
        <v>Hungarian Inst. of Cardiology, Budapest</v>
      </c>
    </row>
    <row r="538" customFormat="false" ht="15" hidden="false" customHeight="false" outlineLevel="0" collapsed="false">
      <c r="A538" s="19" t="n">
        <f aca="false">Data!A538</f>
        <v>537</v>
      </c>
      <c r="B538" s="20" t="n">
        <f aca="false">IF(Data!B538="","",Data!B538)</f>
        <v>38</v>
      </c>
      <c r="C538" s="28" t="str">
        <f aca="false">IF(Data!C538="","",IFERROR(VLOOKUP(Data!C538,Codes!$A$6:$B$7,2,FALSE()),"Invalid ("&amp;Data!C538&amp;")"))</f>
        <v>Female</v>
      </c>
      <c r="D538" s="28" t="str">
        <f aca="false">IF(Data!D538="","",IFERROR(VLOOKUP(Data!D538,Codes!$A$11:$B$14,2,FALSE()),"Invalid ("&amp;Data!D538&amp;")"))</f>
        <v>Atypical angina</v>
      </c>
      <c r="E538" s="20" t="n">
        <f aca="false">IF(Data!E538="","",Data!E538)</f>
        <v>120</v>
      </c>
      <c r="F538" s="20" t="n">
        <f aca="false">IF(Data!F538="","",Data!F538)</f>
        <v>275</v>
      </c>
      <c r="G538" s="28" t="str">
        <f aca="false">IF(Data!G538="","",IFERROR(VLOOKUP(Data!G538,Codes!$A$18:$B$19,2,FALSE()),"Invalid ("&amp;Data!G538&amp;")"))</f>
        <v/>
      </c>
      <c r="H538" s="28" t="str">
        <f aca="false">IF(Data!H538="","",IFERROR(VLOOKUP(Data!H538,Codes!$A$23:$B$25,2,FALSE()),"Invalid ("&amp;Data!H538&amp;")"))</f>
        <v>Normal</v>
      </c>
      <c r="I538" s="20" t="n">
        <f aca="false">IF(Data!I538="","",Data!I538)</f>
        <v>129</v>
      </c>
      <c r="J538" s="28" t="str">
        <f aca="false">IF(Data!J538="","",IFERROR(VLOOKUP(Data!J538,Codes!$A$29:$B$30,2,FALSE()),"Invalid ("&amp;Data!J538&amp;")"))</f>
        <v>No</v>
      </c>
      <c r="K538" s="21" t="n">
        <f aca="false">IF(Data!K538="","",Data!K538)</f>
        <v>0</v>
      </c>
      <c r="L538" s="28" t="str">
        <f aca="false">IF(Data!L538="","",IFERROR(VLOOKUP(Data!L538,Codes!$A$34:$B$36,2,FALSE()),"Invalid ("&amp;Data!L538&amp;")"))</f>
        <v/>
      </c>
      <c r="M538" s="20" t="str">
        <f aca="false">IF(Data!M538="","",Data!M538)</f>
        <v/>
      </c>
      <c r="N538" s="28" t="str">
        <f aca="false">IF(Data!N538="","",IFERROR(VLOOKUP(Data!N538,Codes!$A$47:$B$49,2,FALSE()),"Invalid ("&amp;Data!N538&amp;")"))</f>
        <v/>
      </c>
      <c r="O538" s="28" t="str">
        <f aca="false">IF(Data!O538="","",IFERROR(VLOOKUP(Data!O538,Codes!$A$53:$B$57,2,FALSE()),"Invalid ("&amp;Data!O538&amp;")"))</f>
        <v>No disease</v>
      </c>
      <c r="P538" s="22" t="str">
        <f aca="false">IF(Data!P538="","",IFERROR(VLOOKUP(Data!P538,Codes!$A$61:$B$64,2,FALSE()),"Invalid ("&amp;Data!P538&amp;")"))</f>
        <v>Hungarian Inst. of Cardiology, Budapest</v>
      </c>
    </row>
    <row r="539" customFormat="false" ht="15" hidden="false" customHeight="false" outlineLevel="0" collapsed="false">
      <c r="A539" s="19" t="n">
        <f aca="false">Data!A539</f>
        <v>538</v>
      </c>
      <c r="B539" s="20" t="n">
        <f aca="false">IF(Data!B539="","",Data!B539)</f>
        <v>41</v>
      </c>
      <c r="C539" s="28" t="str">
        <f aca="false">IF(Data!C539="","",IFERROR(VLOOKUP(Data!C539,Codes!$A$6:$B$7,2,FALSE()),"Invalid ("&amp;Data!C539&amp;")"))</f>
        <v>Male</v>
      </c>
      <c r="D539" s="28" t="str">
        <f aca="false">IF(Data!D539="","",IFERROR(VLOOKUP(Data!D539,Codes!$A$11:$B$14,2,FALSE()),"Invalid ("&amp;Data!D539&amp;")"))</f>
        <v>Asymptomatic</v>
      </c>
      <c r="E539" s="20" t="n">
        <f aca="false">IF(Data!E539="","",Data!E539)</f>
        <v>112</v>
      </c>
      <c r="F539" s="20" t="n">
        <f aca="false">IF(Data!F539="","",Data!F539)</f>
        <v>250</v>
      </c>
      <c r="G539" s="28" t="str">
        <f aca="false">IF(Data!G539="","",IFERROR(VLOOKUP(Data!G539,Codes!$A$18:$B$19,2,FALSE()),"Invalid ("&amp;Data!G539&amp;")"))</f>
        <v>No</v>
      </c>
      <c r="H539" s="28" t="str">
        <f aca="false">IF(Data!H539="","",IFERROR(VLOOKUP(Data!H539,Codes!$A$23:$B$25,2,FALSE()),"Invalid ("&amp;Data!H539&amp;")"))</f>
        <v>Normal</v>
      </c>
      <c r="I539" s="20" t="n">
        <f aca="false">IF(Data!I539="","",Data!I539)</f>
        <v>142</v>
      </c>
      <c r="J539" s="28" t="str">
        <f aca="false">IF(Data!J539="","",IFERROR(VLOOKUP(Data!J539,Codes!$A$29:$B$30,2,FALSE()),"Invalid ("&amp;Data!J539&amp;")"))</f>
        <v>No</v>
      </c>
      <c r="K539" s="21" t="n">
        <f aca="false">IF(Data!K539="","",Data!K539)</f>
        <v>0</v>
      </c>
      <c r="L539" s="28" t="str">
        <f aca="false">IF(Data!L539="","",IFERROR(VLOOKUP(Data!L539,Codes!$A$34:$B$36,2,FALSE()),"Invalid ("&amp;Data!L539&amp;")"))</f>
        <v/>
      </c>
      <c r="M539" s="20" t="str">
        <f aca="false">IF(Data!M539="","",Data!M539)</f>
        <v/>
      </c>
      <c r="N539" s="28" t="str">
        <f aca="false">IF(Data!N539="","",IFERROR(VLOOKUP(Data!N539,Codes!$A$47:$B$49,2,FALSE()),"Invalid ("&amp;Data!N539&amp;")"))</f>
        <v/>
      </c>
      <c r="O539" s="28" t="str">
        <f aca="false">IF(Data!O539="","",IFERROR(VLOOKUP(Data!O539,Codes!$A$53:$B$57,2,FALSE()),"Invalid ("&amp;Data!O539&amp;")"))</f>
        <v>No disease</v>
      </c>
      <c r="P539" s="22" t="str">
        <f aca="false">IF(Data!P539="","",IFERROR(VLOOKUP(Data!P539,Codes!$A$61:$B$64,2,FALSE()),"Invalid ("&amp;Data!P539&amp;")"))</f>
        <v>Hungarian Inst. of Cardiology, Budapest</v>
      </c>
    </row>
    <row r="540" customFormat="false" ht="15" hidden="false" customHeight="false" outlineLevel="0" collapsed="false">
      <c r="A540" s="19" t="n">
        <f aca="false">Data!A540</f>
        <v>539</v>
      </c>
      <c r="B540" s="20" t="n">
        <f aca="false">IF(Data!B540="","",Data!B540)</f>
        <v>54</v>
      </c>
      <c r="C540" s="28" t="str">
        <f aca="false">IF(Data!C540="","",IFERROR(VLOOKUP(Data!C540,Codes!$A$6:$B$7,2,FALSE()),"Invalid ("&amp;Data!C540&amp;")"))</f>
        <v>Female</v>
      </c>
      <c r="D540" s="28" t="str">
        <f aca="false">IF(Data!D540="","",IFERROR(VLOOKUP(Data!D540,Codes!$A$11:$B$14,2,FALSE()),"Invalid ("&amp;Data!D540&amp;")"))</f>
        <v>Atypical angina</v>
      </c>
      <c r="E540" s="20" t="n">
        <f aca="false">IF(Data!E540="","",Data!E540)</f>
        <v>140</v>
      </c>
      <c r="F540" s="20" t="n">
        <f aca="false">IF(Data!F540="","",Data!F540)</f>
        <v>309</v>
      </c>
      <c r="G540" s="28" t="str">
        <f aca="false">IF(Data!G540="","",IFERROR(VLOOKUP(Data!G540,Codes!$A$18:$B$19,2,FALSE()),"Invalid ("&amp;Data!G540&amp;")"))</f>
        <v/>
      </c>
      <c r="H540" s="28" t="str">
        <f aca="false">IF(Data!H540="","",IFERROR(VLOOKUP(Data!H540,Codes!$A$23:$B$25,2,FALSE()),"Invalid ("&amp;Data!H540&amp;")"))</f>
        <v>ST-T wave abnormality</v>
      </c>
      <c r="I540" s="20" t="n">
        <f aca="false">IF(Data!I540="","",Data!I540)</f>
        <v>140</v>
      </c>
      <c r="J540" s="28" t="str">
        <f aca="false">IF(Data!J540="","",IFERROR(VLOOKUP(Data!J540,Codes!$A$29:$B$30,2,FALSE()),"Invalid ("&amp;Data!J540&amp;")"))</f>
        <v>No</v>
      </c>
      <c r="K540" s="21" t="n">
        <f aca="false">IF(Data!K540="","",Data!K540)</f>
        <v>0</v>
      </c>
      <c r="L540" s="28" t="str">
        <f aca="false">IF(Data!L540="","",IFERROR(VLOOKUP(Data!L540,Codes!$A$34:$B$36,2,FALSE()),"Invalid ("&amp;Data!L540&amp;")"))</f>
        <v/>
      </c>
      <c r="M540" s="20" t="str">
        <f aca="false">IF(Data!M540="","",Data!M540)</f>
        <v/>
      </c>
      <c r="N540" s="28" t="str">
        <f aca="false">IF(Data!N540="","",IFERROR(VLOOKUP(Data!N540,Codes!$A$47:$B$49,2,FALSE()),"Invalid ("&amp;Data!N540&amp;")"))</f>
        <v/>
      </c>
      <c r="O540" s="28" t="str">
        <f aca="false">IF(Data!O540="","",IFERROR(VLOOKUP(Data!O540,Codes!$A$53:$B$57,2,FALSE()),"Invalid ("&amp;Data!O540&amp;")"))</f>
        <v>No disease</v>
      </c>
      <c r="P540" s="22" t="str">
        <f aca="false">IF(Data!P540="","",IFERROR(VLOOKUP(Data!P540,Codes!$A$61:$B$64,2,FALSE()),"Invalid ("&amp;Data!P540&amp;")"))</f>
        <v>Hungarian Inst. of Cardiology, Budapest</v>
      </c>
    </row>
    <row r="541" customFormat="false" ht="15" hidden="false" customHeight="false" outlineLevel="0" collapsed="false">
      <c r="A541" s="19" t="n">
        <f aca="false">Data!A541</f>
        <v>540</v>
      </c>
      <c r="B541" s="20" t="n">
        <f aca="false">IF(Data!B541="","",Data!B541)</f>
        <v>39</v>
      </c>
      <c r="C541" s="28" t="str">
        <f aca="false">IF(Data!C541="","",IFERROR(VLOOKUP(Data!C541,Codes!$A$6:$B$7,2,FALSE()),"Invalid ("&amp;Data!C541&amp;")"))</f>
        <v>Male</v>
      </c>
      <c r="D541" s="28" t="str">
        <f aca="false">IF(Data!D541="","",IFERROR(VLOOKUP(Data!D541,Codes!$A$11:$B$14,2,FALSE()),"Invalid ("&amp;Data!D541&amp;")"))</f>
        <v>Atypical angina</v>
      </c>
      <c r="E541" s="20" t="n">
        <f aca="false">IF(Data!E541="","",Data!E541)</f>
        <v>120</v>
      </c>
      <c r="F541" s="20" t="n">
        <f aca="false">IF(Data!F541="","",Data!F541)</f>
        <v>200</v>
      </c>
      <c r="G541" s="28" t="str">
        <f aca="false">IF(Data!G541="","",IFERROR(VLOOKUP(Data!G541,Codes!$A$18:$B$19,2,FALSE()),"Invalid ("&amp;Data!G541&amp;")"))</f>
        <v>No</v>
      </c>
      <c r="H541" s="28" t="str">
        <f aca="false">IF(Data!H541="","",IFERROR(VLOOKUP(Data!H541,Codes!$A$23:$B$25,2,FALSE()),"Invalid ("&amp;Data!H541&amp;")"))</f>
        <v>Normal</v>
      </c>
      <c r="I541" s="20" t="n">
        <f aca="false">IF(Data!I541="","",Data!I541)</f>
        <v>160</v>
      </c>
      <c r="J541" s="28" t="str">
        <f aca="false">IF(Data!J541="","",IFERROR(VLOOKUP(Data!J541,Codes!$A$29:$B$30,2,FALSE()),"Invalid ("&amp;Data!J541&amp;")"))</f>
        <v>Yes</v>
      </c>
      <c r="K541" s="21" t="n">
        <f aca="false">IF(Data!K541="","",Data!K541)</f>
        <v>1</v>
      </c>
      <c r="L541" s="28" t="str">
        <f aca="false">IF(Data!L541="","",IFERROR(VLOOKUP(Data!L541,Codes!$A$34:$B$36,2,FALSE()),"Invalid ("&amp;Data!L541&amp;")"))</f>
        <v>Flat</v>
      </c>
      <c r="M541" s="20" t="str">
        <f aca="false">IF(Data!M541="","",Data!M541)</f>
        <v/>
      </c>
      <c r="N541" s="28" t="str">
        <f aca="false">IF(Data!N541="","",IFERROR(VLOOKUP(Data!N541,Codes!$A$47:$B$49,2,FALSE()),"Invalid ("&amp;Data!N541&amp;")"))</f>
        <v/>
      </c>
      <c r="O541" s="28" t="str">
        <f aca="false">IF(Data!O541="","",IFERROR(VLOOKUP(Data!O541,Codes!$A$53:$B$57,2,FALSE()),"Invalid ("&amp;Data!O541&amp;")"))</f>
        <v>No disease</v>
      </c>
      <c r="P541" s="22" t="str">
        <f aca="false">IF(Data!P541="","",IFERROR(VLOOKUP(Data!P541,Codes!$A$61:$B$64,2,FALSE()),"Invalid ("&amp;Data!P541&amp;")"))</f>
        <v>Hungarian Inst. of Cardiology, Budapest</v>
      </c>
    </row>
    <row r="542" customFormat="false" ht="15" hidden="false" customHeight="false" outlineLevel="0" collapsed="false">
      <c r="A542" s="19" t="n">
        <f aca="false">Data!A542</f>
        <v>541</v>
      </c>
      <c r="B542" s="20" t="n">
        <f aca="false">IF(Data!B542="","",Data!B542)</f>
        <v>41</v>
      </c>
      <c r="C542" s="28" t="str">
        <f aca="false">IF(Data!C542="","",IFERROR(VLOOKUP(Data!C542,Codes!$A$6:$B$7,2,FALSE()),"Invalid ("&amp;Data!C542&amp;")"))</f>
        <v>Male</v>
      </c>
      <c r="D542" s="28" t="str">
        <f aca="false">IF(Data!D542="","",IFERROR(VLOOKUP(Data!D542,Codes!$A$11:$B$14,2,FALSE()),"Invalid ("&amp;Data!D542&amp;")"))</f>
        <v>Asymptomatic</v>
      </c>
      <c r="E542" s="20" t="n">
        <f aca="false">IF(Data!E542="","",Data!E542)</f>
        <v>120</v>
      </c>
      <c r="F542" s="20" t="n">
        <f aca="false">IF(Data!F542="","",Data!F542)</f>
        <v>336</v>
      </c>
      <c r="G542" s="28" t="str">
        <f aca="false">IF(Data!G542="","",IFERROR(VLOOKUP(Data!G542,Codes!$A$18:$B$19,2,FALSE()),"Invalid ("&amp;Data!G542&amp;")"))</f>
        <v>No</v>
      </c>
      <c r="H542" s="28" t="str">
        <f aca="false">IF(Data!H542="","",IFERROR(VLOOKUP(Data!H542,Codes!$A$23:$B$25,2,FALSE()),"Invalid ("&amp;Data!H542&amp;")"))</f>
        <v>Normal</v>
      </c>
      <c r="I542" s="20" t="n">
        <f aca="false">IF(Data!I542="","",Data!I542)</f>
        <v>118</v>
      </c>
      <c r="J542" s="28" t="str">
        <f aca="false">IF(Data!J542="","",IFERROR(VLOOKUP(Data!J542,Codes!$A$29:$B$30,2,FALSE()),"Invalid ("&amp;Data!J542&amp;")"))</f>
        <v>Yes</v>
      </c>
      <c r="K542" s="21" t="n">
        <f aca="false">IF(Data!K542="","",Data!K542)</f>
        <v>3</v>
      </c>
      <c r="L542" s="28" t="str">
        <f aca="false">IF(Data!L542="","",IFERROR(VLOOKUP(Data!L542,Codes!$A$34:$B$36,2,FALSE()),"Invalid ("&amp;Data!L542&amp;")"))</f>
        <v>Flat</v>
      </c>
      <c r="M542" s="20" t="str">
        <f aca="false">IF(Data!M542="","",Data!M542)</f>
        <v/>
      </c>
      <c r="N542" s="28" t="str">
        <f aca="false">IF(Data!N542="","",IFERROR(VLOOKUP(Data!N542,Codes!$A$47:$B$49,2,FALSE()),"Invalid ("&amp;Data!N542&amp;")"))</f>
        <v/>
      </c>
      <c r="O542" s="28" t="str">
        <f aca="false">IF(Data!O542="","",IFERROR(VLOOKUP(Data!O542,Codes!$A$53:$B$57,2,FALSE()),"Invalid ("&amp;Data!O542&amp;")"))</f>
        <v>Disease (4)</v>
      </c>
      <c r="P542" s="22" t="str">
        <f aca="false">IF(Data!P542="","",IFERROR(VLOOKUP(Data!P542,Codes!$A$61:$B$64,2,FALSE()),"Invalid ("&amp;Data!P542&amp;")"))</f>
        <v>Hungarian Inst. of Cardiology, Budapest</v>
      </c>
    </row>
    <row r="543" customFormat="false" ht="15" hidden="false" customHeight="false" outlineLevel="0" collapsed="false">
      <c r="A543" s="19" t="n">
        <f aca="false">Data!A543</f>
        <v>542</v>
      </c>
      <c r="B543" s="20" t="n">
        <f aca="false">IF(Data!B543="","",Data!B543)</f>
        <v>55</v>
      </c>
      <c r="C543" s="28" t="str">
        <f aca="false">IF(Data!C543="","",IFERROR(VLOOKUP(Data!C543,Codes!$A$6:$B$7,2,FALSE()),"Invalid ("&amp;Data!C543&amp;")"))</f>
        <v>Male</v>
      </c>
      <c r="D543" s="28" t="str">
        <f aca="false">IF(Data!D543="","",IFERROR(VLOOKUP(Data!D543,Codes!$A$11:$B$14,2,FALSE()),"Invalid ("&amp;Data!D543&amp;")"))</f>
        <v>Typical angina</v>
      </c>
      <c r="E543" s="20" t="n">
        <f aca="false">IF(Data!E543="","",Data!E543)</f>
        <v>140</v>
      </c>
      <c r="F543" s="20" t="n">
        <f aca="false">IF(Data!F543="","",Data!F543)</f>
        <v>295</v>
      </c>
      <c r="G543" s="28" t="str">
        <f aca="false">IF(Data!G543="","",IFERROR(VLOOKUP(Data!G543,Codes!$A$18:$B$19,2,FALSE()),"Invalid ("&amp;Data!G543&amp;")"))</f>
        <v>No</v>
      </c>
      <c r="H543" s="28" t="str">
        <f aca="false">IF(Data!H543="","",IFERROR(VLOOKUP(Data!H543,Codes!$A$23:$B$25,2,FALSE()),"Invalid ("&amp;Data!H543&amp;")"))</f>
        <v/>
      </c>
      <c r="I543" s="20" t="n">
        <f aca="false">IF(Data!I543="","",Data!I543)</f>
        <v>136</v>
      </c>
      <c r="J543" s="28" t="str">
        <f aca="false">IF(Data!J543="","",IFERROR(VLOOKUP(Data!J543,Codes!$A$29:$B$30,2,FALSE()),"Invalid ("&amp;Data!J543&amp;")"))</f>
        <v>No</v>
      </c>
      <c r="K543" s="21" t="n">
        <f aca="false">IF(Data!K543="","",Data!K543)</f>
        <v>0</v>
      </c>
      <c r="L543" s="28" t="str">
        <f aca="false">IF(Data!L543="","",IFERROR(VLOOKUP(Data!L543,Codes!$A$34:$B$36,2,FALSE()),"Invalid ("&amp;Data!L543&amp;")"))</f>
        <v/>
      </c>
      <c r="M543" s="20" t="str">
        <f aca="false">IF(Data!M543="","",Data!M543)</f>
        <v/>
      </c>
      <c r="N543" s="28" t="str">
        <f aca="false">IF(Data!N543="","",IFERROR(VLOOKUP(Data!N543,Codes!$A$47:$B$49,2,FALSE()),"Invalid ("&amp;Data!N543&amp;")"))</f>
        <v/>
      </c>
      <c r="O543" s="28" t="str">
        <f aca="false">IF(Data!O543="","",IFERROR(VLOOKUP(Data!O543,Codes!$A$53:$B$57,2,FALSE()),"Invalid ("&amp;Data!O543&amp;")"))</f>
        <v>Disease (3)</v>
      </c>
      <c r="P543" s="22" t="str">
        <f aca="false">IF(Data!P543="","",IFERROR(VLOOKUP(Data!P543,Codes!$A$61:$B$64,2,FALSE()),"Invalid ("&amp;Data!P543&amp;")"))</f>
        <v>Hungarian Inst. of Cardiology, Budapest</v>
      </c>
    </row>
    <row r="544" customFormat="false" ht="15" hidden="false" customHeight="false" outlineLevel="0" collapsed="false">
      <c r="A544" s="19" t="n">
        <f aca="false">Data!A544</f>
        <v>543</v>
      </c>
      <c r="B544" s="20" t="n">
        <f aca="false">IF(Data!B544="","",Data!B544)</f>
        <v>48</v>
      </c>
      <c r="C544" s="28" t="str">
        <f aca="false">IF(Data!C544="","",IFERROR(VLOOKUP(Data!C544,Codes!$A$6:$B$7,2,FALSE()),"Invalid ("&amp;Data!C544&amp;")"))</f>
        <v>Male</v>
      </c>
      <c r="D544" s="28" t="str">
        <f aca="false">IF(Data!D544="","",IFERROR(VLOOKUP(Data!D544,Codes!$A$11:$B$14,2,FALSE()),"Invalid ("&amp;Data!D544&amp;")"))</f>
        <v>Asymptomatic</v>
      </c>
      <c r="E544" s="20" t="n">
        <f aca="false">IF(Data!E544="","",Data!E544)</f>
        <v>160</v>
      </c>
      <c r="F544" s="20" t="n">
        <f aca="false">IF(Data!F544="","",Data!F544)</f>
        <v>355</v>
      </c>
      <c r="G544" s="28" t="str">
        <f aca="false">IF(Data!G544="","",IFERROR(VLOOKUP(Data!G544,Codes!$A$18:$B$19,2,FALSE()),"Invalid ("&amp;Data!G544&amp;")"))</f>
        <v>No</v>
      </c>
      <c r="H544" s="28" t="str">
        <f aca="false">IF(Data!H544="","",IFERROR(VLOOKUP(Data!H544,Codes!$A$23:$B$25,2,FALSE()),"Invalid ("&amp;Data!H544&amp;")"))</f>
        <v>Normal</v>
      </c>
      <c r="I544" s="20" t="n">
        <f aca="false">IF(Data!I544="","",Data!I544)</f>
        <v>99</v>
      </c>
      <c r="J544" s="28" t="str">
        <f aca="false">IF(Data!J544="","",IFERROR(VLOOKUP(Data!J544,Codes!$A$29:$B$30,2,FALSE()),"Invalid ("&amp;Data!J544&amp;")"))</f>
        <v>Yes</v>
      </c>
      <c r="K544" s="21" t="n">
        <f aca="false">IF(Data!K544="","",Data!K544)</f>
        <v>2</v>
      </c>
      <c r="L544" s="28" t="str">
        <f aca="false">IF(Data!L544="","",IFERROR(VLOOKUP(Data!L544,Codes!$A$34:$B$36,2,FALSE()),"Invalid ("&amp;Data!L544&amp;")"))</f>
        <v>Flat</v>
      </c>
      <c r="M544" s="20" t="str">
        <f aca="false">IF(Data!M544="","",Data!M544)</f>
        <v/>
      </c>
      <c r="N544" s="28" t="str">
        <f aca="false">IF(Data!N544="","",IFERROR(VLOOKUP(Data!N544,Codes!$A$47:$B$49,2,FALSE()),"Invalid ("&amp;Data!N544&amp;")"))</f>
        <v/>
      </c>
      <c r="O544" s="28" t="str">
        <f aca="false">IF(Data!O544="","",IFERROR(VLOOKUP(Data!O544,Codes!$A$53:$B$57,2,FALSE()),"Invalid ("&amp;Data!O544&amp;")"))</f>
        <v>Disease (2)</v>
      </c>
      <c r="P544" s="22" t="str">
        <f aca="false">IF(Data!P544="","",IFERROR(VLOOKUP(Data!P544,Codes!$A$61:$B$64,2,FALSE()),"Invalid ("&amp;Data!P544&amp;")"))</f>
        <v>Hungarian Inst. of Cardiology, Budapest</v>
      </c>
    </row>
    <row r="545" customFormat="false" ht="15" hidden="false" customHeight="false" outlineLevel="0" collapsed="false">
      <c r="A545" s="19" t="n">
        <f aca="false">Data!A545</f>
        <v>544</v>
      </c>
      <c r="B545" s="20" t="n">
        <f aca="false">IF(Data!B545="","",Data!B545)</f>
        <v>48</v>
      </c>
      <c r="C545" s="28" t="str">
        <f aca="false">IF(Data!C545="","",IFERROR(VLOOKUP(Data!C545,Codes!$A$6:$B$7,2,FALSE()),"Invalid ("&amp;Data!C545&amp;")"))</f>
        <v>Male</v>
      </c>
      <c r="D545" s="28" t="str">
        <f aca="false">IF(Data!D545="","",IFERROR(VLOOKUP(Data!D545,Codes!$A$11:$B$14,2,FALSE()),"Invalid ("&amp;Data!D545&amp;")"))</f>
        <v>Asymptomatic</v>
      </c>
      <c r="E545" s="20" t="n">
        <f aca="false">IF(Data!E545="","",Data!E545)</f>
        <v>160</v>
      </c>
      <c r="F545" s="20" t="n">
        <f aca="false">IF(Data!F545="","",Data!F545)</f>
        <v>193</v>
      </c>
      <c r="G545" s="28" t="str">
        <f aca="false">IF(Data!G545="","",IFERROR(VLOOKUP(Data!G545,Codes!$A$18:$B$19,2,FALSE()),"Invalid ("&amp;Data!G545&amp;")"))</f>
        <v>No</v>
      </c>
      <c r="H545" s="28" t="str">
        <f aca="false">IF(Data!H545="","",IFERROR(VLOOKUP(Data!H545,Codes!$A$23:$B$25,2,FALSE()),"Invalid ("&amp;Data!H545&amp;")"))</f>
        <v>Normal</v>
      </c>
      <c r="I545" s="20" t="n">
        <f aca="false">IF(Data!I545="","",Data!I545)</f>
        <v>102</v>
      </c>
      <c r="J545" s="28" t="str">
        <f aca="false">IF(Data!J545="","",IFERROR(VLOOKUP(Data!J545,Codes!$A$29:$B$30,2,FALSE()),"Invalid ("&amp;Data!J545&amp;")"))</f>
        <v>Yes</v>
      </c>
      <c r="K545" s="21" t="n">
        <f aca="false">IF(Data!K545="","",Data!K545)</f>
        <v>3</v>
      </c>
      <c r="L545" s="28" t="str">
        <f aca="false">IF(Data!L545="","",IFERROR(VLOOKUP(Data!L545,Codes!$A$34:$B$36,2,FALSE()),"Invalid ("&amp;Data!L545&amp;")"))</f>
        <v>Flat</v>
      </c>
      <c r="M545" s="20" t="str">
        <f aca="false">IF(Data!M545="","",Data!M545)</f>
        <v/>
      </c>
      <c r="N545" s="28" t="str">
        <f aca="false">IF(Data!N545="","",IFERROR(VLOOKUP(Data!N545,Codes!$A$47:$B$49,2,FALSE()),"Invalid ("&amp;Data!N545&amp;")"))</f>
        <v/>
      </c>
      <c r="O545" s="28" t="str">
        <f aca="false">IF(Data!O545="","",IFERROR(VLOOKUP(Data!O545,Codes!$A$53:$B$57,2,FALSE()),"Invalid ("&amp;Data!O545&amp;")"))</f>
        <v>Disease (2)</v>
      </c>
      <c r="P545" s="22" t="str">
        <f aca="false">IF(Data!P545="","",IFERROR(VLOOKUP(Data!P545,Codes!$A$61:$B$64,2,FALSE()),"Invalid ("&amp;Data!P545&amp;")"))</f>
        <v>Hungarian Inst. of Cardiology, Budapest</v>
      </c>
    </row>
    <row r="546" customFormat="false" ht="15" hidden="false" customHeight="false" outlineLevel="0" collapsed="false">
      <c r="A546" s="19" t="n">
        <f aca="false">Data!A546</f>
        <v>545</v>
      </c>
      <c r="B546" s="20" t="n">
        <f aca="false">IF(Data!B546="","",Data!B546)</f>
        <v>55</v>
      </c>
      <c r="C546" s="28" t="str">
        <f aca="false">IF(Data!C546="","",IFERROR(VLOOKUP(Data!C546,Codes!$A$6:$B$7,2,FALSE()),"Invalid ("&amp;Data!C546&amp;")"))</f>
        <v>Male</v>
      </c>
      <c r="D546" s="28" t="str">
        <f aca="false">IF(Data!D546="","",IFERROR(VLOOKUP(Data!D546,Codes!$A$11:$B$14,2,FALSE()),"Invalid ("&amp;Data!D546&amp;")"))</f>
        <v>Atypical angina</v>
      </c>
      <c r="E546" s="20" t="n">
        <f aca="false">IF(Data!E546="","",Data!E546)</f>
        <v>145</v>
      </c>
      <c r="F546" s="20" t="n">
        <f aca="false">IF(Data!F546="","",Data!F546)</f>
        <v>326</v>
      </c>
      <c r="G546" s="28" t="str">
        <f aca="false">IF(Data!G546="","",IFERROR(VLOOKUP(Data!G546,Codes!$A$18:$B$19,2,FALSE()),"Invalid ("&amp;Data!G546&amp;")"))</f>
        <v>No</v>
      </c>
      <c r="H546" s="28" t="str">
        <f aca="false">IF(Data!H546="","",IFERROR(VLOOKUP(Data!H546,Codes!$A$23:$B$25,2,FALSE()),"Invalid ("&amp;Data!H546&amp;")"))</f>
        <v>Normal</v>
      </c>
      <c r="I546" s="20" t="n">
        <f aca="false">IF(Data!I546="","",Data!I546)</f>
        <v>155</v>
      </c>
      <c r="J546" s="28" t="str">
        <f aca="false">IF(Data!J546="","",IFERROR(VLOOKUP(Data!J546,Codes!$A$29:$B$30,2,FALSE()),"Invalid ("&amp;Data!J546&amp;")"))</f>
        <v>No</v>
      </c>
      <c r="K546" s="21" t="n">
        <f aca="false">IF(Data!K546="","",Data!K546)</f>
        <v>0</v>
      </c>
      <c r="L546" s="28" t="str">
        <f aca="false">IF(Data!L546="","",IFERROR(VLOOKUP(Data!L546,Codes!$A$34:$B$36,2,FALSE()),"Invalid ("&amp;Data!L546&amp;")"))</f>
        <v/>
      </c>
      <c r="M546" s="20" t="str">
        <f aca="false">IF(Data!M546="","",Data!M546)</f>
        <v/>
      </c>
      <c r="N546" s="28" t="str">
        <f aca="false">IF(Data!N546="","",IFERROR(VLOOKUP(Data!N546,Codes!$A$47:$B$49,2,FALSE()),"Invalid ("&amp;Data!N546&amp;")"))</f>
        <v/>
      </c>
      <c r="O546" s="28" t="str">
        <f aca="false">IF(Data!O546="","",IFERROR(VLOOKUP(Data!O546,Codes!$A$53:$B$57,2,FALSE()),"Invalid ("&amp;Data!O546&amp;")"))</f>
        <v>No disease</v>
      </c>
      <c r="P546" s="22" t="str">
        <f aca="false">IF(Data!P546="","",IFERROR(VLOOKUP(Data!P546,Codes!$A$61:$B$64,2,FALSE()),"Invalid ("&amp;Data!P546&amp;")"))</f>
        <v>Hungarian Inst. of Cardiology, Budapest</v>
      </c>
    </row>
    <row r="547" customFormat="false" ht="15" hidden="false" customHeight="false" outlineLevel="0" collapsed="false">
      <c r="A547" s="19" t="n">
        <f aca="false">Data!A547</f>
        <v>546</v>
      </c>
      <c r="B547" s="20" t="n">
        <f aca="false">IF(Data!B547="","",Data!B547)</f>
        <v>54</v>
      </c>
      <c r="C547" s="28" t="str">
        <f aca="false">IF(Data!C547="","",IFERROR(VLOOKUP(Data!C547,Codes!$A$6:$B$7,2,FALSE()),"Invalid ("&amp;Data!C547&amp;")"))</f>
        <v>Male</v>
      </c>
      <c r="D547" s="28" t="str">
        <f aca="false">IF(Data!D547="","",IFERROR(VLOOKUP(Data!D547,Codes!$A$11:$B$14,2,FALSE()),"Invalid ("&amp;Data!D547&amp;")"))</f>
        <v>Asymptomatic</v>
      </c>
      <c r="E547" s="20" t="n">
        <f aca="false">IF(Data!E547="","",Data!E547)</f>
        <v>200</v>
      </c>
      <c r="F547" s="20" t="n">
        <f aca="false">IF(Data!F547="","",Data!F547)</f>
        <v>198</v>
      </c>
      <c r="G547" s="28" t="str">
        <f aca="false">IF(Data!G547="","",IFERROR(VLOOKUP(Data!G547,Codes!$A$18:$B$19,2,FALSE()),"Invalid ("&amp;Data!G547&amp;")"))</f>
        <v>No</v>
      </c>
      <c r="H547" s="28" t="str">
        <f aca="false">IF(Data!H547="","",IFERROR(VLOOKUP(Data!H547,Codes!$A$23:$B$25,2,FALSE()),"Invalid ("&amp;Data!H547&amp;")"))</f>
        <v>Normal</v>
      </c>
      <c r="I547" s="20" t="n">
        <f aca="false">IF(Data!I547="","",Data!I547)</f>
        <v>142</v>
      </c>
      <c r="J547" s="28" t="str">
        <f aca="false">IF(Data!J547="","",IFERROR(VLOOKUP(Data!J547,Codes!$A$29:$B$30,2,FALSE()),"Invalid ("&amp;Data!J547&amp;")"))</f>
        <v>Yes</v>
      </c>
      <c r="K547" s="21" t="n">
        <f aca="false">IF(Data!K547="","",Data!K547)</f>
        <v>2</v>
      </c>
      <c r="L547" s="28" t="str">
        <f aca="false">IF(Data!L547="","",IFERROR(VLOOKUP(Data!L547,Codes!$A$34:$B$36,2,FALSE()),"Invalid ("&amp;Data!L547&amp;")"))</f>
        <v>Flat</v>
      </c>
      <c r="M547" s="20" t="str">
        <f aca="false">IF(Data!M547="","",Data!M547)</f>
        <v/>
      </c>
      <c r="N547" s="28" t="str">
        <f aca="false">IF(Data!N547="","",IFERROR(VLOOKUP(Data!N547,Codes!$A$47:$B$49,2,FALSE()),"Invalid ("&amp;Data!N547&amp;")"))</f>
        <v/>
      </c>
      <c r="O547" s="28" t="str">
        <f aca="false">IF(Data!O547="","",IFERROR(VLOOKUP(Data!O547,Codes!$A$53:$B$57,2,FALSE()),"Invalid ("&amp;Data!O547&amp;")"))</f>
        <v>Disease (2)</v>
      </c>
      <c r="P547" s="22" t="str">
        <f aca="false">IF(Data!P547="","",IFERROR(VLOOKUP(Data!P547,Codes!$A$61:$B$64,2,FALSE()),"Invalid ("&amp;Data!P547&amp;")"))</f>
        <v>Hungarian Inst. of Cardiology, Budapest</v>
      </c>
    </row>
    <row r="548" customFormat="false" ht="15" hidden="false" customHeight="false" outlineLevel="0" collapsed="false">
      <c r="A548" s="19" t="n">
        <f aca="false">Data!A548</f>
        <v>547</v>
      </c>
      <c r="B548" s="20" t="n">
        <f aca="false">IF(Data!B548="","",Data!B548)</f>
        <v>55</v>
      </c>
      <c r="C548" s="28" t="str">
        <f aca="false">IF(Data!C548="","",IFERROR(VLOOKUP(Data!C548,Codes!$A$6:$B$7,2,FALSE()),"Invalid ("&amp;Data!C548&amp;")"))</f>
        <v>Male</v>
      </c>
      <c r="D548" s="28" t="str">
        <f aca="false">IF(Data!D548="","",IFERROR(VLOOKUP(Data!D548,Codes!$A$11:$B$14,2,FALSE()),"Invalid ("&amp;Data!D548&amp;")"))</f>
        <v>Atypical angina</v>
      </c>
      <c r="E548" s="20" t="n">
        <f aca="false">IF(Data!E548="","",Data!E548)</f>
        <v>160</v>
      </c>
      <c r="F548" s="20" t="n">
        <f aca="false">IF(Data!F548="","",Data!F548)</f>
        <v>292</v>
      </c>
      <c r="G548" s="28" t="str">
        <f aca="false">IF(Data!G548="","",IFERROR(VLOOKUP(Data!G548,Codes!$A$18:$B$19,2,FALSE()),"Invalid ("&amp;Data!G548&amp;")"))</f>
        <v>Yes</v>
      </c>
      <c r="H548" s="28" t="str">
        <f aca="false">IF(Data!H548="","",IFERROR(VLOOKUP(Data!H548,Codes!$A$23:$B$25,2,FALSE()),"Invalid ("&amp;Data!H548&amp;")"))</f>
        <v>Normal</v>
      </c>
      <c r="I548" s="20" t="n">
        <f aca="false">IF(Data!I548="","",Data!I548)</f>
        <v>143</v>
      </c>
      <c r="J548" s="28" t="str">
        <f aca="false">IF(Data!J548="","",IFERROR(VLOOKUP(Data!J548,Codes!$A$29:$B$30,2,FALSE()),"Invalid ("&amp;Data!J548&amp;")"))</f>
        <v>Yes</v>
      </c>
      <c r="K548" s="21" t="n">
        <f aca="false">IF(Data!K548="","",Data!K548)</f>
        <v>2</v>
      </c>
      <c r="L548" s="28" t="str">
        <f aca="false">IF(Data!L548="","",IFERROR(VLOOKUP(Data!L548,Codes!$A$34:$B$36,2,FALSE()),"Invalid ("&amp;Data!L548&amp;")"))</f>
        <v>Flat</v>
      </c>
      <c r="M548" s="20" t="str">
        <f aca="false">IF(Data!M548="","",Data!M548)</f>
        <v/>
      </c>
      <c r="N548" s="28" t="str">
        <f aca="false">IF(Data!N548="","",IFERROR(VLOOKUP(Data!N548,Codes!$A$47:$B$49,2,FALSE()),"Invalid ("&amp;Data!N548&amp;")"))</f>
        <v/>
      </c>
      <c r="O548" s="28" t="str">
        <f aca="false">IF(Data!O548="","",IFERROR(VLOOKUP(Data!O548,Codes!$A$53:$B$57,2,FALSE()),"Invalid ("&amp;Data!O548&amp;")"))</f>
        <v>Disease (3)</v>
      </c>
      <c r="P548" s="22" t="str">
        <f aca="false">IF(Data!P548="","",IFERROR(VLOOKUP(Data!P548,Codes!$A$61:$B$64,2,FALSE()),"Invalid ("&amp;Data!P548&amp;")"))</f>
        <v>Hungarian Inst. of Cardiology, Budapest</v>
      </c>
    </row>
    <row r="549" customFormat="false" ht="15" hidden="false" customHeight="false" outlineLevel="0" collapsed="false">
      <c r="A549" s="19" t="n">
        <f aca="false">Data!A549</f>
        <v>548</v>
      </c>
      <c r="B549" s="20" t="n">
        <f aca="false">IF(Data!B549="","",Data!B549)</f>
        <v>43</v>
      </c>
      <c r="C549" s="28" t="str">
        <f aca="false">IF(Data!C549="","",IFERROR(VLOOKUP(Data!C549,Codes!$A$6:$B$7,2,FALSE()),"Invalid ("&amp;Data!C549&amp;")"))</f>
        <v>Female</v>
      </c>
      <c r="D549" s="28" t="str">
        <f aca="false">IF(Data!D549="","",IFERROR(VLOOKUP(Data!D549,Codes!$A$11:$B$14,2,FALSE()),"Invalid ("&amp;Data!D549&amp;")"))</f>
        <v>Atypical angina</v>
      </c>
      <c r="E549" s="20" t="n">
        <f aca="false">IF(Data!E549="","",Data!E549)</f>
        <v>120</v>
      </c>
      <c r="F549" s="20" t="n">
        <f aca="false">IF(Data!F549="","",Data!F549)</f>
        <v>266</v>
      </c>
      <c r="G549" s="28" t="str">
        <f aca="false">IF(Data!G549="","",IFERROR(VLOOKUP(Data!G549,Codes!$A$18:$B$19,2,FALSE()),"Invalid ("&amp;Data!G549&amp;")"))</f>
        <v>No</v>
      </c>
      <c r="H549" s="28" t="str">
        <f aca="false">IF(Data!H549="","",IFERROR(VLOOKUP(Data!H549,Codes!$A$23:$B$25,2,FALSE()),"Invalid ("&amp;Data!H549&amp;")"))</f>
        <v>Normal</v>
      </c>
      <c r="I549" s="20" t="n">
        <f aca="false">IF(Data!I549="","",Data!I549)</f>
        <v>118</v>
      </c>
      <c r="J549" s="28" t="str">
        <f aca="false">IF(Data!J549="","",IFERROR(VLOOKUP(Data!J549,Codes!$A$29:$B$30,2,FALSE()),"Invalid ("&amp;Data!J549&amp;")"))</f>
        <v>No</v>
      </c>
      <c r="K549" s="21" t="n">
        <f aca="false">IF(Data!K549="","",Data!K549)</f>
        <v>0</v>
      </c>
      <c r="L549" s="28" t="str">
        <f aca="false">IF(Data!L549="","",IFERROR(VLOOKUP(Data!L549,Codes!$A$34:$B$36,2,FALSE()),"Invalid ("&amp;Data!L549&amp;")"))</f>
        <v/>
      </c>
      <c r="M549" s="20" t="str">
        <f aca="false">IF(Data!M549="","",Data!M549)</f>
        <v/>
      </c>
      <c r="N549" s="28" t="str">
        <f aca="false">IF(Data!N549="","",IFERROR(VLOOKUP(Data!N549,Codes!$A$47:$B$49,2,FALSE()),"Invalid ("&amp;Data!N549&amp;")"))</f>
        <v/>
      </c>
      <c r="O549" s="28" t="str">
        <f aca="false">IF(Data!O549="","",IFERROR(VLOOKUP(Data!O549,Codes!$A$53:$B$57,2,FALSE()),"Invalid ("&amp;Data!O549&amp;")"))</f>
        <v>No disease</v>
      </c>
      <c r="P549" s="22" t="str">
        <f aca="false">IF(Data!P549="","",IFERROR(VLOOKUP(Data!P549,Codes!$A$61:$B$64,2,FALSE()),"Invalid ("&amp;Data!P549&amp;")"))</f>
        <v>Hungarian Inst. of Cardiology, Budapest</v>
      </c>
    </row>
    <row r="550" customFormat="false" ht="15" hidden="false" customHeight="false" outlineLevel="0" collapsed="false">
      <c r="A550" s="19" t="n">
        <f aca="false">Data!A550</f>
        <v>549</v>
      </c>
      <c r="B550" s="20" t="n">
        <f aca="false">IF(Data!B550="","",Data!B550)</f>
        <v>48</v>
      </c>
      <c r="C550" s="28" t="str">
        <f aca="false">IF(Data!C550="","",IFERROR(VLOOKUP(Data!C550,Codes!$A$6:$B$7,2,FALSE()),"Invalid ("&amp;Data!C550&amp;")"))</f>
        <v>Male</v>
      </c>
      <c r="D550" s="28" t="str">
        <f aca="false">IF(Data!D550="","",IFERROR(VLOOKUP(Data!D550,Codes!$A$11:$B$14,2,FALSE()),"Invalid ("&amp;Data!D550&amp;")"))</f>
        <v>Asymptomatic</v>
      </c>
      <c r="E550" s="20" t="n">
        <f aca="false">IF(Data!E550="","",Data!E550)</f>
        <v>160</v>
      </c>
      <c r="F550" s="20" t="n">
        <f aca="false">IF(Data!F550="","",Data!F550)</f>
        <v>268</v>
      </c>
      <c r="G550" s="28" t="str">
        <f aca="false">IF(Data!G550="","",IFERROR(VLOOKUP(Data!G550,Codes!$A$18:$B$19,2,FALSE()),"Invalid ("&amp;Data!G550&amp;")"))</f>
        <v>No</v>
      </c>
      <c r="H550" s="28" t="str">
        <f aca="false">IF(Data!H550="","",IFERROR(VLOOKUP(Data!H550,Codes!$A$23:$B$25,2,FALSE()),"Invalid ("&amp;Data!H550&amp;")"))</f>
        <v>Normal</v>
      </c>
      <c r="I550" s="20" t="n">
        <f aca="false">IF(Data!I550="","",Data!I550)</f>
        <v>103</v>
      </c>
      <c r="J550" s="28" t="str">
        <f aca="false">IF(Data!J550="","",IFERROR(VLOOKUP(Data!J550,Codes!$A$29:$B$30,2,FALSE()),"Invalid ("&amp;Data!J550&amp;")"))</f>
        <v>Yes</v>
      </c>
      <c r="K550" s="21" t="n">
        <f aca="false">IF(Data!K550="","",Data!K550)</f>
        <v>1</v>
      </c>
      <c r="L550" s="28" t="str">
        <f aca="false">IF(Data!L550="","",IFERROR(VLOOKUP(Data!L550,Codes!$A$34:$B$36,2,FALSE()),"Invalid ("&amp;Data!L550&amp;")"))</f>
        <v>Flat</v>
      </c>
      <c r="M550" s="20" t="str">
        <f aca="false">IF(Data!M550="","",Data!M550)</f>
        <v/>
      </c>
      <c r="N550" s="28" t="str">
        <f aca="false">IF(Data!N550="","",IFERROR(VLOOKUP(Data!N550,Codes!$A$47:$B$49,2,FALSE()),"Invalid ("&amp;Data!N550&amp;")"))</f>
        <v/>
      </c>
      <c r="O550" s="28" t="str">
        <f aca="false">IF(Data!O550="","",IFERROR(VLOOKUP(Data!O550,Codes!$A$53:$B$57,2,FALSE()),"Invalid ("&amp;Data!O550&amp;")"))</f>
        <v>Disease (1)</v>
      </c>
      <c r="P550" s="22" t="str">
        <f aca="false">IF(Data!P550="","",IFERROR(VLOOKUP(Data!P550,Codes!$A$61:$B$64,2,FALSE()),"Invalid ("&amp;Data!P550&amp;")"))</f>
        <v>Hungarian Inst. of Cardiology, Budapest</v>
      </c>
    </row>
    <row r="551" customFormat="false" ht="15" hidden="false" customHeight="false" outlineLevel="0" collapsed="false">
      <c r="A551" s="19" t="n">
        <f aca="false">Data!A551</f>
        <v>550</v>
      </c>
      <c r="B551" s="20" t="n">
        <f aca="false">IF(Data!B551="","",Data!B551)</f>
        <v>54</v>
      </c>
      <c r="C551" s="28" t="str">
        <f aca="false">IF(Data!C551="","",IFERROR(VLOOKUP(Data!C551,Codes!$A$6:$B$7,2,FALSE()),"Invalid ("&amp;Data!C551&amp;")"))</f>
        <v>Male</v>
      </c>
      <c r="D551" s="28" t="str">
        <f aca="false">IF(Data!D551="","",IFERROR(VLOOKUP(Data!D551,Codes!$A$11:$B$14,2,FALSE()),"Invalid ("&amp;Data!D551&amp;")"))</f>
        <v>Typical angina</v>
      </c>
      <c r="E551" s="20" t="n">
        <f aca="false">IF(Data!E551="","",Data!E551)</f>
        <v>120</v>
      </c>
      <c r="F551" s="20" t="n">
        <f aca="false">IF(Data!F551="","",Data!F551)</f>
        <v>171</v>
      </c>
      <c r="G551" s="28" t="str">
        <f aca="false">IF(Data!G551="","",IFERROR(VLOOKUP(Data!G551,Codes!$A$18:$B$19,2,FALSE()),"Invalid ("&amp;Data!G551&amp;")"))</f>
        <v>No</v>
      </c>
      <c r="H551" s="28" t="str">
        <f aca="false">IF(Data!H551="","",IFERROR(VLOOKUP(Data!H551,Codes!$A$23:$B$25,2,FALSE()),"Invalid ("&amp;Data!H551&amp;")"))</f>
        <v>Normal</v>
      </c>
      <c r="I551" s="20" t="n">
        <f aca="false">IF(Data!I551="","",Data!I551)</f>
        <v>137</v>
      </c>
      <c r="J551" s="28" t="str">
        <f aca="false">IF(Data!J551="","",IFERROR(VLOOKUP(Data!J551,Codes!$A$29:$B$30,2,FALSE()),"Invalid ("&amp;Data!J551&amp;")"))</f>
        <v>No</v>
      </c>
      <c r="K551" s="21" t="n">
        <f aca="false">IF(Data!K551="","",Data!K551)</f>
        <v>2</v>
      </c>
      <c r="L551" s="28" t="str">
        <f aca="false">IF(Data!L551="","",IFERROR(VLOOKUP(Data!L551,Codes!$A$34:$B$36,2,FALSE()),"Invalid ("&amp;Data!L551&amp;")"))</f>
        <v>Upsloping</v>
      </c>
      <c r="M551" s="20" t="str">
        <f aca="false">IF(Data!M551="","",Data!M551)</f>
        <v/>
      </c>
      <c r="N551" s="28" t="str">
        <f aca="false">IF(Data!N551="","",IFERROR(VLOOKUP(Data!N551,Codes!$A$47:$B$49,2,FALSE()),"Invalid ("&amp;Data!N551&amp;")"))</f>
        <v/>
      </c>
      <c r="O551" s="28" t="str">
        <f aca="false">IF(Data!O551="","",IFERROR(VLOOKUP(Data!O551,Codes!$A$53:$B$57,2,FALSE()),"Invalid ("&amp;Data!O551&amp;")"))</f>
        <v>No disease</v>
      </c>
      <c r="P551" s="22" t="str">
        <f aca="false">IF(Data!P551="","",IFERROR(VLOOKUP(Data!P551,Codes!$A$61:$B$64,2,FALSE()),"Invalid ("&amp;Data!P551&amp;")"))</f>
        <v>Hungarian Inst. of Cardiology, Budapest</v>
      </c>
    </row>
    <row r="552" customFormat="false" ht="15" hidden="false" customHeight="false" outlineLevel="0" collapsed="false">
      <c r="A552" s="19" t="n">
        <f aca="false">Data!A552</f>
        <v>551</v>
      </c>
      <c r="B552" s="20" t="n">
        <f aca="false">IF(Data!B552="","",Data!B552)</f>
        <v>54</v>
      </c>
      <c r="C552" s="28" t="str">
        <f aca="false">IF(Data!C552="","",IFERROR(VLOOKUP(Data!C552,Codes!$A$6:$B$7,2,FALSE()),"Invalid ("&amp;Data!C552&amp;")"))</f>
        <v>Male</v>
      </c>
      <c r="D552" s="28" t="str">
        <f aca="false">IF(Data!D552="","",IFERROR(VLOOKUP(Data!D552,Codes!$A$11:$B$14,2,FALSE()),"Invalid ("&amp;Data!D552&amp;")"))</f>
        <v>Non-anginal pain</v>
      </c>
      <c r="E552" s="20" t="n">
        <f aca="false">IF(Data!E552="","",Data!E552)</f>
        <v>120</v>
      </c>
      <c r="F552" s="20" t="n">
        <f aca="false">IF(Data!F552="","",Data!F552)</f>
        <v>237</v>
      </c>
      <c r="G552" s="28" t="str">
        <f aca="false">IF(Data!G552="","",IFERROR(VLOOKUP(Data!G552,Codes!$A$18:$B$19,2,FALSE()),"Invalid ("&amp;Data!G552&amp;")"))</f>
        <v>No</v>
      </c>
      <c r="H552" s="28" t="str">
        <f aca="false">IF(Data!H552="","",IFERROR(VLOOKUP(Data!H552,Codes!$A$23:$B$25,2,FALSE()),"Invalid ("&amp;Data!H552&amp;")"))</f>
        <v>Normal</v>
      </c>
      <c r="I552" s="20" t="n">
        <f aca="false">IF(Data!I552="","",Data!I552)</f>
        <v>150</v>
      </c>
      <c r="J552" s="28" t="str">
        <f aca="false">IF(Data!J552="","",IFERROR(VLOOKUP(Data!J552,Codes!$A$29:$B$30,2,FALSE()),"Invalid ("&amp;Data!J552&amp;")"))</f>
        <v>Yes</v>
      </c>
      <c r="K552" s="21" t="n">
        <f aca="false">IF(Data!K552="","",Data!K552)</f>
        <v>1.5</v>
      </c>
      <c r="L552" s="28" t="str">
        <f aca="false">IF(Data!L552="","",IFERROR(VLOOKUP(Data!L552,Codes!$A$34:$B$36,2,FALSE()),"Invalid ("&amp;Data!L552&amp;")"))</f>
        <v/>
      </c>
      <c r="M552" s="20" t="str">
        <f aca="false">IF(Data!M552="","",Data!M552)</f>
        <v/>
      </c>
      <c r="N552" s="28" t="str">
        <f aca="false">IF(Data!N552="","",IFERROR(VLOOKUP(Data!N552,Codes!$A$47:$B$49,2,FALSE()),"Invalid ("&amp;Data!N552&amp;")"))</f>
        <v>Reversible defect</v>
      </c>
      <c r="O552" s="28" t="str">
        <f aca="false">IF(Data!O552="","",IFERROR(VLOOKUP(Data!O552,Codes!$A$53:$B$57,2,FALSE()),"Invalid ("&amp;Data!O552&amp;")"))</f>
        <v>Disease (2)</v>
      </c>
      <c r="P552" s="22" t="str">
        <f aca="false">IF(Data!P552="","",IFERROR(VLOOKUP(Data!P552,Codes!$A$61:$B$64,2,FALSE()),"Invalid ("&amp;Data!P552&amp;")"))</f>
        <v>Hungarian Inst. of Cardiology, Budapest</v>
      </c>
    </row>
    <row r="553" customFormat="false" ht="15" hidden="false" customHeight="false" outlineLevel="0" collapsed="false">
      <c r="A553" s="19" t="n">
        <f aca="false">Data!A553</f>
        <v>552</v>
      </c>
      <c r="B553" s="20" t="n">
        <f aca="false">IF(Data!B553="","",Data!B553)</f>
        <v>48</v>
      </c>
      <c r="C553" s="28" t="str">
        <f aca="false">IF(Data!C553="","",IFERROR(VLOOKUP(Data!C553,Codes!$A$6:$B$7,2,FALSE()),"Invalid ("&amp;Data!C553&amp;")"))</f>
        <v>Male</v>
      </c>
      <c r="D553" s="28" t="str">
        <f aca="false">IF(Data!D553="","",IFERROR(VLOOKUP(Data!D553,Codes!$A$11:$B$14,2,FALSE()),"Invalid ("&amp;Data!D553&amp;")"))</f>
        <v>Asymptomatic</v>
      </c>
      <c r="E553" s="20" t="n">
        <f aca="false">IF(Data!E553="","",Data!E553)</f>
        <v>122</v>
      </c>
      <c r="F553" s="20" t="n">
        <f aca="false">IF(Data!F553="","",Data!F553)</f>
        <v>275</v>
      </c>
      <c r="G553" s="28" t="str">
        <f aca="false">IF(Data!G553="","",IFERROR(VLOOKUP(Data!G553,Codes!$A$18:$B$19,2,FALSE()),"Invalid ("&amp;Data!G553&amp;")"))</f>
        <v>Yes</v>
      </c>
      <c r="H553" s="28" t="str">
        <f aca="false">IF(Data!H553="","",IFERROR(VLOOKUP(Data!H553,Codes!$A$23:$B$25,2,FALSE()),"Invalid ("&amp;Data!H553&amp;")"))</f>
        <v>ST-T wave abnormality</v>
      </c>
      <c r="I553" s="20" t="n">
        <f aca="false">IF(Data!I553="","",Data!I553)</f>
        <v>150</v>
      </c>
      <c r="J553" s="28" t="str">
        <f aca="false">IF(Data!J553="","",IFERROR(VLOOKUP(Data!J553,Codes!$A$29:$B$30,2,FALSE()),"Invalid ("&amp;Data!J553&amp;")"))</f>
        <v>Yes</v>
      </c>
      <c r="K553" s="21" t="n">
        <f aca="false">IF(Data!K553="","",Data!K553)</f>
        <v>2</v>
      </c>
      <c r="L553" s="28" t="str">
        <f aca="false">IF(Data!L553="","",IFERROR(VLOOKUP(Data!L553,Codes!$A$34:$B$36,2,FALSE()),"Invalid ("&amp;Data!L553&amp;")"))</f>
        <v>Downsloping</v>
      </c>
      <c r="M553" s="20" t="str">
        <f aca="false">IF(Data!M553="","",Data!M553)</f>
        <v/>
      </c>
      <c r="N553" s="28" t="str">
        <f aca="false">IF(Data!N553="","",IFERROR(VLOOKUP(Data!N553,Codes!$A$47:$B$49,2,FALSE()),"Invalid ("&amp;Data!N553&amp;")"))</f>
        <v/>
      </c>
      <c r="O553" s="28" t="str">
        <f aca="false">IF(Data!O553="","",IFERROR(VLOOKUP(Data!O553,Codes!$A$53:$B$57,2,FALSE()),"Invalid ("&amp;Data!O553&amp;")"))</f>
        <v>Disease (2)</v>
      </c>
      <c r="P553" s="22" t="str">
        <f aca="false">IF(Data!P553="","",IFERROR(VLOOKUP(Data!P553,Codes!$A$61:$B$64,2,FALSE()),"Invalid ("&amp;Data!P553&amp;")"))</f>
        <v>Hungarian Inst. of Cardiology, Budapest</v>
      </c>
    </row>
    <row r="554" customFormat="false" ht="15" hidden="false" customHeight="false" outlineLevel="0" collapsed="false">
      <c r="A554" s="19" t="n">
        <f aca="false">Data!A554</f>
        <v>553</v>
      </c>
      <c r="B554" s="20" t="n">
        <f aca="false">IF(Data!B554="","",Data!B554)</f>
        <v>45</v>
      </c>
      <c r="C554" s="28" t="str">
        <f aca="false">IF(Data!C554="","",IFERROR(VLOOKUP(Data!C554,Codes!$A$6:$B$7,2,FALSE()),"Invalid ("&amp;Data!C554&amp;")"))</f>
        <v>Male</v>
      </c>
      <c r="D554" s="28" t="str">
        <f aca="false">IF(Data!D554="","",IFERROR(VLOOKUP(Data!D554,Codes!$A$11:$B$14,2,FALSE()),"Invalid ("&amp;Data!D554&amp;")"))</f>
        <v>Asymptomatic</v>
      </c>
      <c r="E554" s="20" t="n">
        <f aca="false">IF(Data!E554="","",Data!E554)</f>
        <v>130</v>
      </c>
      <c r="F554" s="20" t="n">
        <f aca="false">IF(Data!F554="","",Data!F554)</f>
        <v>219</v>
      </c>
      <c r="G554" s="28" t="str">
        <f aca="false">IF(Data!G554="","",IFERROR(VLOOKUP(Data!G554,Codes!$A$18:$B$19,2,FALSE()),"Invalid ("&amp;Data!G554&amp;")"))</f>
        <v>No</v>
      </c>
      <c r="H554" s="28" t="str">
        <f aca="false">IF(Data!H554="","",IFERROR(VLOOKUP(Data!H554,Codes!$A$23:$B$25,2,FALSE()),"Invalid ("&amp;Data!H554&amp;")"))</f>
        <v>ST-T wave abnormality</v>
      </c>
      <c r="I554" s="20" t="n">
        <f aca="false">IF(Data!I554="","",Data!I554)</f>
        <v>130</v>
      </c>
      <c r="J554" s="28" t="str">
        <f aca="false">IF(Data!J554="","",IFERROR(VLOOKUP(Data!J554,Codes!$A$29:$B$30,2,FALSE()),"Invalid ("&amp;Data!J554&amp;")"))</f>
        <v>Yes</v>
      </c>
      <c r="K554" s="21" t="n">
        <f aca="false">IF(Data!K554="","",Data!K554)</f>
        <v>1</v>
      </c>
      <c r="L554" s="28" t="str">
        <f aca="false">IF(Data!L554="","",IFERROR(VLOOKUP(Data!L554,Codes!$A$34:$B$36,2,FALSE()),"Invalid ("&amp;Data!L554&amp;")"))</f>
        <v>Flat</v>
      </c>
      <c r="M554" s="20" t="str">
        <f aca="false">IF(Data!M554="","",Data!M554)</f>
        <v/>
      </c>
      <c r="N554" s="28" t="str">
        <f aca="false">IF(Data!N554="","",IFERROR(VLOOKUP(Data!N554,Codes!$A$47:$B$49,2,FALSE()),"Invalid ("&amp;Data!N554&amp;")"))</f>
        <v/>
      </c>
      <c r="O554" s="28" t="str">
        <f aca="false">IF(Data!O554="","",IFERROR(VLOOKUP(Data!O554,Codes!$A$53:$B$57,2,FALSE()),"Invalid ("&amp;Data!O554&amp;")"))</f>
        <v>Disease (2)</v>
      </c>
      <c r="P554" s="22" t="str">
        <f aca="false">IF(Data!P554="","",IFERROR(VLOOKUP(Data!P554,Codes!$A$61:$B$64,2,FALSE()),"Invalid ("&amp;Data!P554&amp;")"))</f>
        <v>Hungarian Inst. of Cardiology, Budapest</v>
      </c>
    </row>
    <row r="555" customFormat="false" ht="15" hidden="false" customHeight="false" outlineLevel="0" collapsed="false">
      <c r="A555" s="19" t="n">
        <f aca="false">Data!A555</f>
        <v>554</v>
      </c>
      <c r="B555" s="20" t="n">
        <f aca="false">IF(Data!B555="","",Data!B555)</f>
        <v>49</v>
      </c>
      <c r="C555" s="28" t="str">
        <f aca="false">IF(Data!C555="","",IFERROR(VLOOKUP(Data!C555,Codes!$A$6:$B$7,2,FALSE()),"Invalid ("&amp;Data!C555&amp;")"))</f>
        <v>Male</v>
      </c>
      <c r="D555" s="28" t="str">
        <f aca="false">IF(Data!D555="","",IFERROR(VLOOKUP(Data!D555,Codes!$A$11:$B$14,2,FALSE()),"Invalid ("&amp;Data!D555&amp;")"))</f>
        <v>Asymptomatic</v>
      </c>
      <c r="E555" s="20" t="n">
        <f aca="false">IF(Data!E555="","",Data!E555)</f>
        <v>130</v>
      </c>
      <c r="F555" s="20" t="n">
        <f aca="false">IF(Data!F555="","",Data!F555)</f>
        <v>341</v>
      </c>
      <c r="G555" s="28" t="str">
        <f aca="false">IF(Data!G555="","",IFERROR(VLOOKUP(Data!G555,Codes!$A$18:$B$19,2,FALSE()),"Invalid ("&amp;Data!G555&amp;")"))</f>
        <v>No</v>
      </c>
      <c r="H555" s="28" t="str">
        <f aca="false">IF(Data!H555="","",IFERROR(VLOOKUP(Data!H555,Codes!$A$23:$B$25,2,FALSE()),"Invalid ("&amp;Data!H555&amp;")"))</f>
        <v>Normal</v>
      </c>
      <c r="I555" s="20" t="n">
        <f aca="false">IF(Data!I555="","",Data!I555)</f>
        <v>120</v>
      </c>
      <c r="J555" s="28" t="str">
        <f aca="false">IF(Data!J555="","",IFERROR(VLOOKUP(Data!J555,Codes!$A$29:$B$30,2,FALSE()),"Invalid ("&amp;Data!J555&amp;")"))</f>
        <v>Yes</v>
      </c>
      <c r="K555" s="21" t="n">
        <f aca="false">IF(Data!K555="","",Data!K555)</f>
        <v>1</v>
      </c>
      <c r="L555" s="28" t="str">
        <f aca="false">IF(Data!L555="","",IFERROR(VLOOKUP(Data!L555,Codes!$A$34:$B$36,2,FALSE()),"Invalid ("&amp;Data!L555&amp;")"))</f>
        <v>Flat</v>
      </c>
      <c r="M555" s="20" t="str">
        <f aca="false">IF(Data!M555="","",Data!M555)</f>
        <v/>
      </c>
      <c r="N555" s="28" t="str">
        <f aca="false">IF(Data!N555="","",IFERROR(VLOOKUP(Data!N555,Codes!$A$47:$B$49,2,FALSE()),"Invalid ("&amp;Data!N555&amp;")"))</f>
        <v/>
      </c>
      <c r="O555" s="28" t="str">
        <f aca="false">IF(Data!O555="","",IFERROR(VLOOKUP(Data!O555,Codes!$A$53:$B$57,2,FALSE()),"Invalid ("&amp;Data!O555&amp;")"))</f>
        <v>Disease (3)</v>
      </c>
      <c r="P555" s="22" t="str">
        <f aca="false">IF(Data!P555="","",IFERROR(VLOOKUP(Data!P555,Codes!$A$61:$B$64,2,FALSE()),"Invalid ("&amp;Data!P555&amp;")"))</f>
        <v>Hungarian Inst. of Cardiology, Budapest</v>
      </c>
    </row>
    <row r="556" customFormat="false" ht="15" hidden="false" customHeight="false" outlineLevel="0" collapsed="false">
      <c r="A556" s="19" t="n">
        <f aca="false">Data!A556</f>
        <v>555</v>
      </c>
      <c r="B556" s="20" t="n">
        <f aca="false">IF(Data!B556="","",Data!B556)</f>
        <v>44</v>
      </c>
      <c r="C556" s="28" t="str">
        <f aca="false">IF(Data!C556="","",IFERROR(VLOOKUP(Data!C556,Codes!$A$6:$B$7,2,FALSE()),"Invalid ("&amp;Data!C556&amp;")"))</f>
        <v>Male</v>
      </c>
      <c r="D556" s="28" t="str">
        <f aca="false">IF(Data!D556="","",IFERROR(VLOOKUP(Data!D556,Codes!$A$11:$B$14,2,FALSE()),"Invalid ("&amp;Data!D556&amp;")"))</f>
        <v>Asymptomatic</v>
      </c>
      <c r="E556" s="20" t="n">
        <f aca="false">IF(Data!E556="","",Data!E556)</f>
        <v>135</v>
      </c>
      <c r="F556" s="20" t="n">
        <f aca="false">IF(Data!F556="","",Data!F556)</f>
        <v>491</v>
      </c>
      <c r="G556" s="28" t="str">
        <f aca="false">IF(Data!G556="","",IFERROR(VLOOKUP(Data!G556,Codes!$A$18:$B$19,2,FALSE()),"Invalid ("&amp;Data!G556&amp;")"))</f>
        <v>No</v>
      </c>
      <c r="H556" s="28" t="str">
        <f aca="false">IF(Data!H556="","",IFERROR(VLOOKUP(Data!H556,Codes!$A$23:$B$25,2,FALSE()),"Invalid ("&amp;Data!H556&amp;")"))</f>
        <v>Normal</v>
      </c>
      <c r="I556" s="20" t="n">
        <f aca="false">IF(Data!I556="","",Data!I556)</f>
        <v>135</v>
      </c>
      <c r="J556" s="28" t="str">
        <f aca="false">IF(Data!J556="","",IFERROR(VLOOKUP(Data!J556,Codes!$A$29:$B$30,2,FALSE()),"Invalid ("&amp;Data!J556&amp;")"))</f>
        <v>No</v>
      </c>
      <c r="K556" s="21" t="n">
        <f aca="false">IF(Data!K556="","",Data!K556)</f>
        <v>0</v>
      </c>
      <c r="L556" s="28" t="str">
        <f aca="false">IF(Data!L556="","",IFERROR(VLOOKUP(Data!L556,Codes!$A$34:$B$36,2,FALSE()),"Invalid ("&amp;Data!L556&amp;")"))</f>
        <v/>
      </c>
      <c r="M556" s="20" t="str">
        <f aca="false">IF(Data!M556="","",Data!M556)</f>
        <v/>
      </c>
      <c r="N556" s="28" t="str">
        <f aca="false">IF(Data!N556="","",IFERROR(VLOOKUP(Data!N556,Codes!$A$47:$B$49,2,FALSE()),"Invalid ("&amp;Data!N556&amp;")"))</f>
        <v/>
      </c>
      <c r="O556" s="28" t="str">
        <f aca="false">IF(Data!O556="","",IFERROR(VLOOKUP(Data!O556,Codes!$A$53:$B$57,2,FALSE()),"Invalid ("&amp;Data!O556&amp;")"))</f>
        <v>Disease (4)</v>
      </c>
      <c r="P556" s="22" t="str">
        <f aca="false">IF(Data!P556="","",IFERROR(VLOOKUP(Data!P556,Codes!$A$61:$B$64,2,FALSE()),"Invalid ("&amp;Data!P556&amp;")"))</f>
        <v>Hungarian Inst. of Cardiology, Budapest</v>
      </c>
    </row>
    <row r="557" customFormat="false" ht="15" hidden="false" customHeight="false" outlineLevel="0" collapsed="false">
      <c r="A557" s="19" t="n">
        <f aca="false">Data!A557</f>
        <v>556</v>
      </c>
      <c r="B557" s="20" t="n">
        <f aca="false">IF(Data!B557="","",Data!B557)</f>
        <v>48</v>
      </c>
      <c r="C557" s="28" t="str">
        <f aca="false">IF(Data!C557="","",IFERROR(VLOOKUP(Data!C557,Codes!$A$6:$B$7,2,FALSE()),"Invalid ("&amp;Data!C557&amp;")"))</f>
        <v>Male</v>
      </c>
      <c r="D557" s="28" t="str">
        <f aca="false">IF(Data!D557="","",IFERROR(VLOOKUP(Data!D557,Codes!$A$11:$B$14,2,FALSE()),"Invalid ("&amp;Data!D557&amp;")"))</f>
        <v>Asymptomatic</v>
      </c>
      <c r="E557" s="20" t="n">
        <f aca="false">IF(Data!E557="","",Data!E557)</f>
        <v>120</v>
      </c>
      <c r="F557" s="20" t="n">
        <f aca="false">IF(Data!F557="","",Data!F557)</f>
        <v>260</v>
      </c>
      <c r="G557" s="28" t="str">
        <f aca="false">IF(Data!G557="","",IFERROR(VLOOKUP(Data!G557,Codes!$A$18:$B$19,2,FALSE()),"Invalid ("&amp;Data!G557&amp;")"))</f>
        <v>No</v>
      </c>
      <c r="H557" s="28" t="str">
        <f aca="false">IF(Data!H557="","",IFERROR(VLOOKUP(Data!H557,Codes!$A$23:$B$25,2,FALSE()),"Invalid ("&amp;Data!H557&amp;")"))</f>
        <v>Normal</v>
      </c>
      <c r="I557" s="20" t="n">
        <f aca="false">IF(Data!I557="","",Data!I557)</f>
        <v>115</v>
      </c>
      <c r="J557" s="28" t="str">
        <f aca="false">IF(Data!J557="","",IFERROR(VLOOKUP(Data!J557,Codes!$A$29:$B$30,2,FALSE()),"Invalid ("&amp;Data!J557&amp;")"))</f>
        <v>No</v>
      </c>
      <c r="K557" s="21" t="n">
        <f aca="false">IF(Data!K557="","",Data!K557)</f>
        <v>2</v>
      </c>
      <c r="L557" s="28" t="str">
        <f aca="false">IF(Data!L557="","",IFERROR(VLOOKUP(Data!L557,Codes!$A$34:$B$36,2,FALSE()),"Invalid ("&amp;Data!L557&amp;")"))</f>
        <v>Flat</v>
      </c>
      <c r="M557" s="20" t="str">
        <f aca="false">IF(Data!M557="","",Data!M557)</f>
        <v/>
      </c>
      <c r="N557" s="28" t="str">
        <f aca="false">IF(Data!N557="","",IFERROR(VLOOKUP(Data!N557,Codes!$A$47:$B$49,2,FALSE()),"Invalid ("&amp;Data!N557&amp;")"))</f>
        <v/>
      </c>
      <c r="O557" s="28" t="str">
        <f aca="false">IF(Data!O557="","",IFERROR(VLOOKUP(Data!O557,Codes!$A$53:$B$57,2,FALSE()),"Invalid ("&amp;Data!O557&amp;")"))</f>
        <v>Disease (1)</v>
      </c>
      <c r="P557" s="22" t="str">
        <f aca="false">IF(Data!P557="","",IFERROR(VLOOKUP(Data!P557,Codes!$A$61:$B$64,2,FALSE()),"Invalid ("&amp;Data!P557&amp;")"))</f>
        <v>Hungarian Inst. of Cardiology, Budapest</v>
      </c>
    </row>
    <row r="558" customFormat="false" ht="15" hidden="false" customHeight="false" outlineLevel="0" collapsed="false">
      <c r="A558" s="19" t="n">
        <f aca="false">Data!A558</f>
        <v>557</v>
      </c>
      <c r="B558" s="20" t="n">
        <f aca="false">IF(Data!B558="","",Data!B558)</f>
        <v>61</v>
      </c>
      <c r="C558" s="28" t="str">
        <f aca="false">IF(Data!C558="","",IFERROR(VLOOKUP(Data!C558,Codes!$A$6:$B$7,2,FALSE()),"Invalid ("&amp;Data!C558&amp;")"))</f>
        <v>Male</v>
      </c>
      <c r="D558" s="28" t="str">
        <f aca="false">IF(Data!D558="","",IFERROR(VLOOKUP(Data!D558,Codes!$A$11:$B$14,2,FALSE()),"Invalid ("&amp;Data!D558&amp;")"))</f>
        <v>Asymptomatic</v>
      </c>
      <c r="E558" s="20" t="n">
        <f aca="false">IF(Data!E558="","",Data!E558)</f>
        <v>125</v>
      </c>
      <c r="F558" s="20" t="n">
        <f aca="false">IF(Data!F558="","",Data!F558)</f>
        <v>292</v>
      </c>
      <c r="G558" s="28" t="str">
        <f aca="false">IF(Data!G558="","",IFERROR(VLOOKUP(Data!G558,Codes!$A$18:$B$19,2,FALSE()),"Invalid ("&amp;Data!G558&amp;")"))</f>
        <v>No</v>
      </c>
      <c r="H558" s="28" t="str">
        <f aca="false">IF(Data!H558="","",IFERROR(VLOOKUP(Data!H558,Codes!$A$23:$B$25,2,FALSE()),"Invalid ("&amp;Data!H558&amp;")"))</f>
        <v>ST-T wave abnormality</v>
      </c>
      <c r="I558" s="20" t="n">
        <f aca="false">IF(Data!I558="","",Data!I558)</f>
        <v>115</v>
      </c>
      <c r="J558" s="28" t="str">
        <f aca="false">IF(Data!J558="","",IFERROR(VLOOKUP(Data!J558,Codes!$A$29:$B$30,2,FALSE()),"Invalid ("&amp;Data!J558&amp;")"))</f>
        <v>Yes</v>
      </c>
      <c r="K558" s="21" t="n">
        <f aca="false">IF(Data!K558="","",Data!K558)</f>
        <v>0</v>
      </c>
      <c r="L558" s="28" t="str">
        <f aca="false">IF(Data!L558="","",IFERROR(VLOOKUP(Data!L558,Codes!$A$34:$B$36,2,FALSE()),"Invalid ("&amp;Data!L558&amp;")"))</f>
        <v/>
      </c>
      <c r="M558" s="20" t="str">
        <f aca="false">IF(Data!M558="","",Data!M558)</f>
        <v/>
      </c>
      <c r="N558" s="28" t="str">
        <f aca="false">IF(Data!N558="","",IFERROR(VLOOKUP(Data!N558,Codes!$A$47:$B$49,2,FALSE()),"Invalid ("&amp;Data!N558&amp;")"))</f>
        <v/>
      </c>
      <c r="O558" s="28" t="str">
        <f aca="false">IF(Data!O558="","",IFERROR(VLOOKUP(Data!O558,Codes!$A$53:$B$57,2,FALSE()),"Invalid ("&amp;Data!O558&amp;")"))</f>
        <v>No disease</v>
      </c>
      <c r="P558" s="22" t="str">
        <f aca="false">IF(Data!P558="","",IFERROR(VLOOKUP(Data!P558,Codes!$A$61:$B$64,2,FALSE()),"Invalid ("&amp;Data!P558&amp;")"))</f>
        <v>Hungarian Inst. of Cardiology, Budapest</v>
      </c>
    </row>
    <row r="559" customFormat="false" ht="15" hidden="false" customHeight="false" outlineLevel="0" collapsed="false">
      <c r="A559" s="19" t="n">
        <f aca="false">Data!A559</f>
        <v>558</v>
      </c>
      <c r="B559" s="20" t="n">
        <f aca="false">IF(Data!B559="","",Data!B559)</f>
        <v>62</v>
      </c>
      <c r="C559" s="28" t="str">
        <f aca="false">IF(Data!C559="","",IFERROR(VLOOKUP(Data!C559,Codes!$A$6:$B$7,2,FALSE()),"Invalid ("&amp;Data!C559&amp;")"))</f>
        <v>Male</v>
      </c>
      <c r="D559" s="28" t="str">
        <f aca="false">IF(Data!D559="","",IFERROR(VLOOKUP(Data!D559,Codes!$A$11:$B$14,2,FALSE()),"Invalid ("&amp;Data!D559&amp;")"))</f>
        <v>Atypical angina</v>
      </c>
      <c r="E559" s="20" t="n">
        <f aca="false">IF(Data!E559="","",Data!E559)</f>
        <v>140</v>
      </c>
      <c r="F559" s="20" t="n">
        <f aca="false">IF(Data!F559="","",Data!F559)</f>
        <v>271</v>
      </c>
      <c r="G559" s="28" t="str">
        <f aca="false">IF(Data!G559="","",IFERROR(VLOOKUP(Data!G559,Codes!$A$18:$B$19,2,FALSE()),"Invalid ("&amp;Data!G559&amp;")"))</f>
        <v>No</v>
      </c>
      <c r="H559" s="28" t="str">
        <f aca="false">IF(Data!H559="","",IFERROR(VLOOKUP(Data!H559,Codes!$A$23:$B$25,2,FALSE()),"Invalid ("&amp;Data!H559&amp;")"))</f>
        <v>Normal</v>
      </c>
      <c r="I559" s="20" t="n">
        <f aca="false">IF(Data!I559="","",Data!I559)</f>
        <v>152</v>
      </c>
      <c r="J559" s="28" t="str">
        <f aca="false">IF(Data!J559="","",IFERROR(VLOOKUP(Data!J559,Codes!$A$29:$B$30,2,FALSE()),"Invalid ("&amp;Data!J559&amp;")"))</f>
        <v>No</v>
      </c>
      <c r="K559" s="21" t="n">
        <f aca="false">IF(Data!K559="","",Data!K559)</f>
        <v>1</v>
      </c>
      <c r="L559" s="28" t="str">
        <f aca="false">IF(Data!L559="","",IFERROR(VLOOKUP(Data!L559,Codes!$A$34:$B$36,2,FALSE()),"Invalid ("&amp;Data!L559&amp;")"))</f>
        <v>Upsloping</v>
      </c>
      <c r="M559" s="20" t="str">
        <f aca="false">IF(Data!M559="","",Data!M559)</f>
        <v/>
      </c>
      <c r="N559" s="28" t="str">
        <f aca="false">IF(Data!N559="","",IFERROR(VLOOKUP(Data!N559,Codes!$A$47:$B$49,2,FALSE()),"Invalid ("&amp;Data!N559&amp;")"))</f>
        <v/>
      </c>
      <c r="O559" s="28" t="str">
        <f aca="false">IF(Data!O559="","",IFERROR(VLOOKUP(Data!O559,Codes!$A$53:$B$57,2,FALSE()),"Invalid ("&amp;Data!O559&amp;")"))</f>
        <v>No disease</v>
      </c>
      <c r="P559" s="22" t="str">
        <f aca="false">IF(Data!P559="","",IFERROR(VLOOKUP(Data!P559,Codes!$A$61:$B$64,2,FALSE()),"Invalid ("&amp;Data!P559&amp;")"))</f>
        <v>Hungarian Inst. of Cardiology, Budapest</v>
      </c>
    </row>
    <row r="560" customFormat="false" ht="15" hidden="false" customHeight="false" outlineLevel="0" collapsed="false">
      <c r="A560" s="19" t="n">
        <f aca="false">Data!A560</f>
        <v>559</v>
      </c>
      <c r="B560" s="20" t="n">
        <f aca="false">IF(Data!B560="","",Data!B560)</f>
        <v>55</v>
      </c>
      <c r="C560" s="28" t="str">
        <f aca="false">IF(Data!C560="","",IFERROR(VLOOKUP(Data!C560,Codes!$A$6:$B$7,2,FALSE()),"Invalid ("&amp;Data!C560&amp;")"))</f>
        <v>Male</v>
      </c>
      <c r="D560" s="28" t="str">
        <f aca="false">IF(Data!D560="","",IFERROR(VLOOKUP(Data!D560,Codes!$A$11:$B$14,2,FALSE()),"Invalid ("&amp;Data!D560&amp;")"))</f>
        <v>Asymptomatic</v>
      </c>
      <c r="E560" s="20" t="n">
        <f aca="false">IF(Data!E560="","",Data!E560)</f>
        <v>145</v>
      </c>
      <c r="F560" s="20" t="n">
        <f aca="false">IF(Data!F560="","",Data!F560)</f>
        <v>248</v>
      </c>
      <c r="G560" s="28" t="str">
        <f aca="false">IF(Data!G560="","",IFERROR(VLOOKUP(Data!G560,Codes!$A$18:$B$19,2,FALSE()),"Invalid ("&amp;Data!G560&amp;")"))</f>
        <v>No</v>
      </c>
      <c r="H560" s="28" t="str">
        <f aca="false">IF(Data!H560="","",IFERROR(VLOOKUP(Data!H560,Codes!$A$23:$B$25,2,FALSE()),"Invalid ("&amp;Data!H560&amp;")"))</f>
        <v>Normal</v>
      </c>
      <c r="I560" s="20" t="n">
        <f aca="false">IF(Data!I560="","",Data!I560)</f>
        <v>96</v>
      </c>
      <c r="J560" s="28" t="str">
        <f aca="false">IF(Data!J560="","",IFERROR(VLOOKUP(Data!J560,Codes!$A$29:$B$30,2,FALSE()),"Invalid ("&amp;Data!J560&amp;")"))</f>
        <v>Yes</v>
      </c>
      <c r="K560" s="21" t="n">
        <f aca="false">IF(Data!K560="","",Data!K560)</f>
        <v>2</v>
      </c>
      <c r="L560" s="28" t="str">
        <f aca="false">IF(Data!L560="","",IFERROR(VLOOKUP(Data!L560,Codes!$A$34:$B$36,2,FALSE()),"Invalid ("&amp;Data!L560&amp;")"))</f>
        <v>Flat</v>
      </c>
      <c r="M560" s="20" t="str">
        <f aca="false">IF(Data!M560="","",Data!M560)</f>
        <v/>
      </c>
      <c r="N560" s="28" t="str">
        <f aca="false">IF(Data!N560="","",IFERROR(VLOOKUP(Data!N560,Codes!$A$47:$B$49,2,FALSE()),"Invalid ("&amp;Data!N560&amp;")"))</f>
        <v/>
      </c>
      <c r="O560" s="28" t="str">
        <f aca="false">IF(Data!O560="","",IFERROR(VLOOKUP(Data!O560,Codes!$A$53:$B$57,2,FALSE()),"Invalid ("&amp;Data!O560&amp;")"))</f>
        <v>Disease (3)</v>
      </c>
      <c r="P560" s="22" t="str">
        <f aca="false">IF(Data!P560="","",IFERROR(VLOOKUP(Data!P560,Codes!$A$61:$B$64,2,FALSE()),"Invalid ("&amp;Data!P560&amp;")"))</f>
        <v>Hungarian Inst. of Cardiology, Budapest</v>
      </c>
    </row>
    <row r="561" customFormat="false" ht="15" hidden="false" customHeight="false" outlineLevel="0" collapsed="false">
      <c r="A561" s="19" t="n">
        <f aca="false">Data!A561</f>
        <v>560</v>
      </c>
      <c r="B561" s="20" t="n">
        <f aca="false">IF(Data!B561="","",Data!B561)</f>
        <v>53</v>
      </c>
      <c r="C561" s="28" t="str">
        <f aca="false">IF(Data!C561="","",IFERROR(VLOOKUP(Data!C561,Codes!$A$6:$B$7,2,FALSE()),"Invalid ("&amp;Data!C561&amp;")"))</f>
        <v>Female</v>
      </c>
      <c r="D561" s="28" t="str">
        <f aca="false">IF(Data!D561="","",IFERROR(VLOOKUP(Data!D561,Codes!$A$11:$B$14,2,FALSE()),"Invalid ("&amp;Data!D561&amp;")"))</f>
        <v>Non-anginal pain</v>
      </c>
      <c r="E561" s="20" t="n">
        <f aca="false">IF(Data!E561="","",Data!E561)</f>
        <v>120</v>
      </c>
      <c r="F561" s="20" t="n">
        <f aca="false">IF(Data!F561="","",Data!F561)</f>
        <v>274</v>
      </c>
      <c r="G561" s="28" t="str">
        <f aca="false">IF(Data!G561="","",IFERROR(VLOOKUP(Data!G561,Codes!$A$18:$B$19,2,FALSE()),"Invalid ("&amp;Data!G561&amp;")"))</f>
        <v>No</v>
      </c>
      <c r="H561" s="28" t="str">
        <f aca="false">IF(Data!H561="","",IFERROR(VLOOKUP(Data!H561,Codes!$A$23:$B$25,2,FALSE()),"Invalid ("&amp;Data!H561&amp;")"))</f>
        <v>Normal</v>
      </c>
      <c r="I561" s="20" t="n">
        <f aca="false">IF(Data!I561="","",Data!I561)</f>
        <v>130</v>
      </c>
      <c r="J561" s="28" t="str">
        <f aca="false">IF(Data!J561="","",IFERROR(VLOOKUP(Data!J561,Codes!$A$29:$B$30,2,FALSE()),"Invalid ("&amp;Data!J561&amp;")"))</f>
        <v>No</v>
      </c>
      <c r="K561" s="21" t="n">
        <f aca="false">IF(Data!K561="","",Data!K561)</f>
        <v>0</v>
      </c>
      <c r="L561" s="28" t="str">
        <f aca="false">IF(Data!L561="","",IFERROR(VLOOKUP(Data!L561,Codes!$A$34:$B$36,2,FALSE()),"Invalid ("&amp;Data!L561&amp;")"))</f>
        <v/>
      </c>
      <c r="M561" s="20" t="str">
        <f aca="false">IF(Data!M561="","",Data!M561)</f>
        <v/>
      </c>
      <c r="N561" s="28" t="str">
        <f aca="false">IF(Data!N561="","",IFERROR(VLOOKUP(Data!N561,Codes!$A$47:$B$49,2,FALSE()),"Invalid ("&amp;Data!N561&amp;")"))</f>
        <v/>
      </c>
      <c r="O561" s="28" t="str">
        <f aca="false">IF(Data!O561="","",IFERROR(VLOOKUP(Data!O561,Codes!$A$53:$B$57,2,FALSE()),"Invalid ("&amp;Data!O561&amp;")"))</f>
        <v>No disease</v>
      </c>
      <c r="P561" s="22" t="str">
        <f aca="false">IF(Data!P561="","",IFERROR(VLOOKUP(Data!P561,Codes!$A$61:$B$64,2,FALSE()),"Invalid ("&amp;Data!P561&amp;")"))</f>
        <v>Hungarian Inst. of Cardiology, Budapest</v>
      </c>
    </row>
    <row r="562" customFormat="false" ht="15" hidden="false" customHeight="false" outlineLevel="0" collapsed="false">
      <c r="A562" s="19" t="n">
        <f aca="false">Data!A562</f>
        <v>561</v>
      </c>
      <c r="B562" s="20" t="n">
        <f aca="false">IF(Data!B562="","",Data!B562)</f>
        <v>55</v>
      </c>
      <c r="C562" s="28" t="str">
        <f aca="false">IF(Data!C562="","",IFERROR(VLOOKUP(Data!C562,Codes!$A$6:$B$7,2,FALSE()),"Invalid ("&amp;Data!C562&amp;")"))</f>
        <v>Female</v>
      </c>
      <c r="D562" s="28" t="str">
        <f aca="false">IF(Data!D562="","",IFERROR(VLOOKUP(Data!D562,Codes!$A$11:$B$14,2,FALSE()),"Invalid ("&amp;Data!D562&amp;")"))</f>
        <v>Atypical angina</v>
      </c>
      <c r="E562" s="20" t="n">
        <f aca="false">IF(Data!E562="","",Data!E562)</f>
        <v>130</v>
      </c>
      <c r="F562" s="20" t="n">
        <f aca="false">IF(Data!F562="","",Data!F562)</f>
        <v>394</v>
      </c>
      <c r="G562" s="28" t="str">
        <f aca="false">IF(Data!G562="","",IFERROR(VLOOKUP(Data!G562,Codes!$A$18:$B$19,2,FALSE()),"Invalid ("&amp;Data!G562&amp;")"))</f>
        <v>No</v>
      </c>
      <c r="H562" s="28" t="str">
        <f aca="false">IF(Data!H562="","",IFERROR(VLOOKUP(Data!H562,Codes!$A$23:$B$25,2,FALSE()),"Invalid ("&amp;Data!H562&amp;")"))</f>
        <v>Left ventricular hypertrophy</v>
      </c>
      <c r="I562" s="20" t="n">
        <f aca="false">IF(Data!I562="","",Data!I562)</f>
        <v>150</v>
      </c>
      <c r="J562" s="28" t="str">
        <f aca="false">IF(Data!J562="","",IFERROR(VLOOKUP(Data!J562,Codes!$A$29:$B$30,2,FALSE()),"Invalid ("&amp;Data!J562&amp;")"))</f>
        <v>No</v>
      </c>
      <c r="K562" s="21" t="n">
        <f aca="false">IF(Data!K562="","",Data!K562)</f>
        <v>0</v>
      </c>
      <c r="L562" s="28" t="str">
        <f aca="false">IF(Data!L562="","",IFERROR(VLOOKUP(Data!L562,Codes!$A$34:$B$36,2,FALSE()),"Invalid ("&amp;Data!L562&amp;")"))</f>
        <v/>
      </c>
      <c r="M562" s="20" t="str">
        <f aca="false">IF(Data!M562="","",Data!M562)</f>
        <v/>
      </c>
      <c r="N562" s="28" t="str">
        <f aca="false">IF(Data!N562="","",IFERROR(VLOOKUP(Data!N562,Codes!$A$47:$B$49,2,FALSE()),"Invalid ("&amp;Data!N562&amp;")"))</f>
        <v/>
      </c>
      <c r="O562" s="28" t="str">
        <f aca="false">IF(Data!O562="","",IFERROR(VLOOKUP(Data!O562,Codes!$A$53:$B$57,2,FALSE()),"Invalid ("&amp;Data!O562&amp;")"))</f>
        <v>No disease</v>
      </c>
      <c r="P562" s="22" t="str">
        <f aca="false">IF(Data!P562="","",IFERROR(VLOOKUP(Data!P562,Codes!$A$61:$B$64,2,FALSE()),"Invalid ("&amp;Data!P562&amp;")"))</f>
        <v>Hungarian Inst. of Cardiology, Budapest</v>
      </c>
    </row>
    <row r="563" customFormat="false" ht="15" hidden="false" customHeight="false" outlineLevel="0" collapsed="false">
      <c r="A563" s="19" t="n">
        <f aca="false">Data!A563</f>
        <v>562</v>
      </c>
      <c r="B563" s="20" t="n">
        <f aca="false">IF(Data!B563="","",Data!B563)</f>
        <v>36</v>
      </c>
      <c r="C563" s="28" t="str">
        <f aca="false">IF(Data!C563="","",IFERROR(VLOOKUP(Data!C563,Codes!$A$6:$B$7,2,FALSE()),"Invalid ("&amp;Data!C563&amp;")"))</f>
        <v>Male</v>
      </c>
      <c r="D563" s="28" t="str">
        <f aca="false">IF(Data!D563="","",IFERROR(VLOOKUP(Data!D563,Codes!$A$11:$B$14,2,FALSE()),"Invalid ("&amp;Data!D563&amp;")"))</f>
        <v>Non-anginal pain</v>
      </c>
      <c r="E563" s="20" t="n">
        <f aca="false">IF(Data!E563="","",Data!E563)</f>
        <v>150</v>
      </c>
      <c r="F563" s="20" t="n">
        <f aca="false">IF(Data!F563="","",Data!F563)</f>
        <v>160</v>
      </c>
      <c r="G563" s="28" t="str">
        <f aca="false">IF(Data!G563="","",IFERROR(VLOOKUP(Data!G563,Codes!$A$18:$B$19,2,FALSE()),"Invalid ("&amp;Data!G563&amp;")"))</f>
        <v>No</v>
      </c>
      <c r="H563" s="28" t="str">
        <f aca="false">IF(Data!H563="","",IFERROR(VLOOKUP(Data!H563,Codes!$A$23:$B$25,2,FALSE()),"Invalid ("&amp;Data!H563&amp;")"))</f>
        <v>Normal</v>
      </c>
      <c r="I563" s="20" t="n">
        <f aca="false">IF(Data!I563="","",Data!I563)</f>
        <v>172</v>
      </c>
      <c r="J563" s="28" t="str">
        <f aca="false">IF(Data!J563="","",IFERROR(VLOOKUP(Data!J563,Codes!$A$29:$B$30,2,FALSE()),"Invalid ("&amp;Data!J563&amp;")"))</f>
        <v>No</v>
      </c>
      <c r="K563" s="21" t="n">
        <f aca="false">IF(Data!K563="","",Data!K563)</f>
        <v>0</v>
      </c>
      <c r="L563" s="28" t="str">
        <f aca="false">IF(Data!L563="","",IFERROR(VLOOKUP(Data!L563,Codes!$A$34:$B$36,2,FALSE()),"Invalid ("&amp;Data!L563&amp;")"))</f>
        <v/>
      </c>
      <c r="M563" s="20" t="str">
        <f aca="false">IF(Data!M563="","",Data!M563)</f>
        <v/>
      </c>
      <c r="N563" s="28" t="str">
        <f aca="false">IF(Data!N563="","",IFERROR(VLOOKUP(Data!N563,Codes!$A$47:$B$49,2,FALSE()),"Invalid ("&amp;Data!N563&amp;")"))</f>
        <v/>
      </c>
      <c r="O563" s="28" t="str">
        <f aca="false">IF(Data!O563="","",IFERROR(VLOOKUP(Data!O563,Codes!$A$53:$B$57,2,FALSE()),"Invalid ("&amp;Data!O563&amp;")"))</f>
        <v>No disease</v>
      </c>
      <c r="P563" s="22" t="str">
        <f aca="false">IF(Data!P563="","",IFERROR(VLOOKUP(Data!P563,Codes!$A$61:$B$64,2,FALSE()),"Invalid ("&amp;Data!P563&amp;")"))</f>
        <v>Hungarian Inst. of Cardiology, Budapest</v>
      </c>
    </row>
    <row r="564" customFormat="false" ht="15" hidden="false" customHeight="false" outlineLevel="0" collapsed="false">
      <c r="A564" s="19" t="n">
        <f aca="false">Data!A564</f>
        <v>563</v>
      </c>
      <c r="B564" s="20" t="n">
        <f aca="false">IF(Data!B564="","",Data!B564)</f>
        <v>51</v>
      </c>
      <c r="C564" s="28" t="str">
        <f aca="false">IF(Data!C564="","",IFERROR(VLOOKUP(Data!C564,Codes!$A$6:$B$7,2,FALSE()),"Invalid ("&amp;Data!C564&amp;")"))</f>
        <v>Female</v>
      </c>
      <c r="D564" s="28" t="str">
        <f aca="false">IF(Data!D564="","",IFERROR(VLOOKUP(Data!D564,Codes!$A$11:$B$14,2,FALSE()),"Invalid ("&amp;Data!D564&amp;")"))</f>
        <v>Non-anginal pain</v>
      </c>
      <c r="E564" s="20" t="n">
        <f aca="false">IF(Data!E564="","",Data!E564)</f>
        <v>150</v>
      </c>
      <c r="F564" s="20" t="n">
        <f aca="false">IF(Data!F564="","",Data!F564)</f>
        <v>200</v>
      </c>
      <c r="G564" s="28" t="str">
        <f aca="false">IF(Data!G564="","",IFERROR(VLOOKUP(Data!G564,Codes!$A$18:$B$19,2,FALSE()),"Invalid ("&amp;Data!G564&amp;")"))</f>
        <v>No</v>
      </c>
      <c r="H564" s="28" t="str">
        <f aca="false">IF(Data!H564="","",IFERROR(VLOOKUP(Data!H564,Codes!$A$23:$B$25,2,FALSE()),"Invalid ("&amp;Data!H564&amp;")"))</f>
        <v>Normal</v>
      </c>
      <c r="I564" s="20" t="n">
        <f aca="false">IF(Data!I564="","",Data!I564)</f>
        <v>120</v>
      </c>
      <c r="J564" s="28" t="str">
        <f aca="false">IF(Data!J564="","",IFERROR(VLOOKUP(Data!J564,Codes!$A$29:$B$30,2,FALSE()),"Invalid ("&amp;Data!J564&amp;")"))</f>
        <v>No</v>
      </c>
      <c r="K564" s="21" t="n">
        <f aca="false">IF(Data!K564="","",Data!K564)</f>
        <v>0.5</v>
      </c>
      <c r="L564" s="28" t="str">
        <f aca="false">IF(Data!L564="","",IFERROR(VLOOKUP(Data!L564,Codes!$A$34:$B$36,2,FALSE()),"Invalid ("&amp;Data!L564&amp;")"))</f>
        <v>Upsloping</v>
      </c>
      <c r="M564" s="20" t="str">
        <f aca="false">IF(Data!M564="","",Data!M564)</f>
        <v/>
      </c>
      <c r="N564" s="28" t="str">
        <f aca="false">IF(Data!N564="","",IFERROR(VLOOKUP(Data!N564,Codes!$A$47:$B$49,2,FALSE()),"Invalid ("&amp;Data!N564&amp;")"))</f>
        <v/>
      </c>
      <c r="O564" s="28" t="str">
        <f aca="false">IF(Data!O564="","",IFERROR(VLOOKUP(Data!O564,Codes!$A$53:$B$57,2,FALSE()),"Invalid ("&amp;Data!O564&amp;")"))</f>
        <v>No disease</v>
      </c>
      <c r="P564" s="22" t="str">
        <f aca="false">IF(Data!P564="","",IFERROR(VLOOKUP(Data!P564,Codes!$A$61:$B$64,2,FALSE()),"Invalid ("&amp;Data!P564&amp;")"))</f>
        <v>Hungarian Inst. of Cardiology, Budapest</v>
      </c>
    </row>
    <row r="565" customFormat="false" ht="15" hidden="false" customHeight="false" outlineLevel="0" collapsed="false">
      <c r="A565" s="19" t="n">
        <f aca="false">Data!A565</f>
        <v>564</v>
      </c>
      <c r="B565" s="20" t="n">
        <f aca="false">IF(Data!B565="","",Data!B565)</f>
        <v>55</v>
      </c>
      <c r="C565" s="28" t="str">
        <f aca="false">IF(Data!C565="","",IFERROR(VLOOKUP(Data!C565,Codes!$A$6:$B$7,2,FALSE()),"Invalid ("&amp;Data!C565&amp;")"))</f>
        <v>Female</v>
      </c>
      <c r="D565" s="28" t="str">
        <f aca="false">IF(Data!D565="","",IFERROR(VLOOKUP(Data!D565,Codes!$A$11:$B$14,2,FALSE()),"Invalid ("&amp;Data!D565&amp;")"))</f>
        <v>Atypical angina</v>
      </c>
      <c r="E565" s="20" t="n">
        <f aca="false">IF(Data!E565="","",Data!E565)</f>
        <v>122</v>
      </c>
      <c r="F565" s="20" t="n">
        <f aca="false">IF(Data!F565="","",Data!F565)</f>
        <v>320</v>
      </c>
      <c r="G565" s="28" t="str">
        <f aca="false">IF(Data!G565="","",IFERROR(VLOOKUP(Data!G565,Codes!$A$18:$B$19,2,FALSE()),"Invalid ("&amp;Data!G565&amp;")"))</f>
        <v>No</v>
      </c>
      <c r="H565" s="28" t="str">
        <f aca="false">IF(Data!H565="","",IFERROR(VLOOKUP(Data!H565,Codes!$A$23:$B$25,2,FALSE()),"Invalid ("&amp;Data!H565&amp;")"))</f>
        <v>Normal</v>
      </c>
      <c r="I565" s="20" t="n">
        <f aca="false">IF(Data!I565="","",Data!I565)</f>
        <v>155</v>
      </c>
      <c r="J565" s="28" t="str">
        <f aca="false">IF(Data!J565="","",IFERROR(VLOOKUP(Data!J565,Codes!$A$29:$B$30,2,FALSE()),"Invalid ("&amp;Data!J565&amp;")"))</f>
        <v>No</v>
      </c>
      <c r="K565" s="21" t="n">
        <f aca="false">IF(Data!K565="","",Data!K565)</f>
        <v>0</v>
      </c>
      <c r="L565" s="28" t="str">
        <f aca="false">IF(Data!L565="","",IFERROR(VLOOKUP(Data!L565,Codes!$A$34:$B$36,2,FALSE()),"Invalid ("&amp;Data!L565&amp;")"))</f>
        <v/>
      </c>
      <c r="M565" s="20" t="str">
        <f aca="false">IF(Data!M565="","",Data!M565)</f>
        <v/>
      </c>
      <c r="N565" s="28" t="str">
        <f aca="false">IF(Data!N565="","",IFERROR(VLOOKUP(Data!N565,Codes!$A$47:$B$49,2,FALSE()),"Invalid ("&amp;Data!N565&amp;")"))</f>
        <v/>
      </c>
      <c r="O565" s="28" t="str">
        <f aca="false">IF(Data!O565="","",IFERROR(VLOOKUP(Data!O565,Codes!$A$53:$B$57,2,FALSE()),"Invalid ("&amp;Data!O565&amp;")"))</f>
        <v>No disease</v>
      </c>
      <c r="P565" s="22" t="str">
        <f aca="false">IF(Data!P565="","",IFERROR(VLOOKUP(Data!P565,Codes!$A$61:$B$64,2,FALSE()),"Invalid ("&amp;Data!P565&amp;")"))</f>
        <v>Hungarian Inst. of Cardiology, Budapest</v>
      </c>
    </row>
    <row r="566" customFormat="false" ht="15" hidden="false" customHeight="false" outlineLevel="0" collapsed="false">
      <c r="A566" s="19" t="n">
        <f aca="false">Data!A566</f>
        <v>565</v>
      </c>
      <c r="B566" s="20" t="n">
        <f aca="false">IF(Data!B566="","",Data!B566)</f>
        <v>46</v>
      </c>
      <c r="C566" s="28" t="str">
        <f aca="false">IF(Data!C566="","",IFERROR(VLOOKUP(Data!C566,Codes!$A$6:$B$7,2,FALSE()),"Invalid ("&amp;Data!C566&amp;")"))</f>
        <v>Male</v>
      </c>
      <c r="D566" s="28" t="str">
        <f aca="false">IF(Data!D566="","",IFERROR(VLOOKUP(Data!D566,Codes!$A$11:$B$14,2,FALSE()),"Invalid ("&amp;Data!D566&amp;")"))</f>
        <v>Atypical angina</v>
      </c>
      <c r="E566" s="20" t="n">
        <f aca="false">IF(Data!E566="","",Data!E566)</f>
        <v>140</v>
      </c>
      <c r="F566" s="20" t="n">
        <f aca="false">IF(Data!F566="","",Data!F566)</f>
        <v>275</v>
      </c>
      <c r="G566" s="28" t="str">
        <f aca="false">IF(Data!G566="","",IFERROR(VLOOKUP(Data!G566,Codes!$A$18:$B$19,2,FALSE()),"Invalid ("&amp;Data!G566&amp;")"))</f>
        <v>No</v>
      </c>
      <c r="H566" s="28" t="str">
        <f aca="false">IF(Data!H566="","",IFERROR(VLOOKUP(Data!H566,Codes!$A$23:$B$25,2,FALSE()),"Invalid ("&amp;Data!H566&amp;")"))</f>
        <v>Normal</v>
      </c>
      <c r="I566" s="20" t="n">
        <f aca="false">IF(Data!I566="","",Data!I566)</f>
        <v>165</v>
      </c>
      <c r="J566" s="28" t="str">
        <f aca="false">IF(Data!J566="","",IFERROR(VLOOKUP(Data!J566,Codes!$A$29:$B$30,2,FALSE()),"Invalid ("&amp;Data!J566&amp;")"))</f>
        <v>Yes</v>
      </c>
      <c r="K566" s="21" t="n">
        <f aca="false">IF(Data!K566="","",Data!K566)</f>
        <v>0</v>
      </c>
      <c r="L566" s="28" t="str">
        <f aca="false">IF(Data!L566="","",IFERROR(VLOOKUP(Data!L566,Codes!$A$34:$B$36,2,FALSE()),"Invalid ("&amp;Data!L566&amp;")"))</f>
        <v/>
      </c>
      <c r="M566" s="20" t="str">
        <f aca="false">IF(Data!M566="","",Data!M566)</f>
        <v/>
      </c>
      <c r="N566" s="28" t="str">
        <f aca="false">IF(Data!N566="","",IFERROR(VLOOKUP(Data!N566,Codes!$A$47:$B$49,2,FALSE()),"Invalid ("&amp;Data!N566&amp;")"))</f>
        <v/>
      </c>
      <c r="O566" s="28" t="str">
        <f aca="false">IF(Data!O566="","",IFERROR(VLOOKUP(Data!O566,Codes!$A$53:$B$57,2,FALSE()),"Invalid ("&amp;Data!O566&amp;")"))</f>
        <v>No disease</v>
      </c>
      <c r="P566" s="22" t="str">
        <f aca="false">IF(Data!P566="","",IFERROR(VLOOKUP(Data!P566,Codes!$A$61:$B$64,2,FALSE()),"Invalid ("&amp;Data!P566&amp;")"))</f>
        <v>Hungarian Inst. of Cardiology, Budapest</v>
      </c>
    </row>
    <row r="567" customFormat="false" ht="15" hidden="false" customHeight="false" outlineLevel="0" collapsed="false">
      <c r="A567" s="19" t="n">
        <f aca="false">Data!A567</f>
        <v>566</v>
      </c>
      <c r="B567" s="20" t="n">
        <f aca="false">IF(Data!B567="","",Data!B567)</f>
        <v>54</v>
      </c>
      <c r="C567" s="28" t="str">
        <f aca="false">IF(Data!C567="","",IFERROR(VLOOKUP(Data!C567,Codes!$A$6:$B$7,2,FALSE()),"Invalid ("&amp;Data!C567&amp;")"))</f>
        <v>Female</v>
      </c>
      <c r="D567" s="28" t="str">
        <f aca="false">IF(Data!D567="","",IFERROR(VLOOKUP(Data!D567,Codes!$A$11:$B$14,2,FALSE()),"Invalid ("&amp;Data!D567&amp;")"))</f>
        <v>Atypical angina</v>
      </c>
      <c r="E567" s="20" t="n">
        <f aca="false">IF(Data!E567="","",Data!E567)</f>
        <v>120</v>
      </c>
      <c r="F567" s="20" t="n">
        <f aca="false">IF(Data!F567="","",Data!F567)</f>
        <v>221</v>
      </c>
      <c r="G567" s="28" t="str">
        <f aca="false">IF(Data!G567="","",IFERROR(VLOOKUP(Data!G567,Codes!$A$18:$B$19,2,FALSE()),"Invalid ("&amp;Data!G567&amp;")"))</f>
        <v>No</v>
      </c>
      <c r="H567" s="28" t="str">
        <f aca="false">IF(Data!H567="","",IFERROR(VLOOKUP(Data!H567,Codes!$A$23:$B$25,2,FALSE()),"Invalid ("&amp;Data!H567&amp;")"))</f>
        <v>Normal</v>
      </c>
      <c r="I567" s="20" t="n">
        <f aca="false">IF(Data!I567="","",Data!I567)</f>
        <v>138</v>
      </c>
      <c r="J567" s="28" t="str">
        <f aca="false">IF(Data!J567="","",IFERROR(VLOOKUP(Data!J567,Codes!$A$29:$B$30,2,FALSE()),"Invalid ("&amp;Data!J567&amp;")"))</f>
        <v>No</v>
      </c>
      <c r="K567" s="21" t="n">
        <f aca="false">IF(Data!K567="","",Data!K567)</f>
        <v>1</v>
      </c>
      <c r="L567" s="28" t="str">
        <f aca="false">IF(Data!L567="","",IFERROR(VLOOKUP(Data!L567,Codes!$A$34:$B$36,2,FALSE()),"Invalid ("&amp;Data!L567&amp;")"))</f>
        <v>Upsloping</v>
      </c>
      <c r="M567" s="20" t="str">
        <f aca="false">IF(Data!M567="","",Data!M567)</f>
        <v/>
      </c>
      <c r="N567" s="28" t="str">
        <f aca="false">IF(Data!N567="","",IFERROR(VLOOKUP(Data!N567,Codes!$A$47:$B$49,2,FALSE()),"Invalid ("&amp;Data!N567&amp;")"))</f>
        <v/>
      </c>
      <c r="O567" s="28" t="str">
        <f aca="false">IF(Data!O567="","",IFERROR(VLOOKUP(Data!O567,Codes!$A$53:$B$57,2,FALSE()),"Invalid ("&amp;Data!O567&amp;")"))</f>
        <v>No disease</v>
      </c>
      <c r="P567" s="22" t="str">
        <f aca="false">IF(Data!P567="","",IFERROR(VLOOKUP(Data!P567,Codes!$A$61:$B$64,2,FALSE()),"Invalid ("&amp;Data!P567&amp;")"))</f>
        <v>Hungarian Inst. of Cardiology, Budapest</v>
      </c>
    </row>
    <row r="568" customFormat="false" ht="15" hidden="false" customHeight="false" outlineLevel="0" collapsed="false">
      <c r="A568" s="19" t="n">
        <f aca="false">Data!A568</f>
        <v>567</v>
      </c>
      <c r="B568" s="20" t="n">
        <f aca="false">IF(Data!B568="","",Data!B568)</f>
        <v>46</v>
      </c>
      <c r="C568" s="28" t="str">
        <f aca="false">IF(Data!C568="","",IFERROR(VLOOKUP(Data!C568,Codes!$A$6:$B$7,2,FALSE()),"Invalid ("&amp;Data!C568&amp;")"))</f>
        <v>Male</v>
      </c>
      <c r="D568" s="28" t="str">
        <f aca="false">IF(Data!D568="","",IFERROR(VLOOKUP(Data!D568,Codes!$A$11:$B$14,2,FALSE()),"Invalid ("&amp;Data!D568&amp;")"))</f>
        <v>Asymptomatic</v>
      </c>
      <c r="E568" s="20" t="n">
        <f aca="false">IF(Data!E568="","",Data!E568)</f>
        <v>120</v>
      </c>
      <c r="F568" s="20" t="n">
        <f aca="false">IF(Data!F568="","",Data!F568)</f>
        <v>231</v>
      </c>
      <c r="G568" s="28" t="str">
        <f aca="false">IF(Data!G568="","",IFERROR(VLOOKUP(Data!G568,Codes!$A$18:$B$19,2,FALSE()),"Invalid ("&amp;Data!G568&amp;")"))</f>
        <v>No</v>
      </c>
      <c r="H568" s="28" t="str">
        <f aca="false">IF(Data!H568="","",IFERROR(VLOOKUP(Data!H568,Codes!$A$23:$B$25,2,FALSE()),"Invalid ("&amp;Data!H568&amp;")"))</f>
        <v>Normal</v>
      </c>
      <c r="I568" s="20" t="n">
        <f aca="false">IF(Data!I568="","",Data!I568)</f>
        <v>115</v>
      </c>
      <c r="J568" s="28" t="str">
        <f aca="false">IF(Data!J568="","",IFERROR(VLOOKUP(Data!J568,Codes!$A$29:$B$30,2,FALSE()),"Invalid ("&amp;Data!J568&amp;")"))</f>
        <v>Yes</v>
      </c>
      <c r="K568" s="21" t="n">
        <f aca="false">IF(Data!K568="","",Data!K568)</f>
        <v>0</v>
      </c>
      <c r="L568" s="28" t="str">
        <f aca="false">IF(Data!L568="","",IFERROR(VLOOKUP(Data!L568,Codes!$A$34:$B$36,2,FALSE()),"Invalid ("&amp;Data!L568&amp;")"))</f>
        <v/>
      </c>
      <c r="M568" s="20" t="str">
        <f aca="false">IF(Data!M568="","",Data!M568)</f>
        <v/>
      </c>
      <c r="N568" s="28" t="str">
        <f aca="false">IF(Data!N568="","",IFERROR(VLOOKUP(Data!N568,Codes!$A$47:$B$49,2,FALSE()),"Invalid ("&amp;Data!N568&amp;")"))</f>
        <v/>
      </c>
      <c r="O568" s="28" t="str">
        <f aca="false">IF(Data!O568="","",IFERROR(VLOOKUP(Data!O568,Codes!$A$53:$B$57,2,FALSE()),"Invalid ("&amp;Data!O568&amp;")"))</f>
        <v>Disease (2)</v>
      </c>
      <c r="P568" s="22" t="str">
        <f aca="false">IF(Data!P568="","",IFERROR(VLOOKUP(Data!P568,Codes!$A$61:$B$64,2,FALSE()),"Invalid ("&amp;Data!P568&amp;")"))</f>
        <v>Hungarian Inst. of Cardiology, Budapest</v>
      </c>
    </row>
    <row r="569" customFormat="false" ht="15" hidden="false" customHeight="false" outlineLevel="0" collapsed="false">
      <c r="A569" s="19" t="n">
        <f aca="false">Data!A569</f>
        <v>568</v>
      </c>
      <c r="B569" s="20" t="n">
        <f aca="false">IF(Data!B569="","",Data!B569)</f>
        <v>59</v>
      </c>
      <c r="C569" s="28" t="str">
        <f aca="false">IF(Data!C569="","",IFERROR(VLOOKUP(Data!C569,Codes!$A$6:$B$7,2,FALSE()),"Invalid ("&amp;Data!C569&amp;")"))</f>
        <v>Male</v>
      </c>
      <c r="D569" s="28" t="str">
        <f aca="false">IF(Data!D569="","",IFERROR(VLOOKUP(Data!D569,Codes!$A$11:$B$14,2,FALSE()),"Invalid ("&amp;Data!D569&amp;")"))</f>
        <v>Asymptomatic</v>
      </c>
      <c r="E569" s="20" t="n">
        <f aca="false">IF(Data!E569="","",Data!E569)</f>
        <v>130</v>
      </c>
      <c r="F569" s="20" t="str">
        <f aca="false">IF(Data!F569="","",Data!F569)</f>
        <v/>
      </c>
      <c r="G569" s="28" t="str">
        <f aca="false">IF(Data!G569="","",IFERROR(VLOOKUP(Data!G569,Codes!$A$18:$B$19,2,FALSE()),"Invalid ("&amp;Data!G569&amp;")"))</f>
        <v>No</v>
      </c>
      <c r="H569" s="28" t="str">
        <f aca="false">IF(Data!H569="","",IFERROR(VLOOKUP(Data!H569,Codes!$A$23:$B$25,2,FALSE()),"Invalid ("&amp;Data!H569&amp;")"))</f>
        <v>Normal</v>
      </c>
      <c r="I569" s="20" t="n">
        <f aca="false">IF(Data!I569="","",Data!I569)</f>
        <v>125</v>
      </c>
      <c r="J569" s="28" t="str">
        <f aca="false">IF(Data!J569="","",IFERROR(VLOOKUP(Data!J569,Codes!$A$29:$B$30,2,FALSE()),"Invalid ("&amp;Data!J569&amp;")"))</f>
        <v>No</v>
      </c>
      <c r="K569" s="21" t="n">
        <f aca="false">IF(Data!K569="","",Data!K569)</f>
        <v>0</v>
      </c>
      <c r="L569" s="28" t="str">
        <f aca="false">IF(Data!L569="","",IFERROR(VLOOKUP(Data!L569,Codes!$A$34:$B$36,2,FALSE()),"Invalid ("&amp;Data!L569&amp;")"))</f>
        <v/>
      </c>
      <c r="M569" s="20" t="str">
        <f aca="false">IF(Data!M569="","",Data!M569)</f>
        <v/>
      </c>
      <c r="N569" s="28" t="str">
        <f aca="false">IF(Data!N569="","",IFERROR(VLOOKUP(Data!N569,Codes!$A$47:$B$49,2,FALSE()),"Invalid ("&amp;Data!N569&amp;")"))</f>
        <v/>
      </c>
      <c r="O569" s="28" t="str">
        <f aca="false">IF(Data!O569="","",IFERROR(VLOOKUP(Data!O569,Codes!$A$53:$B$57,2,FALSE()),"Invalid ("&amp;Data!O569&amp;")"))</f>
        <v>Disease (3)</v>
      </c>
      <c r="P569" s="22" t="str">
        <f aca="false">IF(Data!P569="","",IFERROR(VLOOKUP(Data!P569,Codes!$A$61:$B$64,2,FALSE()),"Invalid ("&amp;Data!P569&amp;")"))</f>
        <v>Hungarian Inst. of Cardiology, Budapest</v>
      </c>
    </row>
    <row r="570" customFormat="false" ht="15" hidden="false" customHeight="false" outlineLevel="0" collapsed="false">
      <c r="A570" s="19" t="n">
        <f aca="false">Data!A570</f>
        <v>569</v>
      </c>
      <c r="B570" s="20" t="n">
        <f aca="false">IF(Data!B570="","",Data!B570)</f>
        <v>47</v>
      </c>
      <c r="C570" s="28" t="str">
        <f aca="false">IF(Data!C570="","",IFERROR(VLOOKUP(Data!C570,Codes!$A$6:$B$7,2,FALSE()),"Invalid ("&amp;Data!C570&amp;")"))</f>
        <v>Male</v>
      </c>
      <c r="D570" s="28" t="str">
        <f aca="false">IF(Data!D570="","",IFERROR(VLOOKUP(Data!D570,Codes!$A$11:$B$14,2,FALSE()),"Invalid ("&amp;Data!D570&amp;")"))</f>
        <v>Non-anginal pain</v>
      </c>
      <c r="E570" s="20" t="n">
        <f aca="false">IF(Data!E570="","",Data!E570)</f>
        <v>140</v>
      </c>
      <c r="F570" s="20" t="n">
        <f aca="false">IF(Data!F570="","",Data!F570)</f>
        <v>193</v>
      </c>
      <c r="G570" s="28" t="str">
        <f aca="false">IF(Data!G570="","",IFERROR(VLOOKUP(Data!G570,Codes!$A$18:$B$19,2,FALSE()),"Invalid ("&amp;Data!G570&amp;")"))</f>
        <v>No</v>
      </c>
      <c r="H570" s="28" t="str">
        <f aca="false">IF(Data!H570="","",IFERROR(VLOOKUP(Data!H570,Codes!$A$23:$B$25,2,FALSE()),"Invalid ("&amp;Data!H570&amp;")"))</f>
        <v>Normal</v>
      </c>
      <c r="I570" s="20" t="n">
        <f aca="false">IF(Data!I570="","",Data!I570)</f>
        <v>145</v>
      </c>
      <c r="J570" s="28" t="str">
        <f aca="false">IF(Data!J570="","",IFERROR(VLOOKUP(Data!J570,Codes!$A$29:$B$30,2,FALSE()),"Invalid ("&amp;Data!J570&amp;")"))</f>
        <v>Yes</v>
      </c>
      <c r="K570" s="21" t="n">
        <f aca="false">IF(Data!K570="","",Data!K570)</f>
        <v>1</v>
      </c>
      <c r="L570" s="28" t="str">
        <f aca="false">IF(Data!L570="","",IFERROR(VLOOKUP(Data!L570,Codes!$A$34:$B$36,2,FALSE()),"Invalid ("&amp;Data!L570&amp;")"))</f>
        <v>Flat</v>
      </c>
      <c r="M570" s="20" t="str">
        <f aca="false">IF(Data!M570="","",Data!M570)</f>
        <v/>
      </c>
      <c r="N570" s="28" t="str">
        <f aca="false">IF(Data!N570="","",IFERROR(VLOOKUP(Data!N570,Codes!$A$47:$B$49,2,FALSE()),"Invalid ("&amp;Data!N570&amp;")"))</f>
        <v/>
      </c>
      <c r="O570" s="28" t="str">
        <f aca="false">IF(Data!O570="","",IFERROR(VLOOKUP(Data!O570,Codes!$A$53:$B$57,2,FALSE()),"Invalid ("&amp;Data!O570&amp;")"))</f>
        <v>Disease (1)</v>
      </c>
      <c r="P570" s="22" t="str">
        <f aca="false">IF(Data!P570="","",IFERROR(VLOOKUP(Data!P570,Codes!$A$61:$B$64,2,FALSE()),"Invalid ("&amp;Data!P570&amp;")"))</f>
        <v>Hungarian Inst. of Cardiology, Budapest</v>
      </c>
    </row>
    <row r="571" customFormat="false" ht="15" hidden="false" customHeight="false" outlineLevel="0" collapsed="false">
      <c r="A571" s="19" t="n">
        <f aca="false">Data!A571</f>
        <v>570</v>
      </c>
      <c r="B571" s="20" t="n">
        <f aca="false">IF(Data!B571="","",Data!B571)</f>
        <v>54</v>
      </c>
      <c r="C571" s="28" t="str">
        <f aca="false">IF(Data!C571="","",IFERROR(VLOOKUP(Data!C571,Codes!$A$6:$B$7,2,FALSE()),"Invalid ("&amp;Data!C571&amp;")"))</f>
        <v>Male</v>
      </c>
      <c r="D571" s="28" t="str">
        <f aca="false">IF(Data!D571="","",IFERROR(VLOOKUP(Data!D571,Codes!$A$11:$B$14,2,FALSE()),"Invalid ("&amp;Data!D571&amp;")"))</f>
        <v>Atypical angina</v>
      </c>
      <c r="E571" s="20" t="n">
        <f aca="false">IF(Data!E571="","",Data!E571)</f>
        <v>160</v>
      </c>
      <c r="F571" s="20" t="n">
        <f aca="false">IF(Data!F571="","",Data!F571)</f>
        <v>305</v>
      </c>
      <c r="G571" s="28" t="str">
        <f aca="false">IF(Data!G571="","",IFERROR(VLOOKUP(Data!G571,Codes!$A$18:$B$19,2,FALSE()),"Invalid ("&amp;Data!G571&amp;")"))</f>
        <v>No</v>
      </c>
      <c r="H571" s="28" t="str">
        <f aca="false">IF(Data!H571="","",IFERROR(VLOOKUP(Data!H571,Codes!$A$23:$B$25,2,FALSE()),"Invalid ("&amp;Data!H571&amp;")"))</f>
        <v>Normal</v>
      </c>
      <c r="I571" s="20" t="n">
        <f aca="false">IF(Data!I571="","",Data!I571)</f>
        <v>175</v>
      </c>
      <c r="J571" s="28" t="str">
        <f aca="false">IF(Data!J571="","",IFERROR(VLOOKUP(Data!J571,Codes!$A$29:$B$30,2,FALSE()),"Invalid ("&amp;Data!J571&amp;")"))</f>
        <v>No</v>
      </c>
      <c r="K571" s="21" t="n">
        <f aca="false">IF(Data!K571="","",Data!K571)</f>
        <v>0</v>
      </c>
      <c r="L571" s="28" t="str">
        <f aca="false">IF(Data!L571="","",IFERROR(VLOOKUP(Data!L571,Codes!$A$34:$B$36,2,FALSE()),"Invalid ("&amp;Data!L571&amp;")"))</f>
        <v/>
      </c>
      <c r="M571" s="20" t="str">
        <f aca="false">IF(Data!M571="","",Data!M571)</f>
        <v/>
      </c>
      <c r="N571" s="28" t="str">
        <f aca="false">IF(Data!N571="","",IFERROR(VLOOKUP(Data!N571,Codes!$A$47:$B$49,2,FALSE()),"Invalid ("&amp;Data!N571&amp;")"))</f>
        <v/>
      </c>
      <c r="O571" s="28" t="str">
        <f aca="false">IF(Data!O571="","",IFERROR(VLOOKUP(Data!O571,Codes!$A$53:$B$57,2,FALSE()),"Invalid ("&amp;Data!O571&amp;")"))</f>
        <v>No disease</v>
      </c>
      <c r="P571" s="22" t="str">
        <f aca="false">IF(Data!P571="","",IFERROR(VLOOKUP(Data!P571,Codes!$A$61:$B$64,2,FALSE()),"Invalid ("&amp;Data!P571&amp;")"))</f>
        <v>Hungarian Inst. of Cardiology, Budapest</v>
      </c>
    </row>
    <row r="572" customFormat="false" ht="15" hidden="false" customHeight="false" outlineLevel="0" collapsed="false">
      <c r="A572" s="19" t="n">
        <f aca="false">Data!A572</f>
        <v>571</v>
      </c>
      <c r="B572" s="20" t="n">
        <f aca="false">IF(Data!B572="","",Data!B572)</f>
        <v>52</v>
      </c>
      <c r="C572" s="28" t="str">
        <f aca="false">IF(Data!C572="","",IFERROR(VLOOKUP(Data!C572,Codes!$A$6:$B$7,2,FALSE()),"Invalid ("&amp;Data!C572&amp;")"))</f>
        <v>Male</v>
      </c>
      <c r="D572" s="28" t="str">
        <f aca="false">IF(Data!D572="","",IFERROR(VLOOKUP(Data!D572,Codes!$A$11:$B$14,2,FALSE()),"Invalid ("&amp;Data!D572&amp;")"))</f>
        <v>Asymptomatic</v>
      </c>
      <c r="E572" s="20" t="n">
        <f aca="false">IF(Data!E572="","",Data!E572)</f>
        <v>130</v>
      </c>
      <c r="F572" s="20" t="n">
        <f aca="false">IF(Data!F572="","",Data!F572)</f>
        <v>298</v>
      </c>
      <c r="G572" s="28" t="str">
        <f aca="false">IF(Data!G572="","",IFERROR(VLOOKUP(Data!G572,Codes!$A$18:$B$19,2,FALSE()),"Invalid ("&amp;Data!G572&amp;")"))</f>
        <v>No</v>
      </c>
      <c r="H572" s="28" t="str">
        <f aca="false">IF(Data!H572="","",IFERROR(VLOOKUP(Data!H572,Codes!$A$23:$B$25,2,FALSE()),"Invalid ("&amp;Data!H572&amp;")"))</f>
        <v>Normal</v>
      </c>
      <c r="I572" s="20" t="n">
        <f aca="false">IF(Data!I572="","",Data!I572)</f>
        <v>110</v>
      </c>
      <c r="J572" s="28" t="str">
        <f aca="false">IF(Data!J572="","",IFERROR(VLOOKUP(Data!J572,Codes!$A$29:$B$30,2,FALSE()),"Invalid ("&amp;Data!J572&amp;")"))</f>
        <v>Yes</v>
      </c>
      <c r="K572" s="21" t="n">
        <f aca="false">IF(Data!K572="","",Data!K572)</f>
        <v>1</v>
      </c>
      <c r="L572" s="28" t="str">
        <f aca="false">IF(Data!L572="","",IFERROR(VLOOKUP(Data!L572,Codes!$A$34:$B$36,2,FALSE()),"Invalid ("&amp;Data!L572&amp;")"))</f>
        <v>Flat</v>
      </c>
      <c r="M572" s="20" t="str">
        <f aca="false">IF(Data!M572="","",Data!M572)</f>
        <v/>
      </c>
      <c r="N572" s="28" t="str">
        <f aca="false">IF(Data!N572="","",IFERROR(VLOOKUP(Data!N572,Codes!$A$47:$B$49,2,FALSE()),"Invalid ("&amp;Data!N572&amp;")"))</f>
        <v/>
      </c>
      <c r="O572" s="28" t="str">
        <f aca="false">IF(Data!O572="","",IFERROR(VLOOKUP(Data!O572,Codes!$A$53:$B$57,2,FALSE()),"Invalid ("&amp;Data!O572&amp;")"))</f>
        <v>Disease (3)</v>
      </c>
      <c r="P572" s="22" t="str">
        <f aca="false">IF(Data!P572="","",IFERROR(VLOOKUP(Data!P572,Codes!$A$61:$B$64,2,FALSE()),"Invalid ("&amp;Data!P572&amp;")"))</f>
        <v>Hungarian Inst. of Cardiology, Budapest</v>
      </c>
    </row>
    <row r="573" customFormat="false" ht="15" hidden="false" customHeight="false" outlineLevel="0" collapsed="false">
      <c r="A573" s="19" t="n">
        <f aca="false">Data!A573</f>
        <v>572</v>
      </c>
      <c r="B573" s="20" t="n">
        <f aca="false">IF(Data!B573="","",Data!B573)</f>
        <v>34</v>
      </c>
      <c r="C573" s="28" t="str">
        <f aca="false">IF(Data!C573="","",IFERROR(VLOOKUP(Data!C573,Codes!$A$6:$B$7,2,FALSE()),"Invalid ("&amp;Data!C573&amp;")"))</f>
        <v>Male</v>
      </c>
      <c r="D573" s="28" t="str">
        <f aca="false">IF(Data!D573="","",IFERROR(VLOOKUP(Data!D573,Codes!$A$11:$B$14,2,FALSE()),"Invalid ("&amp;Data!D573&amp;")"))</f>
        <v>Atypical angina</v>
      </c>
      <c r="E573" s="20" t="n">
        <f aca="false">IF(Data!E573="","",Data!E573)</f>
        <v>98</v>
      </c>
      <c r="F573" s="20" t="n">
        <f aca="false">IF(Data!F573="","",Data!F573)</f>
        <v>220</v>
      </c>
      <c r="G573" s="28" t="str">
        <f aca="false">IF(Data!G573="","",IFERROR(VLOOKUP(Data!G573,Codes!$A$18:$B$19,2,FALSE()),"Invalid ("&amp;Data!G573&amp;")"))</f>
        <v>No</v>
      </c>
      <c r="H573" s="28" t="str">
        <f aca="false">IF(Data!H573="","",IFERROR(VLOOKUP(Data!H573,Codes!$A$23:$B$25,2,FALSE()),"Invalid ("&amp;Data!H573&amp;")"))</f>
        <v>Normal</v>
      </c>
      <c r="I573" s="20" t="n">
        <f aca="false">IF(Data!I573="","",Data!I573)</f>
        <v>150</v>
      </c>
      <c r="J573" s="28" t="str">
        <f aca="false">IF(Data!J573="","",IFERROR(VLOOKUP(Data!J573,Codes!$A$29:$B$30,2,FALSE()),"Invalid ("&amp;Data!J573&amp;")"))</f>
        <v>No</v>
      </c>
      <c r="K573" s="21" t="n">
        <f aca="false">IF(Data!K573="","",Data!K573)</f>
        <v>0</v>
      </c>
      <c r="L573" s="28" t="str">
        <f aca="false">IF(Data!L573="","",IFERROR(VLOOKUP(Data!L573,Codes!$A$34:$B$36,2,FALSE()),"Invalid ("&amp;Data!L573&amp;")"))</f>
        <v/>
      </c>
      <c r="M573" s="20" t="str">
        <f aca="false">IF(Data!M573="","",Data!M573)</f>
        <v/>
      </c>
      <c r="N573" s="28" t="str">
        <f aca="false">IF(Data!N573="","",IFERROR(VLOOKUP(Data!N573,Codes!$A$47:$B$49,2,FALSE()),"Invalid ("&amp;Data!N573&amp;")"))</f>
        <v/>
      </c>
      <c r="O573" s="28" t="str">
        <f aca="false">IF(Data!O573="","",IFERROR(VLOOKUP(Data!O573,Codes!$A$53:$B$57,2,FALSE()),"Invalid ("&amp;Data!O573&amp;")"))</f>
        <v>No disease</v>
      </c>
      <c r="P573" s="22" t="str">
        <f aca="false">IF(Data!P573="","",IFERROR(VLOOKUP(Data!P573,Codes!$A$61:$B$64,2,FALSE()),"Invalid ("&amp;Data!P573&amp;")"))</f>
        <v>Hungarian Inst. of Cardiology, Budapest</v>
      </c>
    </row>
    <row r="574" customFormat="false" ht="15" hidden="false" customHeight="false" outlineLevel="0" collapsed="false">
      <c r="A574" s="19" t="n">
        <f aca="false">Data!A574</f>
        <v>573</v>
      </c>
      <c r="B574" s="20" t="n">
        <f aca="false">IF(Data!B574="","",Data!B574)</f>
        <v>54</v>
      </c>
      <c r="C574" s="28" t="str">
        <f aca="false">IF(Data!C574="","",IFERROR(VLOOKUP(Data!C574,Codes!$A$6:$B$7,2,FALSE()),"Invalid ("&amp;Data!C574&amp;")"))</f>
        <v>Male</v>
      </c>
      <c r="D574" s="28" t="str">
        <f aca="false">IF(Data!D574="","",IFERROR(VLOOKUP(Data!D574,Codes!$A$11:$B$14,2,FALSE()),"Invalid ("&amp;Data!D574&amp;")"))</f>
        <v>Asymptomatic</v>
      </c>
      <c r="E574" s="20" t="n">
        <f aca="false">IF(Data!E574="","",Data!E574)</f>
        <v>130</v>
      </c>
      <c r="F574" s="20" t="n">
        <f aca="false">IF(Data!F574="","",Data!F574)</f>
        <v>242</v>
      </c>
      <c r="G574" s="28" t="str">
        <f aca="false">IF(Data!G574="","",IFERROR(VLOOKUP(Data!G574,Codes!$A$18:$B$19,2,FALSE()),"Invalid ("&amp;Data!G574&amp;")"))</f>
        <v>No</v>
      </c>
      <c r="H574" s="28" t="str">
        <f aca="false">IF(Data!H574="","",IFERROR(VLOOKUP(Data!H574,Codes!$A$23:$B$25,2,FALSE()),"Invalid ("&amp;Data!H574&amp;")"))</f>
        <v>Normal</v>
      </c>
      <c r="I574" s="20" t="n">
        <f aca="false">IF(Data!I574="","",Data!I574)</f>
        <v>91</v>
      </c>
      <c r="J574" s="28" t="str">
        <f aca="false">IF(Data!J574="","",IFERROR(VLOOKUP(Data!J574,Codes!$A$29:$B$30,2,FALSE()),"Invalid ("&amp;Data!J574&amp;")"))</f>
        <v>Yes</v>
      </c>
      <c r="K574" s="21" t="n">
        <f aca="false">IF(Data!K574="","",Data!K574)</f>
        <v>1</v>
      </c>
      <c r="L574" s="28" t="str">
        <f aca="false">IF(Data!L574="","",IFERROR(VLOOKUP(Data!L574,Codes!$A$34:$B$36,2,FALSE()),"Invalid ("&amp;Data!L574&amp;")"))</f>
        <v>Flat</v>
      </c>
      <c r="M574" s="20" t="str">
        <f aca="false">IF(Data!M574="","",Data!M574)</f>
        <v/>
      </c>
      <c r="N574" s="28" t="str">
        <f aca="false">IF(Data!N574="","",IFERROR(VLOOKUP(Data!N574,Codes!$A$47:$B$49,2,FALSE()),"Invalid ("&amp;Data!N574&amp;")"))</f>
        <v/>
      </c>
      <c r="O574" s="28" t="str">
        <f aca="false">IF(Data!O574="","",IFERROR(VLOOKUP(Data!O574,Codes!$A$53:$B$57,2,FALSE()),"Invalid ("&amp;Data!O574&amp;")"))</f>
        <v>Disease (2)</v>
      </c>
      <c r="P574" s="22" t="str">
        <f aca="false">IF(Data!P574="","",IFERROR(VLOOKUP(Data!P574,Codes!$A$61:$B$64,2,FALSE()),"Invalid ("&amp;Data!P574&amp;")"))</f>
        <v>Hungarian Inst. of Cardiology, Budapest</v>
      </c>
    </row>
    <row r="575" customFormat="false" ht="15" hidden="false" customHeight="false" outlineLevel="0" collapsed="false">
      <c r="A575" s="19" t="n">
        <f aca="false">Data!A575</f>
        <v>574</v>
      </c>
      <c r="B575" s="20" t="n">
        <f aca="false">IF(Data!B575="","",Data!B575)</f>
        <v>47</v>
      </c>
      <c r="C575" s="28" t="str">
        <f aca="false">IF(Data!C575="","",IFERROR(VLOOKUP(Data!C575,Codes!$A$6:$B$7,2,FALSE()),"Invalid ("&amp;Data!C575&amp;")"))</f>
        <v>Female</v>
      </c>
      <c r="D575" s="28" t="str">
        <f aca="false">IF(Data!D575="","",IFERROR(VLOOKUP(Data!D575,Codes!$A$11:$B$14,2,FALSE()),"Invalid ("&amp;Data!D575&amp;")"))</f>
        <v>Non-anginal pain</v>
      </c>
      <c r="E575" s="20" t="n">
        <f aca="false">IF(Data!E575="","",Data!E575)</f>
        <v>130</v>
      </c>
      <c r="F575" s="20" t="str">
        <f aca="false">IF(Data!F575="","",Data!F575)</f>
        <v/>
      </c>
      <c r="G575" s="28" t="str">
        <f aca="false">IF(Data!G575="","",IFERROR(VLOOKUP(Data!G575,Codes!$A$18:$B$19,2,FALSE()),"Invalid ("&amp;Data!G575&amp;")"))</f>
        <v>No</v>
      </c>
      <c r="H575" s="28" t="str">
        <f aca="false">IF(Data!H575="","",IFERROR(VLOOKUP(Data!H575,Codes!$A$23:$B$25,2,FALSE()),"Invalid ("&amp;Data!H575&amp;")"))</f>
        <v>Normal</v>
      </c>
      <c r="I575" s="20" t="n">
        <f aca="false">IF(Data!I575="","",Data!I575)</f>
        <v>145</v>
      </c>
      <c r="J575" s="28" t="str">
        <f aca="false">IF(Data!J575="","",IFERROR(VLOOKUP(Data!J575,Codes!$A$29:$B$30,2,FALSE()),"Invalid ("&amp;Data!J575&amp;")"))</f>
        <v>No</v>
      </c>
      <c r="K575" s="21" t="n">
        <f aca="false">IF(Data!K575="","",Data!K575)</f>
        <v>2</v>
      </c>
      <c r="L575" s="28" t="str">
        <f aca="false">IF(Data!L575="","",IFERROR(VLOOKUP(Data!L575,Codes!$A$34:$B$36,2,FALSE()),"Invalid ("&amp;Data!L575&amp;")"))</f>
        <v>Flat</v>
      </c>
      <c r="M575" s="20" t="str">
        <f aca="false">IF(Data!M575="","",Data!M575)</f>
        <v/>
      </c>
      <c r="N575" s="28" t="str">
        <f aca="false">IF(Data!N575="","",IFERROR(VLOOKUP(Data!N575,Codes!$A$47:$B$49,2,FALSE()),"Invalid ("&amp;Data!N575&amp;")"))</f>
        <v/>
      </c>
      <c r="O575" s="28" t="str">
        <f aca="false">IF(Data!O575="","",IFERROR(VLOOKUP(Data!O575,Codes!$A$53:$B$57,2,FALSE()),"Invalid ("&amp;Data!O575&amp;")"))</f>
        <v>No disease</v>
      </c>
      <c r="P575" s="22" t="str">
        <f aca="false">IF(Data!P575="","",IFERROR(VLOOKUP(Data!P575,Codes!$A$61:$B$64,2,FALSE()),"Invalid ("&amp;Data!P575&amp;")"))</f>
        <v>Hungarian Inst. of Cardiology, Budapest</v>
      </c>
    </row>
    <row r="576" customFormat="false" ht="15" hidden="false" customHeight="false" outlineLevel="0" collapsed="false">
      <c r="A576" s="19" t="n">
        <f aca="false">Data!A576</f>
        <v>575</v>
      </c>
      <c r="B576" s="20" t="n">
        <f aca="false">IF(Data!B576="","",Data!B576)</f>
        <v>45</v>
      </c>
      <c r="C576" s="28" t="str">
        <f aca="false">IF(Data!C576="","",IFERROR(VLOOKUP(Data!C576,Codes!$A$6:$B$7,2,FALSE()),"Invalid ("&amp;Data!C576&amp;")"))</f>
        <v>Male</v>
      </c>
      <c r="D576" s="28" t="str">
        <f aca="false">IF(Data!D576="","",IFERROR(VLOOKUP(Data!D576,Codes!$A$11:$B$14,2,FALSE()),"Invalid ("&amp;Data!D576&amp;")"))</f>
        <v>Asymptomatic</v>
      </c>
      <c r="E576" s="20" t="n">
        <f aca="false">IF(Data!E576="","",Data!E576)</f>
        <v>120</v>
      </c>
      <c r="F576" s="20" t="n">
        <f aca="false">IF(Data!F576="","",Data!F576)</f>
        <v>225</v>
      </c>
      <c r="G576" s="28" t="str">
        <f aca="false">IF(Data!G576="","",IFERROR(VLOOKUP(Data!G576,Codes!$A$18:$B$19,2,FALSE()),"Invalid ("&amp;Data!G576&amp;")"))</f>
        <v>No</v>
      </c>
      <c r="H576" s="28" t="str">
        <f aca="false">IF(Data!H576="","",IFERROR(VLOOKUP(Data!H576,Codes!$A$23:$B$25,2,FALSE()),"Invalid ("&amp;Data!H576&amp;")"))</f>
        <v>Normal</v>
      </c>
      <c r="I576" s="20" t="n">
        <f aca="false">IF(Data!I576="","",Data!I576)</f>
        <v>140</v>
      </c>
      <c r="J576" s="28" t="str">
        <f aca="false">IF(Data!J576="","",IFERROR(VLOOKUP(Data!J576,Codes!$A$29:$B$30,2,FALSE()),"Invalid ("&amp;Data!J576&amp;")"))</f>
        <v>No</v>
      </c>
      <c r="K576" s="21" t="n">
        <f aca="false">IF(Data!K576="","",Data!K576)</f>
        <v>0</v>
      </c>
      <c r="L576" s="28" t="str">
        <f aca="false">IF(Data!L576="","",IFERROR(VLOOKUP(Data!L576,Codes!$A$34:$B$36,2,FALSE()),"Invalid ("&amp;Data!L576&amp;")"))</f>
        <v/>
      </c>
      <c r="M576" s="20" t="str">
        <f aca="false">IF(Data!M576="","",Data!M576)</f>
        <v/>
      </c>
      <c r="N576" s="28" t="str">
        <f aca="false">IF(Data!N576="","",IFERROR(VLOOKUP(Data!N576,Codes!$A$47:$B$49,2,FALSE()),"Invalid ("&amp;Data!N576&amp;")"))</f>
        <v/>
      </c>
      <c r="O576" s="28" t="str">
        <f aca="false">IF(Data!O576="","",IFERROR(VLOOKUP(Data!O576,Codes!$A$53:$B$57,2,FALSE()),"Invalid ("&amp;Data!O576&amp;")"))</f>
        <v>No disease</v>
      </c>
      <c r="P576" s="22" t="str">
        <f aca="false">IF(Data!P576="","",IFERROR(VLOOKUP(Data!P576,Codes!$A$61:$B$64,2,FALSE()),"Invalid ("&amp;Data!P576&amp;")"))</f>
        <v>Hungarian Inst. of Cardiology, Budapest</v>
      </c>
    </row>
    <row r="577" customFormat="false" ht="15" hidden="false" customHeight="false" outlineLevel="0" collapsed="false">
      <c r="A577" s="19" t="n">
        <f aca="false">Data!A577</f>
        <v>576</v>
      </c>
      <c r="B577" s="20" t="n">
        <f aca="false">IF(Data!B577="","",Data!B577)</f>
        <v>32</v>
      </c>
      <c r="C577" s="28" t="str">
        <f aca="false">IF(Data!C577="","",IFERROR(VLOOKUP(Data!C577,Codes!$A$6:$B$7,2,FALSE()),"Invalid ("&amp;Data!C577&amp;")"))</f>
        <v>Female</v>
      </c>
      <c r="D577" s="28" t="str">
        <f aca="false">IF(Data!D577="","",IFERROR(VLOOKUP(Data!D577,Codes!$A$11:$B$14,2,FALSE()),"Invalid ("&amp;Data!D577&amp;")"))</f>
        <v>Atypical angina</v>
      </c>
      <c r="E577" s="20" t="n">
        <f aca="false">IF(Data!E577="","",Data!E577)</f>
        <v>105</v>
      </c>
      <c r="F577" s="20" t="n">
        <f aca="false">IF(Data!F577="","",Data!F577)</f>
        <v>198</v>
      </c>
      <c r="G577" s="28" t="str">
        <f aca="false">IF(Data!G577="","",IFERROR(VLOOKUP(Data!G577,Codes!$A$18:$B$19,2,FALSE()),"Invalid ("&amp;Data!G577&amp;")"))</f>
        <v>No</v>
      </c>
      <c r="H577" s="28" t="str">
        <f aca="false">IF(Data!H577="","",IFERROR(VLOOKUP(Data!H577,Codes!$A$23:$B$25,2,FALSE()),"Invalid ("&amp;Data!H577&amp;")"))</f>
        <v>Normal</v>
      </c>
      <c r="I577" s="20" t="n">
        <f aca="false">IF(Data!I577="","",Data!I577)</f>
        <v>165</v>
      </c>
      <c r="J577" s="28" t="str">
        <f aca="false">IF(Data!J577="","",IFERROR(VLOOKUP(Data!J577,Codes!$A$29:$B$30,2,FALSE()),"Invalid ("&amp;Data!J577&amp;")"))</f>
        <v>No</v>
      </c>
      <c r="K577" s="21" t="n">
        <f aca="false">IF(Data!K577="","",Data!K577)</f>
        <v>0</v>
      </c>
      <c r="L577" s="28" t="str">
        <f aca="false">IF(Data!L577="","",IFERROR(VLOOKUP(Data!L577,Codes!$A$34:$B$36,2,FALSE()),"Invalid ("&amp;Data!L577&amp;")"))</f>
        <v/>
      </c>
      <c r="M577" s="20" t="str">
        <f aca="false">IF(Data!M577="","",Data!M577)</f>
        <v/>
      </c>
      <c r="N577" s="28" t="str">
        <f aca="false">IF(Data!N577="","",IFERROR(VLOOKUP(Data!N577,Codes!$A$47:$B$49,2,FALSE()),"Invalid ("&amp;Data!N577&amp;")"))</f>
        <v/>
      </c>
      <c r="O577" s="28" t="str">
        <f aca="false">IF(Data!O577="","",IFERROR(VLOOKUP(Data!O577,Codes!$A$53:$B$57,2,FALSE()),"Invalid ("&amp;Data!O577&amp;")"))</f>
        <v>No disease</v>
      </c>
      <c r="P577" s="22" t="str">
        <f aca="false">IF(Data!P577="","",IFERROR(VLOOKUP(Data!P577,Codes!$A$61:$B$64,2,FALSE()),"Invalid ("&amp;Data!P577&amp;")"))</f>
        <v>Hungarian Inst. of Cardiology, Budapest</v>
      </c>
    </row>
    <row r="578" customFormat="false" ht="15" hidden="false" customHeight="false" outlineLevel="0" collapsed="false">
      <c r="A578" s="19" t="n">
        <f aca="false">Data!A578</f>
        <v>577</v>
      </c>
      <c r="B578" s="20" t="n">
        <f aca="false">IF(Data!B578="","",Data!B578)</f>
        <v>55</v>
      </c>
      <c r="C578" s="28" t="str">
        <f aca="false">IF(Data!C578="","",IFERROR(VLOOKUP(Data!C578,Codes!$A$6:$B$7,2,FALSE()),"Invalid ("&amp;Data!C578&amp;")"))</f>
        <v>Male</v>
      </c>
      <c r="D578" s="28" t="str">
        <f aca="false">IF(Data!D578="","",IFERROR(VLOOKUP(Data!D578,Codes!$A$11:$B$14,2,FALSE()),"Invalid ("&amp;Data!D578&amp;")"))</f>
        <v>Asymptomatic</v>
      </c>
      <c r="E578" s="20" t="n">
        <f aca="false">IF(Data!E578="","",Data!E578)</f>
        <v>140</v>
      </c>
      <c r="F578" s="20" t="n">
        <f aca="false">IF(Data!F578="","",Data!F578)</f>
        <v>201</v>
      </c>
      <c r="G578" s="28" t="str">
        <f aca="false">IF(Data!G578="","",IFERROR(VLOOKUP(Data!G578,Codes!$A$18:$B$19,2,FALSE()),"Invalid ("&amp;Data!G578&amp;")"))</f>
        <v>No</v>
      </c>
      <c r="H578" s="28" t="str">
        <f aca="false">IF(Data!H578="","",IFERROR(VLOOKUP(Data!H578,Codes!$A$23:$B$25,2,FALSE()),"Invalid ("&amp;Data!H578&amp;")"))</f>
        <v>Normal</v>
      </c>
      <c r="I578" s="20" t="n">
        <f aca="false">IF(Data!I578="","",Data!I578)</f>
        <v>130</v>
      </c>
      <c r="J578" s="28" t="str">
        <f aca="false">IF(Data!J578="","",IFERROR(VLOOKUP(Data!J578,Codes!$A$29:$B$30,2,FALSE()),"Invalid ("&amp;Data!J578&amp;")"))</f>
        <v>Yes</v>
      </c>
      <c r="K578" s="21" t="n">
        <f aca="false">IF(Data!K578="","",Data!K578)</f>
        <v>3</v>
      </c>
      <c r="L578" s="28" t="str">
        <f aca="false">IF(Data!L578="","",IFERROR(VLOOKUP(Data!L578,Codes!$A$34:$B$36,2,FALSE()),"Invalid ("&amp;Data!L578&amp;")"))</f>
        <v>Flat</v>
      </c>
      <c r="M578" s="20" t="str">
        <f aca="false">IF(Data!M578="","",Data!M578)</f>
        <v/>
      </c>
      <c r="N578" s="28" t="str">
        <f aca="false">IF(Data!N578="","",IFERROR(VLOOKUP(Data!N578,Codes!$A$47:$B$49,2,FALSE()),"Invalid ("&amp;Data!N578&amp;")"))</f>
        <v/>
      </c>
      <c r="O578" s="28" t="str">
        <f aca="false">IF(Data!O578="","",IFERROR(VLOOKUP(Data!O578,Codes!$A$53:$B$57,2,FALSE()),"Invalid ("&amp;Data!O578&amp;")"))</f>
        <v>Disease (1)</v>
      </c>
      <c r="P578" s="22" t="str">
        <f aca="false">IF(Data!P578="","",IFERROR(VLOOKUP(Data!P578,Codes!$A$61:$B$64,2,FALSE()),"Invalid ("&amp;Data!P578&amp;")"))</f>
        <v>Hungarian Inst. of Cardiology, Budapest</v>
      </c>
    </row>
    <row r="579" customFormat="false" ht="15" hidden="false" customHeight="false" outlineLevel="0" collapsed="false">
      <c r="A579" s="19" t="n">
        <f aca="false">Data!A579</f>
        <v>578</v>
      </c>
      <c r="B579" s="20" t="n">
        <f aca="false">IF(Data!B579="","",Data!B579)</f>
        <v>55</v>
      </c>
      <c r="C579" s="28" t="str">
        <f aca="false">IF(Data!C579="","",IFERROR(VLOOKUP(Data!C579,Codes!$A$6:$B$7,2,FALSE()),"Invalid ("&amp;Data!C579&amp;")"))</f>
        <v>Male</v>
      </c>
      <c r="D579" s="28" t="str">
        <f aca="false">IF(Data!D579="","",IFERROR(VLOOKUP(Data!D579,Codes!$A$11:$B$14,2,FALSE()),"Invalid ("&amp;Data!D579&amp;")"))</f>
        <v>Non-anginal pain</v>
      </c>
      <c r="E579" s="20" t="n">
        <f aca="false">IF(Data!E579="","",Data!E579)</f>
        <v>120</v>
      </c>
      <c r="F579" s="20" t="n">
        <f aca="false">IF(Data!F579="","",Data!F579)</f>
        <v>220</v>
      </c>
      <c r="G579" s="28" t="str">
        <f aca="false">IF(Data!G579="","",IFERROR(VLOOKUP(Data!G579,Codes!$A$18:$B$19,2,FALSE()),"Invalid ("&amp;Data!G579&amp;")"))</f>
        <v>No</v>
      </c>
      <c r="H579" s="28" t="str">
        <f aca="false">IF(Data!H579="","",IFERROR(VLOOKUP(Data!H579,Codes!$A$23:$B$25,2,FALSE()),"Invalid ("&amp;Data!H579&amp;")"))</f>
        <v>Left ventricular hypertrophy</v>
      </c>
      <c r="I579" s="20" t="n">
        <f aca="false">IF(Data!I579="","",Data!I579)</f>
        <v>134</v>
      </c>
      <c r="J579" s="28" t="str">
        <f aca="false">IF(Data!J579="","",IFERROR(VLOOKUP(Data!J579,Codes!$A$29:$B$30,2,FALSE()),"Invalid ("&amp;Data!J579&amp;")"))</f>
        <v>No</v>
      </c>
      <c r="K579" s="21" t="n">
        <f aca="false">IF(Data!K579="","",Data!K579)</f>
        <v>0</v>
      </c>
      <c r="L579" s="28" t="str">
        <f aca="false">IF(Data!L579="","",IFERROR(VLOOKUP(Data!L579,Codes!$A$34:$B$36,2,FALSE()),"Invalid ("&amp;Data!L579&amp;")"))</f>
        <v/>
      </c>
      <c r="M579" s="20" t="str">
        <f aca="false">IF(Data!M579="","",Data!M579)</f>
        <v/>
      </c>
      <c r="N579" s="28" t="str">
        <f aca="false">IF(Data!N579="","",IFERROR(VLOOKUP(Data!N579,Codes!$A$47:$B$49,2,FALSE()),"Invalid ("&amp;Data!N579&amp;")"))</f>
        <v/>
      </c>
      <c r="O579" s="28" t="str">
        <f aca="false">IF(Data!O579="","",IFERROR(VLOOKUP(Data!O579,Codes!$A$53:$B$57,2,FALSE()),"Invalid ("&amp;Data!O579&amp;")"))</f>
        <v>No disease</v>
      </c>
      <c r="P579" s="22" t="str">
        <f aca="false">IF(Data!P579="","",IFERROR(VLOOKUP(Data!P579,Codes!$A$61:$B$64,2,FALSE()),"Invalid ("&amp;Data!P579&amp;")"))</f>
        <v>Hungarian Inst. of Cardiology, Budapest</v>
      </c>
    </row>
    <row r="580" customFormat="false" ht="15" hidden="false" customHeight="false" outlineLevel="0" collapsed="false">
      <c r="A580" s="19" t="n">
        <f aca="false">Data!A580</f>
        <v>579</v>
      </c>
      <c r="B580" s="20" t="n">
        <f aca="false">IF(Data!B580="","",Data!B580)</f>
        <v>45</v>
      </c>
      <c r="C580" s="28" t="str">
        <f aca="false">IF(Data!C580="","",IFERROR(VLOOKUP(Data!C580,Codes!$A$6:$B$7,2,FALSE()),"Invalid ("&amp;Data!C580&amp;")"))</f>
        <v>Female</v>
      </c>
      <c r="D580" s="28" t="str">
        <f aca="false">IF(Data!D580="","",IFERROR(VLOOKUP(Data!D580,Codes!$A$11:$B$14,2,FALSE()),"Invalid ("&amp;Data!D580&amp;")"))</f>
        <v>Atypical angina</v>
      </c>
      <c r="E580" s="20" t="n">
        <f aca="false">IF(Data!E580="","",Data!E580)</f>
        <v>180</v>
      </c>
      <c r="F580" s="20" t="str">
        <f aca="false">IF(Data!F580="","",Data!F580)</f>
        <v/>
      </c>
      <c r="G580" s="28" t="str">
        <f aca="false">IF(Data!G580="","",IFERROR(VLOOKUP(Data!G580,Codes!$A$18:$B$19,2,FALSE()),"Invalid ("&amp;Data!G580&amp;")"))</f>
        <v>No</v>
      </c>
      <c r="H580" s="28" t="str">
        <f aca="false">IF(Data!H580="","",IFERROR(VLOOKUP(Data!H580,Codes!$A$23:$B$25,2,FALSE()),"Invalid ("&amp;Data!H580&amp;")"))</f>
        <v>Normal</v>
      </c>
      <c r="I580" s="20" t="n">
        <f aca="false">IF(Data!I580="","",Data!I580)</f>
        <v>180</v>
      </c>
      <c r="J580" s="28" t="str">
        <f aca="false">IF(Data!J580="","",IFERROR(VLOOKUP(Data!J580,Codes!$A$29:$B$30,2,FALSE()),"Invalid ("&amp;Data!J580&amp;")"))</f>
        <v>No</v>
      </c>
      <c r="K580" s="21" t="n">
        <f aca="false">IF(Data!K580="","",Data!K580)</f>
        <v>0</v>
      </c>
      <c r="L580" s="28" t="str">
        <f aca="false">IF(Data!L580="","",IFERROR(VLOOKUP(Data!L580,Codes!$A$34:$B$36,2,FALSE()),"Invalid ("&amp;Data!L580&amp;")"))</f>
        <v/>
      </c>
      <c r="M580" s="20" t="str">
        <f aca="false">IF(Data!M580="","",Data!M580)</f>
        <v/>
      </c>
      <c r="N580" s="28" t="str">
        <f aca="false">IF(Data!N580="","",IFERROR(VLOOKUP(Data!N580,Codes!$A$47:$B$49,2,FALSE()),"Invalid ("&amp;Data!N580&amp;")"))</f>
        <v/>
      </c>
      <c r="O580" s="28" t="str">
        <f aca="false">IF(Data!O580="","",IFERROR(VLOOKUP(Data!O580,Codes!$A$53:$B$57,2,FALSE()),"Invalid ("&amp;Data!O580&amp;")"))</f>
        <v>No disease</v>
      </c>
      <c r="P580" s="22" t="str">
        <f aca="false">IF(Data!P580="","",IFERROR(VLOOKUP(Data!P580,Codes!$A$61:$B$64,2,FALSE()),"Invalid ("&amp;Data!P580&amp;")"))</f>
        <v>Hungarian Inst. of Cardiology, Budapest</v>
      </c>
    </row>
    <row r="581" customFormat="false" ht="15" hidden="false" customHeight="false" outlineLevel="0" collapsed="false">
      <c r="A581" s="19" t="n">
        <f aca="false">Data!A581</f>
        <v>580</v>
      </c>
      <c r="B581" s="20" t="n">
        <f aca="false">IF(Data!B581="","",Data!B581)</f>
        <v>59</v>
      </c>
      <c r="C581" s="28" t="str">
        <f aca="false">IF(Data!C581="","",IFERROR(VLOOKUP(Data!C581,Codes!$A$6:$B$7,2,FALSE()),"Invalid ("&amp;Data!C581&amp;")"))</f>
        <v>Male</v>
      </c>
      <c r="D581" s="28" t="str">
        <f aca="false">IF(Data!D581="","",IFERROR(VLOOKUP(Data!D581,Codes!$A$11:$B$14,2,FALSE()),"Invalid ("&amp;Data!D581&amp;")"))</f>
        <v>Non-anginal pain</v>
      </c>
      <c r="E581" s="20" t="n">
        <f aca="false">IF(Data!E581="","",Data!E581)</f>
        <v>180</v>
      </c>
      <c r="F581" s="20" t="n">
        <f aca="false">IF(Data!F581="","",Data!F581)</f>
        <v>213</v>
      </c>
      <c r="G581" s="28" t="str">
        <f aca="false">IF(Data!G581="","",IFERROR(VLOOKUP(Data!G581,Codes!$A$18:$B$19,2,FALSE()),"Invalid ("&amp;Data!G581&amp;")"))</f>
        <v>No</v>
      </c>
      <c r="H581" s="28" t="str">
        <f aca="false">IF(Data!H581="","",IFERROR(VLOOKUP(Data!H581,Codes!$A$23:$B$25,2,FALSE()),"Invalid ("&amp;Data!H581&amp;")"))</f>
        <v>Normal</v>
      </c>
      <c r="I581" s="20" t="n">
        <f aca="false">IF(Data!I581="","",Data!I581)</f>
        <v>100</v>
      </c>
      <c r="J581" s="28" t="str">
        <f aca="false">IF(Data!J581="","",IFERROR(VLOOKUP(Data!J581,Codes!$A$29:$B$30,2,FALSE()),"Invalid ("&amp;Data!J581&amp;")"))</f>
        <v>No</v>
      </c>
      <c r="K581" s="21" t="n">
        <f aca="false">IF(Data!K581="","",Data!K581)</f>
        <v>0</v>
      </c>
      <c r="L581" s="28" t="str">
        <f aca="false">IF(Data!L581="","",IFERROR(VLOOKUP(Data!L581,Codes!$A$34:$B$36,2,FALSE()),"Invalid ("&amp;Data!L581&amp;")"))</f>
        <v/>
      </c>
      <c r="M581" s="20" t="str">
        <f aca="false">IF(Data!M581="","",Data!M581)</f>
        <v/>
      </c>
      <c r="N581" s="28" t="str">
        <f aca="false">IF(Data!N581="","",IFERROR(VLOOKUP(Data!N581,Codes!$A$47:$B$49,2,FALSE()),"Invalid ("&amp;Data!N581&amp;")"))</f>
        <v/>
      </c>
      <c r="O581" s="28" t="str">
        <f aca="false">IF(Data!O581="","",IFERROR(VLOOKUP(Data!O581,Codes!$A$53:$B$57,2,FALSE()),"Invalid ("&amp;Data!O581&amp;")"))</f>
        <v>No disease</v>
      </c>
      <c r="P581" s="22" t="str">
        <f aca="false">IF(Data!P581="","",IFERROR(VLOOKUP(Data!P581,Codes!$A$61:$B$64,2,FALSE()),"Invalid ("&amp;Data!P581&amp;")"))</f>
        <v>Hungarian Inst. of Cardiology, Budapest</v>
      </c>
    </row>
    <row r="582" customFormat="false" ht="15" hidden="false" customHeight="false" outlineLevel="0" collapsed="false">
      <c r="A582" s="19" t="n">
        <f aca="false">Data!A582</f>
        <v>581</v>
      </c>
      <c r="B582" s="20" t="n">
        <f aca="false">IF(Data!B582="","",Data!B582)</f>
        <v>51</v>
      </c>
      <c r="C582" s="28" t="str">
        <f aca="false">IF(Data!C582="","",IFERROR(VLOOKUP(Data!C582,Codes!$A$6:$B$7,2,FALSE()),"Invalid ("&amp;Data!C582&amp;")"))</f>
        <v>Male</v>
      </c>
      <c r="D582" s="28" t="str">
        <f aca="false">IF(Data!D582="","",IFERROR(VLOOKUP(Data!D582,Codes!$A$11:$B$14,2,FALSE()),"Invalid ("&amp;Data!D582&amp;")"))</f>
        <v>Non-anginal pain</v>
      </c>
      <c r="E582" s="20" t="n">
        <f aca="false">IF(Data!E582="","",Data!E582)</f>
        <v>135</v>
      </c>
      <c r="F582" s="20" t="n">
        <f aca="false">IF(Data!F582="","",Data!F582)</f>
        <v>160</v>
      </c>
      <c r="G582" s="28" t="str">
        <f aca="false">IF(Data!G582="","",IFERROR(VLOOKUP(Data!G582,Codes!$A$18:$B$19,2,FALSE()),"Invalid ("&amp;Data!G582&amp;")"))</f>
        <v>No</v>
      </c>
      <c r="H582" s="28" t="str">
        <f aca="false">IF(Data!H582="","",IFERROR(VLOOKUP(Data!H582,Codes!$A$23:$B$25,2,FALSE()),"Invalid ("&amp;Data!H582&amp;")"))</f>
        <v>Normal</v>
      </c>
      <c r="I582" s="20" t="n">
        <f aca="false">IF(Data!I582="","",Data!I582)</f>
        <v>150</v>
      </c>
      <c r="J582" s="28" t="str">
        <f aca="false">IF(Data!J582="","",IFERROR(VLOOKUP(Data!J582,Codes!$A$29:$B$30,2,FALSE()),"Invalid ("&amp;Data!J582&amp;")"))</f>
        <v>No</v>
      </c>
      <c r="K582" s="21" t="n">
        <f aca="false">IF(Data!K582="","",Data!K582)</f>
        <v>2</v>
      </c>
      <c r="L582" s="28" t="str">
        <f aca="false">IF(Data!L582="","",IFERROR(VLOOKUP(Data!L582,Codes!$A$34:$B$36,2,FALSE()),"Invalid ("&amp;Data!L582&amp;")"))</f>
        <v>Flat</v>
      </c>
      <c r="M582" s="20" t="str">
        <f aca="false">IF(Data!M582="","",Data!M582)</f>
        <v/>
      </c>
      <c r="N582" s="28" t="str">
        <f aca="false">IF(Data!N582="","",IFERROR(VLOOKUP(Data!N582,Codes!$A$47:$B$49,2,FALSE()),"Invalid ("&amp;Data!N582&amp;")"))</f>
        <v/>
      </c>
      <c r="O582" s="28" t="str">
        <f aca="false">IF(Data!O582="","",IFERROR(VLOOKUP(Data!O582,Codes!$A$53:$B$57,2,FALSE()),"Invalid ("&amp;Data!O582&amp;")"))</f>
        <v>Disease (3)</v>
      </c>
      <c r="P582" s="22" t="str">
        <f aca="false">IF(Data!P582="","",IFERROR(VLOOKUP(Data!P582,Codes!$A$61:$B$64,2,FALSE()),"Invalid ("&amp;Data!P582&amp;")"))</f>
        <v>Hungarian Inst. of Cardiology, Budapest</v>
      </c>
    </row>
    <row r="583" customFormat="false" ht="15" hidden="false" customHeight="false" outlineLevel="0" collapsed="false">
      <c r="A583" s="19" t="n">
        <f aca="false">Data!A583</f>
        <v>582</v>
      </c>
      <c r="B583" s="20" t="n">
        <f aca="false">IF(Data!B583="","",Data!B583)</f>
        <v>52</v>
      </c>
      <c r="C583" s="28" t="str">
        <f aca="false">IF(Data!C583="","",IFERROR(VLOOKUP(Data!C583,Codes!$A$6:$B$7,2,FALSE()),"Invalid ("&amp;Data!C583&amp;")"))</f>
        <v>Male</v>
      </c>
      <c r="D583" s="28" t="str">
        <f aca="false">IF(Data!D583="","",IFERROR(VLOOKUP(Data!D583,Codes!$A$11:$B$14,2,FALSE()),"Invalid ("&amp;Data!D583&amp;")"))</f>
        <v>Asymptomatic</v>
      </c>
      <c r="E583" s="20" t="n">
        <f aca="false">IF(Data!E583="","",Data!E583)</f>
        <v>170</v>
      </c>
      <c r="F583" s="20" t="str">
        <f aca="false">IF(Data!F583="","",Data!F583)</f>
        <v/>
      </c>
      <c r="G583" s="28" t="str">
        <f aca="false">IF(Data!G583="","",IFERROR(VLOOKUP(Data!G583,Codes!$A$18:$B$19,2,FALSE()),"Invalid ("&amp;Data!G583&amp;")"))</f>
        <v>No</v>
      </c>
      <c r="H583" s="28" t="str">
        <f aca="false">IF(Data!H583="","",IFERROR(VLOOKUP(Data!H583,Codes!$A$23:$B$25,2,FALSE()),"Invalid ("&amp;Data!H583&amp;")"))</f>
        <v>Normal</v>
      </c>
      <c r="I583" s="20" t="n">
        <f aca="false">IF(Data!I583="","",Data!I583)</f>
        <v>126</v>
      </c>
      <c r="J583" s="28" t="str">
        <f aca="false">IF(Data!J583="","",IFERROR(VLOOKUP(Data!J583,Codes!$A$29:$B$30,2,FALSE()),"Invalid ("&amp;Data!J583&amp;")"))</f>
        <v>Yes</v>
      </c>
      <c r="K583" s="21" t="n">
        <f aca="false">IF(Data!K583="","",Data!K583)</f>
        <v>1.5</v>
      </c>
      <c r="L583" s="28" t="str">
        <f aca="false">IF(Data!L583="","",IFERROR(VLOOKUP(Data!L583,Codes!$A$34:$B$36,2,FALSE()),"Invalid ("&amp;Data!L583&amp;")"))</f>
        <v>Flat</v>
      </c>
      <c r="M583" s="20" t="str">
        <f aca="false">IF(Data!M583="","",Data!M583)</f>
        <v/>
      </c>
      <c r="N583" s="28" t="str">
        <f aca="false">IF(Data!N583="","",IFERROR(VLOOKUP(Data!N583,Codes!$A$47:$B$49,2,FALSE()),"Invalid ("&amp;Data!N583&amp;")"))</f>
        <v/>
      </c>
      <c r="O583" s="28" t="str">
        <f aca="false">IF(Data!O583="","",IFERROR(VLOOKUP(Data!O583,Codes!$A$53:$B$57,2,FALSE()),"Invalid ("&amp;Data!O583&amp;")"))</f>
        <v>Disease (2)</v>
      </c>
      <c r="P583" s="22" t="str">
        <f aca="false">IF(Data!P583="","",IFERROR(VLOOKUP(Data!P583,Codes!$A$61:$B$64,2,FALSE()),"Invalid ("&amp;Data!P583&amp;")"))</f>
        <v>Hungarian Inst. of Cardiology, Budapest</v>
      </c>
    </row>
    <row r="584" customFormat="false" ht="15" hidden="false" customHeight="false" outlineLevel="0" collapsed="false">
      <c r="A584" s="19" t="n">
        <f aca="false">Data!A584</f>
        <v>583</v>
      </c>
      <c r="B584" s="20" t="n">
        <f aca="false">IF(Data!B584="","",Data!B584)</f>
        <v>57</v>
      </c>
      <c r="C584" s="28" t="str">
        <f aca="false">IF(Data!C584="","",IFERROR(VLOOKUP(Data!C584,Codes!$A$6:$B$7,2,FALSE()),"Invalid ("&amp;Data!C584&amp;")"))</f>
        <v>Female</v>
      </c>
      <c r="D584" s="28" t="str">
        <f aca="false">IF(Data!D584="","",IFERROR(VLOOKUP(Data!D584,Codes!$A$11:$B$14,2,FALSE()),"Invalid ("&amp;Data!D584&amp;")"))</f>
        <v>Asymptomatic</v>
      </c>
      <c r="E584" s="20" t="n">
        <f aca="false">IF(Data!E584="","",Data!E584)</f>
        <v>180</v>
      </c>
      <c r="F584" s="20" t="n">
        <f aca="false">IF(Data!F584="","",Data!F584)</f>
        <v>347</v>
      </c>
      <c r="G584" s="28" t="str">
        <f aca="false">IF(Data!G584="","",IFERROR(VLOOKUP(Data!G584,Codes!$A$18:$B$19,2,FALSE()),"Invalid ("&amp;Data!G584&amp;")"))</f>
        <v>No</v>
      </c>
      <c r="H584" s="28" t="str">
        <f aca="false">IF(Data!H584="","",IFERROR(VLOOKUP(Data!H584,Codes!$A$23:$B$25,2,FALSE()),"Invalid ("&amp;Data!H584&amp;")"))</f>
        <v>ST-T wave abnormality</v>
      </c>
      <c r="I584" s="20" t="n">
        <f aca="false">IF(Data!I584="","",Data!I584)</f>
        <v>126</v>
      </c>
      <c r="J584" s="28" t="str">
        <f aca="false">IF(Data!J584="","",IFERROR(VLOOKUP(Data!J584,Codes!$A$29:$B$30,2,FALSE()),"Invalid ("&amp;Data!J584&amp;")"))</f>
        <v>Yes</v>
      </c>
      <c r="K584" s="21" t="n">
        <f aca="false">IF(Data!K584="","",Data!K584)</f>
        <v>0.8</v>
      </c>
      <c r="L584" s="28" t="str">
        <f aca="false">IF(Data!L584="","",IFERROR(VLOOKUP(Data!L584,Codes!$A$34:$B$36,2,FALSE()),"Invalid ("&amp;Data!L584&amp;")"))</f>
        <v>Flat</v>
      </c>
      <c r="M584" s="20" t="str">
        <f aca="false">IF(Data!M584="","",Data!M584)</f>
        <v/>
      </c>
      <c r="N584" s="28" t="str">
        <f aca="false">IF(Data!N584="","",IFERROR(VLOOKUP(Data!N584,Codes!$A$47:$B$49,2,FALSE()),"Invalid ("&amp;Data!N584&amp;")"))</f>
        <v/>
      </c>
      <c r="O584" s="28" t="str">
        <f aca="false">IF(Data!O584="","",IFERROR(VLOOKUP(Data!O584,Codes!$A$53:$B$57,2,FALSE()),"Invalid ("&amp;Data!O584&amp;")"))</f>
        <v>No disease</v>
      </c>
      <c r="P584" s="22" t="str">
        <f aca="false">IF(Data!P584="","",IFERROR(VLOOKUP(Data!P584,Codes!$A$61:$B$64,2,FALSE()),"Invalid ("&amp;Data!P584&amp;")"))</f>
        <v>Hungarian Inst. of Cardiology, Budapest</v>
      </c>
    </row>
    <row r="585" customFormat="false" ht="15" hidden="false" customHeight="false" outlineLevel="0" collapsed="false">
      <c r="A585" s="19" t="n">
        <f aca="false">Data!A585</f>
        <v>584</v>
      </c>
      <c r="B585" s="20" t="n">
        <f aca="false">IF(Data!B585="","",Data!B585)</f>
        <v>54</v>
      </c>
      <c r="C585" s="28" t="str">
        <f aca="false">IF(Data!C585="","",IFERROR(VLOOKUP(Data!C585,Codes!$A$6:$B$7,2,FALSE()),"Invalid ("&amp;Data!C585&amp;")"))</f>
        <v>Female</v>
      </c>
      <c r="D585" s="28" t="str">
        <f aca="false">IF(Data!D585="","",IFERROR(VLOOKUP(Data!D585,Codes!$A$11:$B$14,2,FALSE()),"Invalid ("&amp;Data!D585&amp;")"))</f>
        <v>Atypical angina</v>
      </c>
      <c r="E585" s="20" t="n">
        <f aca="false">IF(Data!E585="","",Data!E585)</f>
        <v>130</v>
      </c>
      <c r="F585" s="20" t="n">
        <f aca="false">IF(Data!F585="","",Data!F585)</f>
        <v>253</v>
      </c>
      <c r="G585" s="28" t="str">
        <f aca="false">IF(Data!G585="","",IFERROR(VLOOKUP(Data!G585,Codes!$A$18:$B$19,2,FALSE()),"Invalid ("&amp;Data!G585&amp;")"))</f>
        <v>No</v>
      </c>
      <c r="H585" s="28" t="str">
        <f aca="false">IF(Data!H585="","",IFERROR(VLOOKUP(Data!H585,Codes!$A$23:$B$25,2,FALSE()),"Invalid ("&amp;Data!H585&amp;")"))</f>
        <v>ST-T wave abnormality</v>
      </c>
      <c r="I585" s="20" t="n">
        <f aca="false">IF(Data!I585="","",Data!I585)</f>
        <v>155</v>
      </c>
      <c r="J585" s="28" t="str">
        <f aca="false">IF(Data!J585="","",IFERROR(VLOOKUP(Data!J585,Codes!$A$29:$B$30,2,FALSE()),"Invalid ("&amp;Data!J585&amp;")"))</f>
        <v>No</v>
      </c>
      <c r="K585" s="21" t="n">
        <f aca="false">IF(Data!K585="","",Data!K585)</f>
        <v>0</v>
      </c>
      <c r="L585" s="28" t="str">
        <f aca="false">IF(Data!L585="","",IFERROR(VLOOKUP(Data!L585,Codes!$A$34:$B$36,2,FALSE()),"Invalid ("&amp;Data!L585&amp;")"))</f>
        <v/>
      </c>
      <c r="M585" s="20" t="str">
        <f aca="false">IF(Data!M585="","",Data!M585)</f>
        <v/>
      </c>
      <c r="N585" s="28" t="str">
        <f aca="false">IF(Data!N585="","",IFERROR(VLOOKUP(Data!N585,Codes!$A$47:$B$49,2,FALSE()),"Invalid ("&amp;Data!N585&amp;")"))</f>
        <v/>
      </c>
      <c r="O585" s="28" t="str">
        <f aca="false">IF(Data!O585="","",IFERROR(VLOOKUP(Data!O585,Codes!$A$53:$B$57,2,FALSE()),"Invalid ("&amp;Data!O585&amp;")"))</f>
        <v>No disease</v>
      </c>
      <c r="P585" s="22" t="str">
        <f aca="false">IF(Data!P585="","",IFERROR(VLOOKUP(Data!P585,Codes!$A$61:$B$64,2,FALSE()),"Invalid ("&amp;Data!P585&amp;")"))</f>
        <v>Hungarian Inst. of Cardiology, Budapest</v>
      </c>
    </row>
    <row r="586" customFormat="false" ht="15" hidden="false" customHeight="false" outlineLevel="0" collapsed="false">
      <c r="A586" s="19" t="n">
        <f aca="false">Data!A586</f>
        <v>585</v>
      </c>
      <c r="B586" s="20" t="n">
        <f aca="false">IF(Data!B586="","",Data!B586)</f>
        <v>60</v>
      </c>
      <c r="C586" s="28" t="str">
        <f aca="false">IF(Data!C586="","",IFERROR(VLOOKUP(Data!C586,Codes!$A$6:$B$7,2,FALSE()),"Invalid ("&amp;Data!C586&amp;")"))</f>
        <v>Male</v>
      </c>
      <c r="D586" s="28" t="str">
        <f aca="false">IF(Data!D586="","",IFERROR(VLOOKUP(Data!D586,Codes!$A$11:$B$14,2,FALSE()),"Invalid ("&amp;Data!D586&amp;")"))</f>
        <v>Non-anginal pain</v>
      </c>
      <c r="E586" s="20" t="n">
        <f aca="false">IF(Data!E586="","",Data!E586)</f>
        <v>120</v>
      </c>
      <c r="F586" s="20" t="n">
        <f aca="false">IF(Data!F586="","",Data!F586)</f>
        <v>246</v>
      </c>
      <c r="G586" s="28" t="str">
        <f aca="false">IF(Data!G586="","",IFERROR(VLOOKUP(Data!G586,Codes!$A$18:$B$19,2,FALSE()),"Invalid ("&amp;Data!G586&amp;")"))</f>
        <v>No</v>
      </c>
      <c r="H586" s="28" t="str">
        <f aca="false">IF(Data!H586="","",IFERROR(VLOOKUP(Data!H586,Codes!$A$23:$B$25,2,FALSE()),"Invalid ("&amp;Data!H586&amp;")"))</f>
        <v>Left ventricular hypertrophy</v>
      </c>
      <c r="I586" s="20" t="n">
        <f aca="false">IF(Data!I586="","",Data!I586)</f>
        <v>135</v>
      </c>
      <c r="J586" s="28" t="str">
        <f aca="false">IF(Data!J586="","",IFERROR(VLOOKUP(Data!J586,Codes!$A$29:$B$30,2,FALSE()),"Invalid ("&amp;Data!J586&amp;")"))</f>
        <v>No</v>
      </c>
      <c r="K586" s="21" t="n">
        <f aca="false">IF(Data!K586="","",Data!K586)</f>
        <v>0</v>
      </c>
      <c r="L586" s="28" t="str">
        <f aca="false">IF(Data!L586="","",IFERROR(VLOOKUP(Data!L586,Codes!$A$34:$B$36,2,FALSE()),"Invalid ("&amp;Data!L586&amp;")"))</f>
        <v/>
      </c>
      <c r="M586" s="20" t="str">
        <f aca="false">IF(Data!M586="","",Data!M586)</f>
        <v/>
      </c>
      <c r="N586" s="28" t="str">
        <f aca="false">IF(Data!N586="","",IFERROR(VLOOKUP(Data!N586,Codes!$A$47:$B$49,2,FALSE()),"Invalid ("&amp;Data!N586&amp;")"))</f>
        <v/>
      </c>
      <c r="O586" s="28" t="str">
        <f aca="false">IF(Data!O586="","",IFERROR(VLOOKUP(Data!O586,Codes!$A$53:$B$57,2,FALSE()),"Invalid ("&amp;Data!O586&amp;")"))</f>
        <v>No disease</v>
      </c>
      <c r="P586" s="22" t="str">
        <f aca="false">IF(Data!P586="","",IFERROR(VLOOKUP(Data!P586,Codes!$A$61:$B$64,2,FALSE()),"Invalid ("&amp;Data!P586&amp;")"))</f>
        <v>Hungarian Inst. of Cardiology, Budapest</v>
      </c>
    </row>
    <row r="587" customFormat="false" ht="15" hidden="false" customHeight="false" outlineLevel="0" collapsed="false">
      <c r="A587" s="19" t="n">
        <f aca="false">Data!A587</f>
        <v>586</v>
      </c>
      <c r="B587" s="20" t="n">
        <f aca="false">IF(Data!B587="","",Data!B587)</f>
        <v>49</v>
      </c>
      <c r="C587" s="28" t="str">
        <f aca="false">IF(Data!C587="","",IFERROR(VLOOKUP(Data!C587,Codes!$A$6:$B$7,2,FALSE()),"Invalid ("&amp;Data!C587&amp;")"))</f>
        <v>Male</v>
      </c>
      <c r="D587" s="28" t="str">
        <f aca="false">IF(Data!D587="","",IFERROR(VLOOKUP(Data!D587,Codes!$A$11:$B$14,2,FALSE()),"Invalid ("&amp;Data!D587&amp;")"))</f>
        <v>Asymptomatic</v>
      </c>
      <c r="E587" s="20" t="n">
        <f aca="false">IF(Data!E587="","",Data!E587)</f>
        <v>150</v>
      </c>
      <c r="F587" s="20" t="n">
        <f aca="false">IF(Data!F587="","",Data!F587)</f>
        <v>222</v>
      </c>
      <c r="G587" s="28" t="str">
        <f aca="false">IF(Data!G587="","",IFERROR(VLOOKUP(Data!G587,Codes!$A$18:$B$19,2,FALSE()),"Invalid ("&amp;Data!G587&amp;")"))</f>
        <v>No</v>
      </c>
      <c r="H587" s="28" t="str">
        <f aca="false">IF(Data!H587="","",IFERROR(VLOOKUP(Data!H587,Codes!$A$23:$B$25,2,FALSE()),"Invalid ("&amp;Data!H587&amp;")"))</f>
        <v>Normal</v>
      </c>
      <c r="I587" s="20" t="n">
        <f aca="false">IF(Data!I587="","",Data!I587)</f>
        <v>122</v>
      </c>
      <c r="J587" s="28" t="str">
        <f aca="false">IF(Data!J587="","",IFERROR(VLOOKUP(Data!J587,Codes!$A$29:$B$30,2,FALSE()),"Invalid ("&amp;Data!J587&amp;")"))</f>
        <v>No</v>
      </c>
      <c r="K587" s="21" t="n">
        <f aca="false">IF(Data!K587="","",Data!K587)</f>
        <v>2</v>
      </c>
      <c r="L587" s="28" t="str">
        <f aca="false">IF(Data!L587="","",IFERROR(VLOOKUP(Data!L587,Codes!$A$34:$B$36,2,FALSE()),"Invalid ("&amp;Data!L587&amp;")"))</f>
        <v>Flat</v>
      </c>
      <c r="M587" s="20" t="str">
        <f aca="false">IF(Data!M587="","",Data!M587)</f>
        <v/>
      </c>
      <c r="N587" s="28" t="str">
        <f aca="false">IF(Data!N587="","",IFERROR(VLOOKUP(Data!N587,Codes!$A$47:$B$49,2,FALSE()),"Invalid ("&amp;Data!N587&amp;")"))</f>
        <v/>
      </c>
      <c r="O587" s="28" t="str">
        <f aca="false">IF(Data!O587="","",IFERROR(VLOOKUP(Data!O587,Codes!$A$53:$B$57,2,FALSE()),"Invalid ("&amp;Data!O587&amp;")"))</f>
        <v>Disease (4)</v>
      </c>
      <c r="P587" s="22" t="str">
        <f aca="false">IF(Data!P587="","",IFERROR(VLOOKUP(Data!P587,Codes!$A$61:$B$64,2,FALSE()),"Invalid ("&amp;Data!P587&amp;")"))</f>
        <v>Hungarian Inst. of Cardiology, Budapest</v>
      </c>
    </row>
    <row r="588" customFormat="false" ht="15" hidden="false" customHeight="false" outlineLevel="0" collapsed="false">
      <c r="A588" s="19" t="n">
        <f aca="false">Data!A588</f>
        <v>587</v>
      </c>
      <c r="B588" s="20" t="n">
        <f aca="false">IF(Data!B588="","",Data!B588)</f>
        <v>51</v>
      </c>
      <c r="C588" s="28" t="str">
        <f aca="false">IF(Data!C588="","",IFERROR(VLOOKUP(Data!C588,Codes!$A$6:$B$7,2,FALSE()),"Invalid ("&amp;Data!C588&amp;")"))</f>
        <v>Female</v>
      </c>
      <c r="D588" s="28" t="str">
        <f aca="false">IF(Data!D588="","",IFERROR(VLOOKUP(Data!D588,Codes!$A$11:$B$14,2,FALSE()),"Invalid ("&amp;Data!D588&amp;")"))</f>
        <v>Non-anginal pain</v>
      </c>
      <c r="E588" s="20" t="n">
        <f aca="false">IF(Data!E588="","",Data!E588)</f>
        <v>130</v>
      </c>
      <c r="F588" s="20" t="n">
        <f aca="false">IF(Data!F588="","",Data!F588)</f>
        <v>220</v>
      </c>
      <c r="G588" s="28" t="str">
        <f aca="false">IF(Data!G588="","",IFERROR(VLOOKUP(Data!G588,Codes!$A$18:$B$19,2,FALSE()),"Invalid ("&amp;Data!G588&amp;")"))</f>
        <v>No</v>
      </c>
      <c r="H588" s="28" t="str">
        <f aca="false">IF(Data!H588="","",IFERROR(VLOOKUP(Data!H588,Codes!$A$23:$B$25,2,FALSE()),"Invalid ("&amp;Data!H588&amp;")"))</f>
        <v>Normal</v>
      </c>
      <c r="I588" s="20" t="n">
        <f aca="false">IF(Data!I588="","",Data!I588)</f>
        <v>160</v>
      </c>
      <c r="J588" s="28" t="str">
        <f aca="false">IF(Data!J588="","",IFERROR(VLOOKUP(Data!J588,Codes!$A$29:$B$30,2,FALSE()),"Invalid ("&amp;Data!J588&amp;")"))</f>
        <v>Yes</v>
      </c>
      <c r="K588" s="21" t="n">
        <f aca="false">IF(Data!K588="","",Data!K588)</f>
        <v>2</v>
      </c>
      <c r="L588" s="28" t="str">
        <f aca="false">IF(Data!L588="","",IFERROR(VLOOKUP(Data!L588,Codes!$A$34:$B$36,2,FALSE()),"Invalid ("&amp;Data!L588&amp;")"))</f>
        <v>Upsloping</v>
      </c>
      <c r="M588" s="20" t="str">
        <f aca="false">IF(Data!M588="","",Data!M588)</f>
        <v/>
      </c>
      <c r="N588" s="28" t="str">
        <f aca="false">IF(Data!N588="","",IFERROR(VLOOKUP(Data!N588,Codes!$A$47:$B$49,2,FALSE()),"Invalid ("&amp;Data!N588&amp;")"))</f>
        <v/>
      </c>
      <c r="O588" s="28" t="str">
        <f aca="false">IF(Data!O588="","",IFERROR(VLOOKUP(Data!O588,Codes!$A$53:$B$57,2,FALSE()),"Invalid ("&amp;Data!O588&amp;")"))</f>
        <v>No disease</v>
      </c>
      <c r="P588" s="22" t="str">
        <f aca="false">IF(Data!P588="","",IFERROR(VLOOKUP(Data!P588,Codes!$A$61:$B$64,2,FALSE()),"Invalid ("&amp;Data!P588&amp;")"))</f>
        <v>Hungarian Inst. of Cardiology, Budapest</v>
      </c>
    </row>
    <row r="589" customFormat="false" ht="15" hidden="false" customHeight="false" outlineLevel="0" collapsed="false">
      <c r="A589" s="19" t="n">
        <f aca="false">Data!A589</f>
        <v>588</v>
      </c>
      <c r="B589" s="20" t="n">
        <f aca="false">IF(Data!B589="","",Data!B589)</f>
        <v>55</v>
      </c>
      <c r="C589" s="28" t="str">
        <f aca="false">IF(Data!C589="","",IFERROR(VLOOKUP(Data!C589,Codes!$A$6:$B$7,2,FALSE()),"Invalid ("&amp;Data!C589&amp;")"))</f>
        <v>Female</v>
      </c>
      <c r="D589" s="28" t="str">
        <f aca="false">IF(Data!D589="","",IFERROR(VLOOKUP(Data!D589,Codes!$A$11:$B$14,2,FALSE()),"Invalid ("&amp;Data!D589&amp;")"))</f>
        <v>Atypical angina</v>
      </c>
      <c r="E589" s="20" t="n">
        <f aca="false">IF(Data!E589="","",Data!E589)</f>
        <v>110</v>
      </c>
      <c r="F589" s="20" t="n">
        <f aca="false">IF(Data!F589="","",Data!F589)</f>
        <v>344</v>
      </c>
      <c r="G589" s="28" t="str">
        <f aca="false">IF(Data!G589="","",IFERROR(VLOOKUP(Data!G589,Codes!$A$18:$B$19,2,FALSE()),"Invalid ("&amp;Data!G589&amp;")"))</f>
        <v>No</v>
      </c>
      <c r="H589" s="28" t="str">
        <f aca="false">IF(Data!H589="","",IFERROR(VLOOKUP(Data!H589,Codes!$A$23:$B$25,2,FALSE()),"Invalid ("&amp;Data!H589&amp;")"))</f>
        <v>ST-T wave abnormality</v>
      </c>
      <c r="I589" s="20" t="n">
        <f aca="false">IF(Data!I589="","",Data!I589)</f>
        <v>160</v>
      </c>
      <c r="J589" s="28" t="str">
        <f aca="false">IF(Data!J589="","",IFERROR(VLOOKUP(Data!J589,Codes!$A$29:$B$30,2,FALSE()),"Invalid ("&amp;Data!J589&amp;")"))</f>
        <v>No</v>
      </c>
      <c r="K589" s="21" t="n">
        <f aca="false">IF(Data!K589="","",Data!K589)</f>
        <v>0</v>
      </c>
      <c r="L589" s="28" t="str">
        <f aca="false">IF(Data!L589="","",IFERROR(VLOOKUP(Data!L589,Codes!$A$34:$B$36,2,FALSE()),"Invalid ("&amp;Data!L589&amp;")"))</f>
        <v/>
      </c>
      <c r="M589" s="20" t="str">
        <f aca="false">IF(Data!M589="","",Data!M589)</f>
        <v/>
      </c>
      <c r="N589" s="28" t="str">
        <f aca="false">IF(Data!N589="","",IFERROR(VLOOKUP(Data!N589,Codes!$A$47:$B$49,2,FALSE()),"Invalid ("&amp;Data!N589&amp;")"))</f>
        <v/>
      </c>
      <c r="O589" s="28" t="str">
        <f aca="false">IF(Data!O589="","",IFERROR(VLOOKUP(Data!O589,Codes!$A$53:$B$57,2,FALSE()),"Invalid ("&amp;Data!O589&amp;")"))</f>
        <v>No disease</v>
      </c>
      <c r="P589" s="22" t="str">
        <f aca="false">IF(Data!P589="","",IFERROR(VLOOKUP(Data!P589,Codes!$A$61:$B$64,2,FALSE()),"Invalid ("&amp;Data!P589&amp;")"))</f>
        <v>Hungarian Inst. of Cardiology, Budapest</v>
      </c>
    </row>
    <row r="590" customFormat="false" ht="15" hidden="false" customHeight="false" outlineLevel="0" collapsed="false">
      <c r="A590" s="19" t="n">
        <f aca="false">Data!A590</f>
        <v>589</v>
      </c>
      <c r="B590" s="20" t="n">
        <f aca="false">IF(Data!B590="","",Data!B590)</f>
        <v>42</v>
      </c>
      <c r="C590" s="28" t="str">
        <f aca="false">IF(Data!C590="","",IFERROR(VLOOKUP(Data!C590,Codes!$A$6:$B$7,2,FALSE()),"Invalid ("&amp;Data!C590&amp;")"))</f>
        <v>Male</v>
      </c>
      <c r="D590" s="28" t="str">
        <f aca="false">IF(Data!D590="","",IFERROR(VLOOKUP(Data!D590,Codes!$A$11:$B$14,2,FALSE()),"Invalid ("&amp;Data!D590&amp;")"))</f>
        <v>Asymptomatic</v>
      </c>
      <c r="E590" s="20" t="n">
        <f aca="false">IF(Data!E590="","",Data!E590)</f>
        <v>140</v>
      </c>
      <c r="F590" s="20" t="n">
        <f aca="false">IF(Data!F590="","",Data!F590)</f>
        <v>358</v>
      </c>
      <c r="G590" s="28" t="str">
        <f aca="false">IF(Data!G590="","",IFERROR(VLOOKUP(Data!G590,Codes!$A$18:$B$19,2,FALSE()),"Invalid ("&amp;Data!G590&amp;")"))</f>
        <v>No</v>
      </c>
      <c r="H590" s="28" t="str">
        <f aca="false">IF(Data!H590="","",IFERROR(VLOOKUP(Data!H590,Codes!$A$23:$B$25,2,FALSE()),"Invalid ("&amp;Data!H590&amp;")"))</f>
        <v>Normal</v>
      </c>
      <c r="I590" s="20" t="n">
        <f aca="false">IF(Data!I590="","",Data!I590)</f>
        <v>170</v>
      </c>
      <c r="J590" s="28" t="str">
        <f aca="false">IF(Data!J590="","",IFERROR(VLOOKUP(Data!J590,Codes!$A$29:$B$30,2,FALSE()),"Invalid ("&amp;Data!J590&amp;")"))</f>
        <v>No</v>
      </c>
      <c r="K590" s="21" t="n">
        <f aca="false">IF(Data!K590="","",Data!K590)</f>
        <v>0</v>
      </c>
      <c r="L590" s="28" t="str">
        <f aca="false">IF(Data!L590="","",IFERROR(VLOOKUP(Data!L590,Codes!$A$34:$B$36,2,FALSE()),"Invalid ("&amp;Data!L590&amp;")"))</f>
        <v/>
      </c>
      <c r="M590" s="20" t="str">
        <f aca="false">IF(Data!M590="","",Data!M590)</f>
        <v/>
      </c>
      <c r="N590" s="28" t="str">
        <f aca="false">IF(Data!N590="","",IFERROR(VLOOKUP(Data!N590,Codes!$A$47:$B$49,2,FALSE()),"Invalid ("&amp;Data!N590&amp;")"))</f>
        <v/>
      </c>
      <c r="O590" s="28" t="str">
        <f aca="false">IF(Data!O590="","",IFERROR(VLOOKUP(Data!O590,Codes!$A$53:$B$57,2,FALSE()),"Invalid ("&amp;Data!O590&amp;")"))</f>
        <v>No disease</v>
      </c>
      <c r="P590" s="22" t="str">
        <f aca="false">IF(Data!P590="","",IFERROR(VLOOKUP(Data!P590,Codes!$A$61:$B$64,2,FALSE()),"Invalid ("&amp;Data!P590&amp;")"))</f>
        <v>Hungarian Inst. of Cardiology, Budapest</v>
      </c>
    </row>
    <row r="591" customFormat="false" ht="15" hidden="false" customHeight="false" outlineLevel="0" collapsed="false">
      <c r="A591" s="19" t="n">
        <f aca="false">Data!A591</f>
        <v>590</v>
      </c>
      <c r="B591" s="20" t="n">
        <f aca="false">IF(Data!B591="","",Data!B591)</f>
        <v>51</v>
      </c>
      <c r="C591" s="28" t="str">
        <f aca="false">IF(Data!C591="","",IFERROR(VLOOKUP(Data!C591,Codes!$A$6:$B$7,2,FALSE()),"Invalid ("&amp;Data!C591&amp;")"))</f>
        <v>Female</v>
      </c>
      <c r="D591" s="28" t="str">
        <f aca="false">IF(Data!D591="","",IFERROR(VLOOKUP(Data!D591,Codes!$A$11:$B$14,2,FALSE()),"Invalid ("&amp;Data!D591&amp;")"))</f>
        <v>Non-anginal pain</v>
      </c>
      <c r="E591" s="20" t="n">
        <f aca="false">IF(Data!E591="","",Data!E591)</f>
        <v>110</v>
      </c>
      <c r="F591" s="20" t="n">
        <f aca="false">IF(Data!F591="","",Data!F591)</f>
        <v>190</v>
      </c>
      <c r="G591" s="28" t="str">
        <f aca="false">IF(Data!G591="","",IFERROR(VLOOKUP(Data!G591,Codes!$A$18:$B$19,2,FALSE()),"Invalid ("&amp;Data!G591&amp;")"))</f>
        <v>No</v>
      </c>
      <c r="H591" s="28" t="str">
        <f aca="false">IF(Data!H591="","",IFERROR(VLOOKUP(Data!H591,Codes!$A$23:$B$25,2,FALSE()),"Invalid ("&amp;Data!H591&amp;")"))</f>
        <v>Normal</v>
      </c>
      <c r="I591" s="20" t="n">
        <f aca="false">IF(Data!I591="","",Data!I591)</f>
        <v>120</v>
      </c>
      <c r="J591" s="28" t="str">
        <f aca="false">IF(Data!J591="","",IFERROR(VLOOKUP(Data!J591,Codes!$A$29:$B$30,2,FALSE()),"Invalid ("&amp;Data!J591&amp;")"))</f>
        <v>No</v>
      </c>
      <c r="K591" s="21" t="n">
        <f aca="false">IF(Data!K591="","",Data!K591)</f>
        <v>0</v>
      </c>
      <c r="L591" s="28" t="str">
        <f aca="false">IF(Data!L591="","",IFERROR(VLOOKUP(Data!L591,Codes!$A$34:$B$36,2,FALSE()),"Invalid ("&amp;Data!L591&amp;")"))</f>
        <v/>
      </c>
      <c r="M591" s="20" t="str">
        <f aca="false">IF(Data!M591="","",Data!M591)</f>
        <v/>
      </c>
      <c r="N591" s="28" t="str">
        <f aca="false">IF(Data!N591="","",IFERROR(VLOOKUP(Data!N591,Codes!$A$47:$B$49,2,FALSE()),"Invalid ("&amp;Data!N591&amp;")"))</f>
        <v/>
      </c>
      <c r="O591" s="28" t="str">
        <f aca="false">IF(Data!O591="","",IFERROR(VLOOKUP(Data!O591,Codes!$A$53:$B$57,2,FALSE()),"Invalid ("&amp;Data!O591&amp;")"))</f>
        <v>No disease</v>
      </c>
      <c r="P591" s="22" t="str">
        <f aca="false">IF(Data!P591="","",IFERROR(VLOOKUP(Data!P591,Codes!$A$61:$B$64,2,FALSE()),"Invalid ("&amp;Data!P591&amp;")"))</f>
        <v>Hungarian Inst. of Cardiology, Budapest</v>
      </c>
    </row>
    <row r="592" customFormat="false" ht="15" hidden="false" customHeight="false" outlineLevel="0" collapsed="false">
      <c r="A592" s="19" t="n">
        <f aca="false">Data!A592</f>
        <v>591</v>
      </c>
      <c r="B592" s="20" t="n">
        <f aca="false">IF(Data!B592="","",Data!B592)</f>
        <v>59</v>
      </c>
      <c r="C592" s="28" t="str">
        <f aca="false">IF(Data!C592="","",IFERROR(VLOOKUP(Data!C592,Codes!$A$6:$B$7,2,FALSE()),"Invalid ("&amp;Data!C592&amp;")"))</f>
        <v>Male</v>
      </c>
      <c r="D592" s="28" t="str">
        <f aca="false">IF(Data!D592="","",IFERROR(VLOOKUP(Data!D592,Codes!$A$11:$B$14,2,FALSE()),"Invalid ("&amp;Data!D592&amp;")"))</f>
        <v>Asymptomatic</v>
      </c>
      <c r="E592" s="20" t="n">
        <f aca="false">IF(Data!E592="","",Data!E592)</f>
        <v>140</v>
      </c>
      <c r="F592" s="20" t="str">
        <f aca="false">IF(Data!F592="","",Data!F592)</f>
        <v/>
      </c>
      <c r="G592" s="28" t="str">
        <f aca="false">IF(Data!G592="","",IFERROR(VLOOKUP(Data!G592,Codes!$A$18:$B$19,2,FALSE()),"Invalid ("&amp;Data!G592&amp;")"))</f>
        <v>No</v>
      </c>
      <c r="H592" s="28" t="str">
        <f aca="false">IF(Data!H592="","",IFERROR(VLOOKUP(Data!H592,Codes!$A$23:$B$25,2,FALSE()),"Invalid ("&amp;Data!H592&amp;")"))</f>
        <v>Normal</v>
      </c>
      <c r="I592" s="20" t="n">
        <f aca="false">IF(Data!I592="","",Data!I592)</f>
        <v>140</v>
      </c>
      <c r="J592" s="28" t="str">
        <f aca="false">IF(Data!J592="","",IFERROR(VLOOKUP(Data!J592,Codes!$A$29:$B$30,2,FALSE()),"Invalid ("&amp;Data!J592&amp;")"))</f>
        <v>No</v>
      </c>
      <c r="K592" s="21" t="n">
        <f aca="false">IF(Data!K592="","",Data!K592)</f>
        <v>0</v>
      </c>
      <c r="L592" s="28" t="str">
        <f aca="false">IF(Data!L592="","",IFERROR(VLOOKUP(Data!L592,Codes!$A$34:$B$36,2,FALSE()),"Invalid ("&amp;Data!L592&amp;")"))</f>
        <v/>
      </c>
      <c r="M592" s="20" t="n">
        <f aca="false">IF(Data!M592="","",Data!M592)</f>
        <v>0</v>
      </c>
      <c r="N592" s="28" t="str">
        <f aca="false">IF(Data!N592="","",IFERROR(VLOOKUP(Data!N592,Codes!$A$47:$B$49,2,FALSE()),"Invalid ("&amp;Data!N592&amp;")"))</f>
        <v/>
      </c>
      <c r="O592" s="28" t="str">
        <f aca="false">IF(Data!O592="","",IFERROR(VLOOKUP(Data!O592,Codes!$A$53:$B$57,2,FALSE()),"Invalid ("&amp;Data!O592&amp;")"))</f>
        <v>No disease</v>
      </c>
      <c r="P592" s="22" t="str">
        <f aca="false">IF(Data!P592="","",IFERROR(VLOOKUP(Data!P592,Codes!$A$61:$B$64,2,FALSE()),"Invalid ("&amp;Data!P592&amp;")"))</f>
        <v>Hungarian Inst. of Cardiology, Budapest</v>
      </c>
    </row>
    <row r="593" customFormat="false" ht="15" hidden="false" customHeight="false" outlineLevel="0" collapsed="false">
      <c r="A593" s="19" t="n">
        <f aca="false">Data!A593</f>
        <v>592</v>
      </c>
      <c r="B593" s="20" t="n">
        <f aca="false">IF(Data!B593="","",Data!B593)</f>
        <v>53</v>
      </c>
      <c r="C593" s="28" t="str">
        <f aca="false">IF(Data!C593="","",IFERROR(VLOOKUP(Data!C593,Codes!$A$6:$B$7,2,FALSE()),"Invalid ("&amp;Data!C593&amp;")"))</f>
        <v>Male</v>
      </c>
      <c r="D593" s="28" t="str">
        <f aca="false">IF(Data!D593="","",IFERROR(VLOOKUP(Data!D593,Codes!$A$11:$B$14,2,FALSE()),"Invalid ("&amp;Data!D593&amp;")"))</f>
        <v>Atypical angina</v>
      </c>
      <c r="E593" s="20" t="n">
        <f aca="false">IF(Data!E593="","",Data!E593)</f>
        <v>120</v>
      </c>
      <c r="F593" s="20" t="str">
        <f aca="false">IF(Data!F593="","",Data!F593)</f>
        <v/>
      </c>
      <c r="G593" s="28" t="str">
        <f aca="false">IF(Data!G593="","",IFERROR(VLOOKUP(Data!G593,Codes!$A$18:$B$19,2,FALSE()),"Invalid ("&amp;Data!G593&amp;")"))</f>
        <v>No</v>
      </c>
      <c r="H593" s="28" t="str">
        <f aca="false">IF(Data!H593="","",IFERROR(VLOOKUP(Data!H593,Codes!$A$23:$B$25,2,FALSE()),"Invalid ("&amp;Data!H593&amp;")"))</f>
        <v>Normal</v>
      </c>
      <c r="I593" s="20" t="n">
        <f aca="false">IF(Data!I593="","",Data!I593)</f>
        <v>132</v>
      </c>
      <c r="J593" s="28" t="str">
        <f aca="false">IF(Data!J593="","",IFERROR(VLOOKUP(Data!J593,Codes!$A$29:$B$30,2,FALSE()),"Invalid ("&amp;Data!J593&amp;")"))</f>
        <v>No</v>
      </c>
      <c r="K593" s="21" t="n">
        <f aca="false">IF(Data!K593="","",Data!K593)</f>
        <v>0</v>
      </c>
      <c r="L593" s="28" t="str">
        <f aca="false">IF(Data!L593="","",IFERROR(VLOOKUP(Data!L593,Codes!$A$34:$B$36,2,FALSE()),"Invalid ("&amp;Data!L593&amp;")"))</f>
        <v/>
      </c>
      <c r="M593" s="20" t="str">
        <f aca="false">IF(Data!M593="","",Data!M593)</f>
        <v/>
      </c>
      <c r="N593" s="28" t="str">
        <f aca="false">IF(Data!N593="","",IFERROR(VLOOKUP(Data!N593,Codes!$A$47:$B$49,2,FALSE()),"Invalid ("&amp;Data!N593&amp;")"))</f>
        <v/>
      </c>
      <c r="O593" s="28" t="str">
        <f aca="false">IF(Data!O593="","",IFERROR(VLOOKUP(Data!O593,Codes!$A$53:$B$57,2,FALSE()),"Invalid ("&amp;Data!O593&amp;")"))</f>
        <v>No disease</v>
      </c>
      <c r="P593" s="22" t="str">
        <f aca="false">IF(Data!P593="","",IFERROR(VLOOKUP(Data!P593,Codes!$A$61:$B$64,2,FALSE()),"Invalid ("&amp;Data!P593&amp;")"))</f>
        <v>Hungarian Inst. of Cardiology, Budapest</v>
      </c>
    </row>
    <row r="594" customFormat="false" ht="15" hidden="false" customHeight="false" outlineLevel="0" collapsed="false">
      <c r="A594" s="19" t="n">
        <f aca="false">Data!A594</f>
        <v>593</v>
      </c>
      <c r="B594" s="20" t="n">
        <f aca="false">IF(Data!B594="","",Data!B594)</f>
        <v>48</v>
      </c>
      <c r="C594" s="28" t="str">
        <f aca="false">IF(Data!C594="","",IFERROR(VLOOKUP(Data!C594,Codes!$A$6:$B$7,2,FALSE()),"Invalid ("&amp;Data!C594&amp;")"))</f>
        <v>Female</v>
      </c>
      <c r="D594" s="28" t="str">
        <f aca="false">IF(Data!D594="","",IFERROR(VLOOKUP(Data!D594,Codes!$A$11:$B$14,2,FALSE()),"Invalid ("&amp;Data!D594&amp;")"))</f>
        <v>Atypical angina</v>
      </c>
      <c r="E594" s="20" t="str">
        <f aca="false">IF(Data!E594="","",Data!E594)</f>
        <v/>
      </c>
      <c r="F594" s="20" t="n">
        <f aca="false">IF(Data!F594="","",Data!F594)</f>
        <v>308</v>
      </c>
      <c r="G594" s="28" t="str">
        <f aca="false">IF(Data!G594="","",IFERROR(VLOOKUP(Data!G594,Codes!$A$18:$B$19,2,FALSE()),"Invalid ("&amp;Data!G594&amp;")"))</f>
        <v>No</v>
      </c>
      <c r="H594" s="28" t="str">
        <f aca="false">IF(Data!H594="","",IFERROR(VLOOKUP(Data!H594,Codes!$A$23:$B$25,2,FALSE()),"Invalid ("&amp;Data!H594&amp;")"))</f>
        <v>ST-T wave abnormality</v>
      </c>
      <c r="I594" s="20" t="str">
        <f aca="false">IF(Data!I594="","",Data!I594)</f>
        <v/>
      </c>
      <c r="J594" s="28" t="str">
        <f aca="false">IF(Data!J594="","",IFERROR(VLOOKUP(Data!J594,Codes!$A$29:$B$30,2,FALSE()),"Invalid ("&amp;Data!J594&amp;")"))</f>
        <v/>
      </c>
      <c r="K594" s="21" t="n">
        <f aca="false">IF(Data!K594="","",Data!K594)</f>
        <v>2</v>
      </c>
      <c r="L594" s="28" t="str">
        <f aca="false">IF(Data!L594="","",IFERROR(VLOOKUP(Data!L594,Codes!$A$34:$B$36,2,FALSE()),"Invalid ("&amp;Data!L594&amp;")"))</f>
        <v>Upsloping</v>
      </c>
      <c r="M594" s="20" t="str">
        <f aca="false">IF(Data!M594="","",Data!M594)</f>
        <v/>
      </c>
      <c r="N594" s="28" t="str">
        <f aca="false">IF(Data!N594="","",IFERROR(VLOOKUP(Data!N594,Codes!$A$47:$B$49,2,FALSE()),"Invalid ("&amp;Data!N594&amp;")"))</f>
        <v/>
      </c>
      <c r="O594" s="28" t="str">
        <f aca="false">IF(Data!O594="","",IFERROR(VLOOKUP(Data!O594,Codes!$A$53:$B$57,2,FALSE()),"Invalid ("&amp;Data!O594&amp;")"))</f>
        <v>No disease</v>
      </c>
      <c r="P594" s="22" t="str">
        <f aca="false">IF(Data!P594="","",IFERROR(VLOOKUP(Data!P594,Codes!$A$61:$B$64,2,FALSE()),"Invalid ("&amp;Data!P594&amp;")"))</f>
        <v>Hungarian Inst. of Cardiology, Budapest</v>
      </c>
    </row>
    <row r="595" customFormat="false" ht="15" hidden="false" customHeight="false" outlineLevel="0" collapsed="false">
      <c r="A595" s="19" t="n">
        <f aca="false">Data!A595</f>
        <v>594</v>
      </c>
      <c r="B595" s="20" t="n">
        <f aca="false">IF(Data!B595="","",Data!B595)</f>
        <v>36</v>
      </c>
      <c r="C595" s="28" t="str">
        <f aca="false">IF(Data!C595="","",IFERROR(VLOOKUP(Data!C595,Codes!$A$6:$B$7,2,FALSE()),"Invalid ("&amp;Data!C595&amp;")"))</f>
        <v>Male</v>
      </c>
      <c r="D595" s="28" t="str">
        <f aca="false">IF(Data!D595="","",IFERROR(VLOOKUP(Data!D595,Codes!$A$11:$B$14,2,FALSE()),"Invalid ("&amp;Data!D595&amp;")"))</f>
        <v>Atypical angina</v>
      </c>
      <c r="E595" s="20" t="n">
        <f aca="false">IF(Data!E595="","",Data!E595)</f>
        <v>120</v>
      </c>
      <c r="F595" s="20" t="n">
        <f aca="false">IF(Data!F595="","",Data!F595)</f>
        <v>166</v>
      </c>
      <c r="G595" s="28" t="str">
        <f aca="false">IF(Data!G595="","",IFERROR(VLOOKUP(Data!G595,Codes!$A$18:$B$19,2,FALSE()),"Invalid ("&amp;Data!G595&amp;")"))</f>
        <v>No</v>
      </c>
      <c r="H595" s="28" t="str">
        <f aca="false">IF(Data!H595="","",IFERROR(VLOOKUP(Data!H595,Codes!$A$23:$B$25,2,FALSE()),"Invalid ("&amp;Data!H595&amp;")"))</f>
        <v>Normal</v>
      </c>
      <c r="I595" s="20" t="n">
        <f aca="false">IF(Data!I595="","",Data!I595)</f>
        <v>180</v>
      </c>
      <c r="J595" s="28" t="str">
        <f aca="false">IF(Data!J595="","",IFERROR(VLOOKUP(Data!J595,Codes!$A$29:$B$30,2,FALSE()),"Invalid ("&amp;Data!J595&amp;")"))</f>
        <v>No</v>
      </c>
      <c r="K595" s="21" t="n">
        <f aca="false">IF(Data!K595="","",Data!K595)</f>
        <v>0</v>
      </c>
      <c r="L595" s="28" t="str">
        <f aca="false">IF(Data!L595="","",IFERROR(VLOOKUP(Data!L595,Codes!$A$34:$B$36,2,FALSE()),"Invalid ("&amp;Data!L595&amp;")"))</f>
        <v/>
      </c>
      <c r="M595" s="20" t="str">
        <f aca="false">IF(Data!M595="","",Data!M595)</f>
        <v/>
      </c>
      <c r="N595" s="28" t="str">
        <f aca="false">IF(Data!N595="","",IFERROR(VLOOKUP(Data!N595,Codes!$A$47:$B$49,2,FALSE()),"Invalid ("&amp;Data!N595&amp;")"))</f>
        <v/>
      </c>
      <c r="O595" s="28" t="str">
        <f aca="false">IF(Data!O595="","",IFERROR(VLOOKUP(Data!O595,Codes!$A$53:$B$57,2,FALSE()),"Invalid ("&amp;Data!O595&amp;")"))</f>
        <v>No disease</v>
      </c>
      <c r="P595" s="22" t="str">
        <f aca="false">IF(Data!P595="","",IFERROR(VLOOKUP(Data!P595,Codes!$A$61:$B$64,2,FALSE()),"Invalid ("&amp;Data!P595&amp;")"))</f>
        <v>Hungarian Inst. of Cardiology, Budapest</v>
      </c>
    </row>
    <row r="596" customFormat="false" ht="15" hidden="false" customHeight="false" outlineLevel="0" collapsed="false">
      <c r="A596" s="19" t="n">
        <f aca="false">Data!A596</f>
        <v>595</v>
      </c>
      <c r="B596" s="20" t="n">
        <f aca="false">IF(Data!B596="","",Data!B596)</f>
        <v>48</v>
      </c>
      <c r="C596" s="28" t="str">
        <f aca="false">IF(Data!C596="","",IFERROR(VLOOKUP(Data!C596,Codes!$A$6:$B$7,2,FALSE()),"Invalid ("&amp;Data!C596&amp;")"))</f>
        <v>Male</v>
      </c>
      <c r="D596" s="28" t="str">
        <f aca="false">IF(Data!D596="","",IFERROR(VLOOKUP(Data!D596,Codes!$A$11:$B$14,2,FALSE()),"Invalid ("&amp;Data!D596&amp;")"))</f>
        <v>Non-anginal pain</v>
      </c>
      <c r="E596" s="20" t="n">
        <f aca="false">IF(Data!E596="","",Data!E596)</f>
        <v>110</v>
      </c>
      <c r="F596" s="20" t="n">
        <f aca="false">IF(Data!F596="","",Data!F596)</f>
        <v>211</v>
      </c>
      <c r="G596" s="28" t="str">
        <f aca="false">IF(Data!G596="","",IFERROR(VLOOKUP(Data!G596,Codes!$A$18:$B$19,2,FALSE()),"Invalid ("&amp;Data!G596&amp;")"))</f>
        <v>No</v>
      </c>
      <c r="H596" s="28" t="str">
        <f aca="false">IF(Data!H596="","",IFERROR(VLOOKUP(Data!H596,Codes!$A$23:$B$25,2,FALSE()),"Invalid ("&amp;Data!H596&amp;")"))</f>
        <v>Normal</v>
      </c>
      <c r="I596" s="20" t="n">
        <f aca="false">IF(Data!I596="","",Data!I596)</f>
        <v>138</v>
      </c>
      <c r="J596" s="28" t="str">
        <f aca="false">IF(Data!J596="","",IFERROR(VLOOKUP(Data!J596,Codes!$A$29:$B$30,2,FALSE()),"Invalid ("&amp;Data!J596&amp;")"))</f>
        <v>No</v>
      </c>
      <c r="K596" s="21" t="n">
        <f aca="false">IF(Data!K596="","",Data!K596)</f>
        <v>0</v>
      </c>
      <c r="L596" s="28" t="str">
        <f aca="false">IF(Data!L596="","",IFERROR(VLOOKUP(Data!L596,Codes!$A$34:$B$36,2,FALSE()),"Invalid ("&amp;Data!L596&amp;")"))</f>
        <v/>
      </c>
      <c r="M596" s="20" t="str">
        <f aca="false">IF(Data!M596="","",Data!M596)</f>
        <v/>
      </c>
      <c r="N596" s="28" t="str">
        <f aca="false">IF(Data!N596="","",IFERROR(VLOOKUP(Data!N596,Codes!$A$47:$B$49,2,FALSE()),"Invalid ("&amp;Data!N596&amp;")"))</f>
        <v>Fixed defect</v>
      </c>
      <c r="O596" s="28" t="str">
        <f aca="false">IF(Data!O596="","",IFERROR(VLOOKUP(Data!O596,Codes!$A$53:$B$57,2,FALSE()),"Invalid ("&amp;Data!O596&amp;")"))</f>
        <v>No disease</v>
      </c>
      <c r="P596" s="22" t="str">
        <f aca="false">IF(Data!P596="","",IFERROR(VLOOKUP(Data!P596,Codes!$A$61:$B$64,2,FALSE()),"Invalid ("&amp;Data!P596&amp;")"))</f>
        <v>Hungarian Inst. of Cardiology, Budapest</v>
      </c>
    </row>
    <row r="597" customFormat="false" ht="15" hidden="false" customHeight="false" outlineLevel="0" collapsed="false">
      <c r="A597" s="19" t="n">
        <f aca="false">Data!A597</f>
        <v>596</v>
      </c>
      <c r="B597" s="20" t="n">
        <f aca="false">IF(Data!B597="","",Data!B597)</f>
        <v>47</v>
      </c>
      <c r="C597" s="28" t="str">
        <f aca="false">IF(Data!C597="","",IFERROR(VLOOKUP(Data!C597,Codes!$A$6:$B$7,2,FALSE()),"Invalid ("&amp;Data!C597&amp;")"))</f>
        <v>Female</v>
      </c>
      <c r="D597" s="28" t="str">
        <f aca="false">IF(Data!D597="","",IFERROR(VLOOKUP(Data!D597,Codes!$A$11:$B$14,2,FALSE()),"Invalid ("&amp;Data!D597&amp;")"))</f>
        <v>Atypical angina</v>
      </c>
      <c r="E597" s="20" t="n">
        <f aca="false">IF(Data!E597="","",Data!E597)</f>
        <v>140</v>
      </c>
      <c r="F597" s="20" t="n">
        <f aca="false">IF(Data!F597="","",Data!F597)</f>
        <v>257</v>
      </c>
      <c r="G597" s="28" t="str">
        <f aca="false">IF(Data!G597="","",IFERROR(VLOOKUP(Data!G597,Codes!$A$18:$B$19,2,FALSE()),"Invalid ("&amp;Data!G597&amp;")"))</f>
        <v>No</v>
      </c>
      <c r="H597" s="28" t="str">
        <f aca="false">IF(Data!H597="","",IFERROR(VLOOKUP(Data!H597,Codes!$A$23:$B$25,2,FALSE()),"Invalid ("&amp;Data!H597&amp;")"))</f>
        <v>Normal</v>
      </c>
      <c r="I597" s="20" t="n">
        <f aca="false">IF(Data!I597="","",Data!I597)</f>
        <v>135</v>
      </c>
      <c r="J597" s="28" t="str">
        <f aca="false">IF(Data!J597="","",IFERROR(VLOOKUP(Data!J597,Codes!$A$29:$B$30,2,FALSE()),"Invalid ("&amp;Data!J597&amp;")"))</f>
        <v>No</v>
      </c>
      <c r="K597" s="21" t="n">
        <f aca="false">IF(Data!K597="","",Data!K597)</f>
        <v>1</v>
      </c>
      <c r="L597" s="28" t="str">
        <f aca="false">IF(Data!L597="","",IFERROR(VLOOKUP(Data!L597,Codes!$A$34:$B$36,2,FALSE()),"Invalid ("&amp;Data!L597&amp;")"))</f>
        <v>Upsloping</v>
      </c>
      <c r="M597" s="20" t="str">
        <f aca="false">IF(Data!M597="","",Data!M597)</f>
        <v/>
      </c>
      <c r="N597" s="28" t="str">
        <f aca="false">IF(Data!N597="","",IFERROR(VLOOKUP(Data!N597,Codes!$A$47:$B$49,2,FALSE()),"Invalid ("&amp;Data!N597&amp;")"))</f>
        <v/>
      </c>
      <c r="O597" s="28" t="str">
        <f aca="false">IF(Data!O597="","",IFERROR(VLOOKUP(Data!O597,Codes!$A$53:$B$57,2,FALSE()),"Invalid ("&amp;Data!O597&amp;")"))</f>
        <v>No disease</v>
      </c>
      <c r="P597" s="22" t="str">
        <f aca="false">IF(Data!P597="","",IFERROR(VLOOKUP(Data!P597,Codes!$A$61:$B$64,2,FALSE()),"Invalid ("&amp;Data!P597&amp;")"))</f>
        <v>Hungarian Inst. of Cardiology, Budapest</v>
      </c>
    </row>
    <row r="598" customFormat="false" ht="15" hidden="false" customHeight="false" outlineLevel="0" collapsed="false">
      <c r="A598" s="19" t="n">
        <f aca="false">Data!A598</f>
        <v>597</v>
      </c>
      <c r="B598" s="20" t="n">
        <f aca="false">IF(Data!B598="","",Data!B598)</f>
        <v>53</v>
      </c>
      <c r="C598" s="28" t="str">
        <f aca="false">IF(Data!C598="","",IFERROR(VLOOKUP(Data!C598,Codes!$A$6:$B$7,2,FALSE()),"Invalid ("&amp;Data!C598&amp;")"))</f>
        <v>Male</v>
      </c>
      <c r="D598" s="28" t="str">
        <f aca="false">IF(Data!D598="","",IFERROR(VLOOKUP(Data!D598,Codes!$A$11:$B$14,2,FALSE()),"Invalid ("&amp;Data!D598&amp;")"))</f>
        <v>Asymptomatic</v>
      </c>
      <c r="E598" s="20" t="n">
        <f aca="false">IF(Data!E598="","",Data!E598)</f>
        <v>130</v>
      </c>
      <c r="F598" s="20" t="n">
        <f aca="false">IF(Data!F598="","",Data!F598)</f>
        <v>182</v>
      </c>
      <c r="G598" s="28" t="str">
        <f aca="false">IF(Data!G598="","",IFERROR(VLOOKUP(Data!G598,Codes!$A$18:$B$19,2,FALSE()),"Invalid ("&amp;Data!G598&amp;")"))</f>
        <v>No</v>
      </c>
      <c r="H598" s="28" t="str">
        <f aca="false">IF(Data!H598="","",IFERROR(VLOOKUP(Data!H598,Codes!$A$23:$B$25,2,FALSE()),"Invalid ("&amp;Data!H598&amp;")"))</f>
        <v>Normal</v>
      </c>
      <c r="I598" s="20" t="n">
        <f aca="false">IF(Data!I598="","",Data!I598)</f>
        <v>148</v>
      </c>
      <c r="J598" s="28" t="str">
        <f aca="false">IF(Data!J598="","",IFERROR(VLOOKUP(Data!J598,Codes!$A$29:$B$30,2,FALSE()),"Invalid ("&amp;Data!J598&amp;")"))</f>
        <v>No</v>
      </c>
      <c r="K598" s="21" t="n">
        <f aca="false">IF(Data!K598="","",Data!K598)</f>
        <v>0</v>
      </c>
      <c r="L598" s="28" t="str">
        <f aca="false">IF(Data!L598="","",IFERROR(VLOOKUP(Data!L598,Codes!$A$34:$B$36,2,FALSE()),"Invalid ("&amp;Data!L598&amp;")"))</f>
        <v/>
      </c>
      <c r="M598" s="20" t="str">
        <f aca="false">IF(Data!M598="","",Data!M598)</f>
        <v/>
      </c>
      <c r="N598" s="28" t="str">
        <f aca="false">IF(Data!N598="","",IFERROR(VLOOKUP(Data!N598,Codes!$A$47:$B$49,2,FALSE()),"Invalid ("&amp;Data!N598&amp;")"))</f>
        <v/>
      </c>
      <c r="O598" s="28" t="str">
        <f aca="false">IF(Data!O598="","",IFERROR(VLOOKUP(Data!O598,Codes!$A$53:$B$57,2,FALSE()),"Invalid ("&amp;Data!O598&amp;")"))</f>
        <v>No disease</v>
      </c>
      <c r="P598" s="22" t="str">
        <f aca="false">IF(Data!P598="","",IFERROR(VLOOKUP(Data!P598,Codes!$A$61:$B$64,2,FALSE()),"Invalid ("&amp;Data!P598&amp;")"))</f>
        <v>Hungarian Inst. of Cardiology, Budapest</v>
      </c>
    </row>
    <row r="599" customFormat="false" ht="15" hidden="false" customHeight="false" outlineLevel="0" collapsed="false">
      <c r="A599" s="19" t="n">
        <f aca="false">Data!A599</f>
        <v>598</v>
      </c>
      <c r="B599" s="20" t="n">
        <f aca="false">IF(Data!B599="","",Data!B599)</f>
        <v>32</v>
      </c>
      <c r="C599" s="28" t="str">
        <f aca="false">IF(Data!C599="","",IFERROR(VLOOKUP(Data!C599,Codes!$A$6:$B$7,2,FALSE()),"Invalid ("&amp;Data!C599&amp;")"))</f>
        <v>Male</v>
      </c>
      <c r="D599" s="28" t="str">
        <f aca="false">IF(Data!D599="","",IFERROR(VLOOKUP(Data!D599,Codes!$A$11:$B$14,2,FALSE()),"Invalid ("&amp;Data!D599&amp;")"))</f>
        <v>Typical angina</v>
      </c>
      <c r="E599" s="20" t="n">
        <f aca="false">IF(Data!E599="","",Data!E599)</f>
        <v>95</v>
      </c>
      <c r="F599" s="20" t="n">
        <f aca="false">IF(Data!F599="","",Data!F599)</f>
        <v>0</v>
      </c>
      <c r="G599" s="28" t="str">
        <f aca="false">IF(Data!G599="","",IFERROR(VLOOKUP(Data!G599,Codes!$A$18:$B$19,2,FALSE()),"Invalid ("&amp;Data!G599&amp;")"))</f>
        <v/>
      </c>
      <c r="H599" s="28" t="str">
        <f aca="false">IF(Data!H599="","",IFERROR(VLOOKUP(Data!H599,Codes!$A$23:$B$25,2,FALSE()),"Invalid ("&amp;Data!H599&amp;")"))</f>
        <v>Normal</v>
      </c>
      <c r="I599" s="20" t="n">
        <f aca="false">IF(Data!I599="","",Data!I599)</f>
        <v>127</v>
      </c>
      <c r="J599" s="28" t="str">
        <f aca="false">IF(Data!J599="","",IFERROR(VLOOKUP(Data!J599,Codes!$A$29:$B$30,2,FALSE()),"Invalid ("&amp;Data!J599&amp;")"))</f>
        <v>No</v>
      </c>
      <c r="K599" s="21" t="n">
        <f aca="false">IF(Data!K599="","",Data!K599)</f>
        <v>0.7</v>
      </c>
      <c r="L599" s="28" t="str">
        <f aca="false">IF(Data!L599="","",IFERROR(VLOOKUP(Data!L599,Codes!$A$34:$B$36,2,FALSE()),"Invalid ("&amp;Data!L599&amp;")"))</f>
        <v>Upsloping</v>
      </c>
      <c r="M599" s="20" t="str">
        <f aca="false">IF(Data!M599="","",Data!M599)</f>
        <v/>
      </c>
      <c r="N599" s="28" t="str">
        <f aca="false">IF(Data!N599="","",IFERROR(VLOOKUP(Data!N599,Codes!$A$47:$B$49,2,FALSE()),"Invalid ("&amp;Data!N599&amp;")"))</f>
        <v/>
      </c>
      <c r="O599" s="28" t="str">
        <f aca="false">IF(Data!O599="","",IFERROR(VLOOKUP(Data!O599,Codes!$A$53:$B$57,2,FALSE()),"Invalid ("&amp;Data!O599&amp;")"))</f>
        <v>Disease (1)</v>
      </c>
      <c r="P599" s="22" t="str">
        <f aca="false">IF(Data!P599="","",IFERROR(VLOOKUP(Data!P599,Codes!$A$61:$B$64,2,FALSE()),"Invalid ("&amp;Data!P599&amp;")"))</f>
        <v>University Hospitals, Zurich &amp; Basel</v>
      </c>
    </row>
    <row r="600" customFormat="false" ht="15" hidden="false" customHeight="false" outlineLevel="0" collapsed="false">
      <c r="A600" s="19" t="n">
        <f aca="false">Data!A600</f>
        <v>599</v>
      </c>
      <c r="B600" s="20" t="n">
        <f aca="false">IF(Data!B600="","",Data!B600)</f>
        <v>34</v>
      </c>
      <c r="C600" s="28" t="str">
        <f aca="false">IF(Data!C600="","",IFERROR(VLOOKUP(Data!C600,Codes!$A$6:$B$7,2,FALSE()),"Invalid ("&amp;Data!C600&amp;")"))</f>
        <v>Male</v>
      </c>
      <c r="D600" s="28" t="str">
        <f aca="false">IF(Data!D600="","",IFERROR(VLOOKUP(Data!D600,Codes!$A$11:$B$14,2,FALSE()),"Invalid ("&amp;Data!D600&amp;")"))</f>
        <v>Asymptomatic</v>
      </c>
      <c r="E600" s="20" t="n">
        <f aca="false">IF(Data!E600="","",Data!E600)</f>
        <v>115</v>
      </c>
      <c r="F600" s="20" t="n">
        <f aca="false">IF(Data!F600="","",Data!F600)</f>
        <v>0</v>
      </c>
      <c r="G600" s="28" t="str">
        <f aca="false">IF(Data!G600="","",IFERROR(VLOOKUP(Data!G600,Codes!$A$18:$B$19,2,FALSE()),"Invalid ("&amp;Data!G600&amp;")"))</f>
        <v/>
      </c>
      <c r="H600" s="28" t="str">
        <f aca="false">IF(Data!H600="","",IFERROR(VLOOKUP(Data!H600,Codes!$A$23:$B$25,2,FALSE()),"Invalid ("&amp;Data!H600&amp;")"))</f>
        <v/>
      </c>
      <c r="I600" s="20" t="n">
        <f aca="false">IF(Data!I600="","",Data!I600)</f>
        <v>154</v>
      </c>
      <c r="J600" s="28" t="str">
        <f aca="false">IF(Data!J600="","",IFERROR(VLOOKUP(Data!J600,Codes!$A$29:$B$30,2,FALSE()),"Invalid ("&amp;Data!J600&amp;")"))</f>
        <v>No</v>
      </c>
      <c r="K600" s="21" t="n">
        <f aca="false">IF(Data!K600="","",Data!K600)</f>
        <v>0.2</v>
      </c>
      <c r="L600" s="28" t="str">
        <f aca="false">IF(Data!L600="","",IFERROR(VLOOKUP(Data!L600,Codes!$A$34:$B$36,2,FALSE()),"Invalid ("&amp;Data!L600&amp;")"))</f>
        <v>Upsloping</v>
      </c>
      <c r="M600" s="20" t="str">
        <f aca="false">IF(Data!M600="","",Data!M600)</f>
        <v/>
      </c>
      <c r="N600" s="28" t="str">
        <f aca="false">IF(Data!N600="","",IFERROR(VLOOKUP(Data!N600,Codes!$A$47:$B$49,2,FALSE()),"Invalid ("&amp;Data!N600&amp;")"))</f>
        <v/>
      </c>
      <c r="O600" s="28" t="str">
        <f aca="false">IF(Data!O600="","",IFERROR(VLOOKUP(Data!O600,Codes!$A$53:$B$57,2,FALSE()),"Invalid ("&amp;Data!O600&amp;")"))</f>
        <v>Disease (1)</v>
      </c>
      <c r="P600" s="22" t="str">
        <f aca="false">IF(Data!P600="","",IFERROR(VLOOKUP(Data!P600,Codes!$A$61:$B$64,2,FALSE()),"Invalid ("&amp;Data!P600&amp;")"))</f>
        <v>University Hospitals, Zurich &amp; Basel</v>
      </c>
    </row>
    <row r="601" customFormat="false" ht="15" hidden="false" customHeight="false" outlineLevel="0" collapsed="false">
      <c r="A601" s="19" t="n">
        <f aca="false">Data!A601</f>
        <v>600</v>
      </c>
      <c r="B601" s="20" t="n">
        <f aca="false">IF(Data!B601="","",Data!B601)</f>
        <v>35</v>
      </c>
      <c r="C601" s="28" t="str">
        <f aca="false">IF(Data!C601="","",IFERROR(VLOOKUP(Data!C601,Codes!$A$6:$B$7,2,FALSE()),"Invalid ("&amp;Data!C601&amp;")"))</f>
        <v>Male</v>
      </c>
      <c r="D601" s="28" t="str">
        <f aca="false">IF(Data!D601="","",IFERROR(VLOOKUP(Data!D601,Codes!$A$11:$B$14,2,FALSE()),"Invalid ("&amp;Data!D601&amp;")"))</f>
        <v>Asymptomatic</v>
      </c>
      <c r="E601" s="20" t="str">
        <f aca="false">IF(Data!E601="","",Data!E601)</f>
        <v/>
      </c>
      <c r="F601" s="20" t="n">
        <f aca="false">IF(Data!F601="","",Data!F601)</f>
        <v>0</v>
      </c>
      <c r="G601" s="28" t="str">
        <f aca="false">IF(Data!G601="","",IFERROR(VLOOKUP(Data!G601,Codes!$A$18:$B$19,2,FALSE()),"Invalid ("&amp;Data!G601&amp;")"))</f>
        <v/>
      </c>
      <c r="H601" s="28" t="str">
        <f aca="false">IF(Data!H601="","",IFERROR(VLOOKUP(Data!H601,Codes!$A$23:$B$25,2,FALSE()),"Invalid ("&amp;Data!H601&amp;")"))</f>
        <v>Normal</v>
      </c>
      <c r="I601" s="20" t="n">
        <f aca="false">IF(Data!I601="","",Data!I601)</f>
        <v>130</v>
      </c>
      <c r="J601" s="28" t="str">
        <f aca="false">IF(Data!J601="","",IFERROR(VLOOKUP(Data!J601,Codes!$A$29:$B$30,2,FALSE()),"Invalid ("&amp;Data!J601&amp;")"))</f>
        <v>Yes</v>
      </c>
      <c r="K601" s="21" t="str">
        <f aca="false">IF(Data!K601="","",Data!K601)</f>
        <v/>
      </c>
      <c r="L601" s="28" t="str">
        <f aca="false">IF(Data!L601="","",IFERROR(VLOOKUP(Data!L601,Codes!$A$34:$B$36,2,FALSE()),"Invalid ("&amp;Data!L601&amp;")"))</f>
        <v/>
      </c>
      <c r="M601" s="20" t="str">
        <f aca="false">IF(Data!M601="","",Data!M601)</f>
        <v/>
      </c>
      <c r="N601" s="28" t="str">
        <f aca="false">IF(Data!N601="","",IFERROR(VLOOKUP(Data!N601,Codes!$A$47:$B$49,2,FALSE()),"Invalid ("&amp;Data!N601&amp;")"))</f>
        <v>Reversible defect</v>
      </c>
      <c r="O601" s="28" t="str">
        <f aca="false">IF(Data!O601="","",IFERROR(VLOOKUP(Data!O601,Codes!$A$53:$B$57,2,FALSE()),"Invalid ("&amp;Data!O601&amp;")"))</f>
        <v>Disease (3)</v>
      </c>
      <c r="P601" s="22" t="str">
        <f aca="false">IF(Data!P601="","",IFERROR(VLOOKUP(Data!P601,Codes!$A$61:$B$64,2,FALSE()),"Invalid ("&amp;Data!P601&amp;")"))</f>
        <v>University Hospitals, Zurich &amp; Basel</v>
      </c>
    </row>
    <row r="602" customFormat="false" ht="15" hidden="false" customHeight="false" outlineLevel="0" collapsed="false">
      <c r="A602" s="19" t="n">
        <f aca="false">Data!A602</f>
        <v>601</v>
      </c>
      <c r="B602" s="20" t="n">
        <f aca="false">IF(Data!B602="","",Data!B602)</f>
        <v>36</v>
      </c>
      <c r="C602" s="28" t="str">
        <f aca="false">IF(Data!C602="","",IFERROR(VLOOKUP(Data!C602,Codes!$A$6:$B$7,2,FALSE()),"Invalid ("&amp;Data!C602&amp;")"))</f>
        <v>Male</v>
      </c>
      <c r="D602" s="28" t="str">
        <f aca="false">IF(Data!D602="","",IFERROR(VLOOKUP(Data!D602,Codes!$A$11:$B$14,2,FALSE()),"Invalid ("&amp;Data!D602&amp;")"))</f>
        <v>Asymptomatic</v>
      </c>
      <c r="E602" s="20" t="n">
        <f aca="false">IF(Data!E602="","",Data!E602)</f>
        <v>110</v>
      </c>
      <c r="F602" s="20" t="n">
        <f aca="false">IF(Data!F602="","",Data!F602)</f>
        <v>0</v>
      </c>
      <c r="G602" s="28" t="str">
        <f aca="false">IF(Data!G602="","",IFERROR(VLOOKUP(Data!G602,Codes!$A$18:$B$19,2,FALSE()),"Invalid ("&amp;Data!G602&amp;")"))</f>
        <v/>
      </c>
      <c r="H602" s="28" t="str">
        <f aca="false">IF(Data!H602="","",IFERROR(VLOOKUP(Data!H602,Codes!$A$23:$B$25,2,FALSE()),"Invalid ("&amp;Data!H602&amp;")"))</f>
        <v>Normal</v>
      </c>
      <c r="I602" s="20" t="n">
        <f aca="false">IF(Data!I602="","",Data!I602)</f>
        <v>125</v>
      </c>
      <c r="J602" s="28" t="str">
        <f aca="false">IF(Data!J602="","",IFERROR(VLOOKUP(Data!J602,Codes!$A$29:$B$30,2,FALSE()),"Invalid ("&amp;Data!J602&amp;")"))</f>
        <v>Yes</v>
      </c>
      <c r="K602" s="21" t="n">
        <f aca="false">IF(Data!K602="","",Data!K602)</f>
        <v>1</v>
      </c>
      <c r="L602" s="28" t="str">
        <f aca="false">IF(Data!L602="","",IFERROR(VLOOKUP(Data!L602,Codes!$A$34:$B$36,2,FALSE()),"Invalid ("&amp;Data!L602&amp;")"))</f>
        <v>Flat</v>
      </c>
      <c r="M602" s="20" t="str">
        <f aca="false">IF(Data!M602="","",Data!M602)</f>
        <v/>
      </c>
      <c r="N602" s="28" t="str">
        <f aca="false">IF(Data!N602="","",IFERROR(VLOOKUP(Data!N602,Codes!$A$47:$B$49,2,FALSE()),"Invalid ("&amp;Data!N602&amp;")"))</f>
        <v>Fixed defect</v>
      </c>
      <c r="O602" s="28" t="str">
        <f aca="false">IF(Data!O602="","",IFERROR(VLOOKUP(Data!O602,Codes!$A$53:$B$57,2,FALSE()),"Invalid ("&amp;Data!O602&amp;")"))</f>
        <v>Disease (1)</v>
      </c>
      <c r="P602" s="22" t="str">
        <f aca="false">IF(Data!P602="","",IFERROR(VLOOKUP(Data!P602,Codes!$A$61:$B$64,2,FALSE()),"Invalid ("&amp;Data!P602&amp;")"))</f>
        <v>University Hospitals, Zurich &amp; Basel</v>
      </c>
    </row>
    <row r="603" customFormat="false" ht="15" hidden="false" customHeight="false" outlineLevel="0" collapsed="false">
      <c r="A603" s="19" t="n">
        <f aca="false">Data!A603</f>
        <v>602</v>
      </c>
      <c r="B603" s="20" t="n">
        <f aca="false">IF(Data!B603="","",Data!B603)</f>
        <v>38</v>
      </c>
      <c r="C603" s="28" t="str">
        <f aca="false">IF(Data!C603="","",IFERROR(VLOOKUP(Data!C603,Codes!$A$6:$B$7,2,FALSE()),"Invalid ("&amp;Data!C603&amp;")"))</f>
        <v>Female</v>
      </c>
      <c r="D603" s="28" t="str">
        <f aca="false">IF(Data!D603="","",IFERROR(VLOOKUP(Data!D603,Codes!$A$11:$B$14,2,FALSE()),"Invalid ("&amp;Data!D603&amp;")"))</f>
        <v>Asymptomatic</v>
      </c>
      <c r="E603" s="20" t="n">
        <f aca="false">IF(Data!E603="","",Data!E603)</f>
        <v>105</v>
      </c>
      <c r="F603" s="20" t="n">
        <f aca="false">IF(Data!F603="","",Data!F603)</f>
        <v>0</v>
      </c>
      <c r="G603" s="28" t="str">
        <f aca="false">IF(Data!G603="","",IFERROR(VLOOKUP(Data!G603,Codes!$A$18:$B$19,2,FALSE()),"Invalid ("&amp;Data!G603&amp;")"))</f>
        <v/>
      </c>
      <c r="H603" s="28" t="str">
        <f aca="false">IF(Data!H603="","",IFERROR(VLOOKUP(Data!H603,Codes!$A$23:$B$25,2,FALSE()),"Invalid ("&amp;Data!H603&amp;")"))</f>
        <v>Normal</v>
      </c>
      <c r="I603" s="20" t="n">
        <f aca="false">IF(Data!I603="","",Data!I603)</f>
        <v>166</v>
      </c>
      <c r="J603" s="28" t="str">
        <f aca="false">IF(Data!J603="","",IFERROR(VLOOKUP(Data!J603,Codes!$A$29:$B$30,2,FALSE()),"Invalid ("&amp;Data!J603&amp;")"))</f>
        <v>No</v>
      </c>
      <c r="K603" s="21" t="n">
        <f aca="false">IF(Data!K603="","",Data!K603)</f>
        <v>2.8</v>
      </c>
      <c r="L603" s="28" t="str">
        <f aca="false">IF(Data!L603="","",IFERROR(VLOOKUP(Data!L603,Codes!$A$34:$B$36,2,FALSE()),"Invalid ("&amp;Data!L603&amp;")"))</f>
        <v>Upsloping</v>
      </c>
      <c r="M603" s="20" t="str">
        <f aca="false">IF(Data!M603="","",Data!M603)</f>
        <v/>
      </c>
      <c r="N603" s="28" t="str">
        <f aca="false">IF(Data!N603="","",IFERROR(VLOOKUP(Data!N603,Codes!$A$47:$B$49,2,FALSE()),"Invalid ("&amp;Data!N603&amp;")"))</f>
        <v/>
      </c>
      <c r="O603" s="28" t="str">
        <f aca="false">IF(Data!O603="","",IFERROR(VLOOKUP(Data!O603,Codes!$A$53:$B$57,2,FALSE()),"Invalid ("&amp;Data!O603&amp;")"))</f>
        <v>Disease (2)</v>
      </c>
      <c r="P603" s="22" t="str">
        <f aca="false">IF(Data!P603="","",IFERROR(VLOOKUP(Data!P603,Codes!$A$61:$B$64,2,FALSE()),"Invalid ("&amp;Data!P603&amp;")"))</f>
        <v>University Hospitals, Zurich &amp; Basel</v>
      </c>
    </row>
    <row r="604" customFormat="false" ht="15" hidden="false" customHeight="false" outlineLevel="0" collapsed="false">
      <c r="A604" s="19" t="n">
        <f aca="false">Data!A604</f>
        <v>603</v>
      </c>
      <c r="B604" s="20" t="n">
        <f aca="false">IF(Data!B604="","",Data!B604)</f>
        <v>38</v>
      </c>
      <c r="C604" s="28" t="str">
        <f aca="false">IF(Data!C604="","",IFERROR(VLOOKUP(Data!C604,Codes!$A$6:$B$7,2,FALSE()),"Invalid ("&amp;Data!C604&amp;")"))</f>
        <v>Female</v>
      </c>
      <c r="D604" s="28" t="str">
        <f aca="false">IF(Data!D604="","",IFERROR(VLOOKUP(Data!D604,Codes!$A$11:$B$14,2,FALSE()),"Invalid ("&amp;Data!D604&amp;")"))</f>
        <v>Asymptomatic</v>
      </c>
      <c r="E604" s="20" t="n">
        <f aca="false">IF(Data!E604="","",Data!E604)</f>
        <v>110</v>
      </c>
      <c r="F604" s="20" t="n">
        <f aca="false">IF(Data!F604="","",Data!F604)</f>
        <v>0</v>
      </c>
      <c r="G604" s="28" t="str">
        <f aca="false">IF(Data!G604="","",IFERROR(VLOOKUP(Data!G604,Codes!$A$18:$B$19,2,FALSE()),"Invalid ("&amp;Data!G604&amp;")"))</f>
        <v>No</v>
      </c>
      <c r="H604" s="28" t="str">
        <f aca="false">IF(Data!H604="","",IFERROR(VLOOKUP(Data!H604,Codes!$A$23:$B$25,2,FALSE()),"Invalid ("&amp;Data!H604&amp;")"))</f>
        <v>Normal</v>
      </c>
      <c r="I604" s="20" t="n">
        <f aca="false">IF(Data!I604="","",Data!I604)</f>
        <v>156</v>
      </c>
      <c r="J604" s="28" t="str">
        <f aca="false">IF(Data!J604="","",IFERROR(VLOOKUP(Data!J604,Codes!$A$29:$B$30,2,FALSE()),"Invalid ("&amp;Data!J604&amp;")"))</f>
        <v>No</v>
      </c>
      <c r="K604" s="21" t="n">
        <f aca="false">IF(Data!K604="","",Data!K604)</f>
        <v>0</v>
      </c>
      <c r="L604" s="28" t="str">
        <f aca="false">IF(Data!L604="","",IFERROR(VLOOKUP(Data!L604,Codes!$A$34:$B$36,2,FALSE()),"Invalid ("&amp;Data!L604&amp;")"))</f>
        <v>Flat</v>
      </c>
      <c r="M604" s="20" t="str">
        <f aca="false">IF(Data!M604="","",Data!M604)</f>
        <v/>
      </c>
      <c r="N604" s="28" t="str">
        <f aca="false">IF(Data!N604="","",IFERROR(VLOOKUP(Data!N604,Codes!$A$47:$B$49,2,FALSE()),"Invalid ("&amp;Data!N604&amp;")"))</f>
        <v>Normal</v>
      </c>
      <c r="O604" s="28" t="str">
        <f aca="false">IF(Data!O604="","",IFERROR(VLOOKUP(Data!O604,Codes!$A$53:$B$57,2,FALSE()),"Invalid ("&amp;Data!O604&amp;")"))</f>
        <v>Disease (1)</v>
      </c>
      <c r="P604" s="22" t="str">
        <f aca="false">IF(Data!P604="","",IFERROR(VLOOKUP(Data!P604,Codes!$A$61:$B$64,2,FALSE()),"Invalid ("&amp;Data!P604&amp;")"))</f>
        <v>University Hospitals, Zurich &amp; Basel</v>
      </c>
    </row>
    <row r="605" customFormat="false" ht="15" hidden="false" customHeight="false" outlineLevel="0" collapsed="false">
      <c r="A605" s="19" t="n">
        <f aca="false">Data!A605</f>
        <v>604</v>
      </c>
      <c r="B605" s="20" t="n">
        <f aca="false">IF(Data!B605="","",Data!B605)</f>
        <v>38</v>
      </c>
      <c r="C605" s="28" t="str">
        <f aca="false">IF(Data!C605="","",IFERROR(VLOOKUP(Data!C605,Codes!$A$6:$B$7,2,FALSE()),"Invalid ("&amp;Data!C605&amp;")"))</f>
        <v>Male</v>
      </c>
      <c r="D605" s="28" t="str">
        <f aca="false">IF(Data!D605="","",IFERROR(VLOOKUP(Data!D605,Codes!$A$11:$B$14,2,FALSE()),"Invalid ("&amp;Data!D605&amp;")"))</f>
        <v>Non-anginal pain</v>
      </c>
      <c r="E605" s="20" t="n">
        <f aca="false">IF(Data!E605="","",Data!E605)</f>
        <v>100</v>
      </c>
      <c r="F605" s="20" t="n">
        <f aca="false">IF(Data!F605="","",Data!F605)</f>
        <v>0</v>
      </c>
      <c r="G605" s="28" t="str">
        <f aca="false">IF(Data!G605="","",IFERROR(VLOOKUP(Data!G605,Codes!$A$18:$B$19,2,FALSE()),"Invalid ("&amp;Data!G605&amp;")"))</f>
        <v/>
      </c>
      <c r="H605" s="28" t="str">
        <f aca="false">IF(Data!H605="","",IFERROR(VLOOKUP(Data!H605,Codes!$A$23:$B$25,2,FALSE()),"Invalid ("&amp;Data!H605&amp;")"))</f>
        <v>Normal</v>
      </c>
      <c r="I605" s="20" t="n">
        <f aca="false">IF(Data!I605="","",Data!I605)</f>
        <v>179</v>
      </c>
      <c r="J605" s="28" t="str">
        <f aca="false">IF(Data!J605="","",IFERROR(VLOOKUP(Data!J605,Codes!$A$29:$B$30,2,FALSE()),"Invalid ("&amp;Data!J605&amp;")"))</f>
        <v>No</v>
      </c>
      <c r="K605" s="21" t="n">
        <f aca="false">IF(Data!K605="","",Data!K605)</f>
        <v>-1.1</v>
      </c>
      <c r="L605" s="28" t="str">
        <f aca="false">IF(Data!L605="","",IFERROR(VLOOKUP(Data!L605,Codes!$A$34:$B$36,2,FALSE()),"Invalid ("&amp;Data!L605&amp;")"))</f>
        <v>Upsloping</v>
      </c>
      <c r="M605" s="20" t="str">
        <f aca="false">IF(Data!M605="","",Data!M605)</f>
        <v/>
      </c>
      <c r="N605" s="28" t="str">
        <f aca="false">IF(Data!N605="","",IFERROR(VLOOKUP(Data!N605,Codes!$A$47:$B$49,2,FALSE()),"Invalid ("&amp;Data!N605&amp;")"))</f>
        <v/>
      </c>
      <c r="O605" s="28" t="str">
        <f aca="false">IF(Data!O605="","",IFERROR(VLOOKUP(Data!O605,Codes!$A$53:$B$57,2,FALSE()),"Invalid ("&amp;Data!O605&amp;")"))</f>
        <v>No disease</v>
      </c>
      <c r="P605" s="22" t="str">
        <f aca="false">IF(Data!P605="","",IFERROR(VLOOKUP(Data!P605,Codes!$A$61:$B$64,2,FALSE()),"Invalid ("&amp;Data!P605&amp;")"))</f>
        <v>University Hospitals, Zurich &amp; Basel</v>
      </c>
    </row>
    <row r="606" customFormat="false" ht="15" hidden="false" customHeight="false" outlineLevel="0" collapsed="false">
      <c r="A606" s="19" t="n">
        <f aca="false">Data!A606</f>
        <v>605</v>
      </c>
      <c r="B606" s="20" t="n">
        <f aca="false">IF(Data!B606="","",Data!B606)</f>
        <v>38</v>
      </c>
      <c r="C606" s="28" t="str">
        <f aca="false">IF(Data!C606="","",IFERROR(VLOOKUP(Data!C606,Codes!$A$6:$B$7,2,FALSE()),"Invalid ("&amp;Data!C606&amp;")"))</f>
        <v>Male</v>
      </c>
      <c r="D606" s="28" t="str">
        <f aca="false">IF(Data!D606="","",IFERROR(VLOOKUP(Data!D606,Codes!$A$11:$B$14,2,FALSE()),"Invalid ("&amp;Data!D606&amp;")"))</f>
        <v>Non-anginal pain</v>
      </c>
      <c r="E606" s="20" t="n">
        <f aca="false">IF(Data!E606="","",Data!E606)</f>
        <v>115</v>
      </c>
      <c r="F606" s="20" t="n">
        <f aca="false">IF(Data!F606="","",Data!F606)</f>
        <v>0</v>
      </c>
      <c r="G606" s="28" t="str">
        <f aca="false">IF(Data!G606="","",IFERROR(VLOOKUP(Data!G606,Codes!$A$18:$B$19,2,FALSE()),"Invalid ("&amp;Data!G606&amp;")"))</f>
        <v>No</v>
      </c>
      <c r="H606" s="28" t="str">
        <f aca="false">IF(Data!H606="","",IFERROR(VLOOKUP(Data!H606,Codes!$A$23:$B$25,2,FALSE()),"Invalid ("&amp;Data!H606&amp;")"))</f>
        <v>Normal</v>
      </c>
      <c r="I606" s="20" t="n">
        <f aca="false">IF(Data!I606="","",Data!I606)</f>
        <v>128</v>
      </c>
      <c r="J606" s="28" t="str">
        <f aca="false">IF(Data!J606="","",IFERROR(VLOOKUP(Data!J606,Codes!$A$29:$B$30,2,FALSE()),"Invalid ("&amp;Data!J606&amp;")"))</f>
        <v>Yes</v>
      </c>
      <c r="K606" s="21" t="n">
        <f aca="false">IF(Data!K606="","",Data!K606)</f>
        <v>0</v>
      </c>
      <c r="L606" s="28" t="str">
        <f aca="false">IF(Data!L606="","",IFERROR(VLOOKUP(Data!L606,Codes!$A$34:$B$36,2,FALSE()),"Invalid ("&amp;Data!L606&amp;")"))</f>
        <v>Flat</v>
      </c>
      <c r="M606" s="20" t="str">
        <f aca="false">IF(Data!M606="","",Data!M606)</f>
        <v/>
      </c>
      <c r="N606" s="28" t="str">
        <f aca="false">IF(Data!N606="","",IFERROR(VLOOKUP(Data!N606,Codes!$A$47:$B$49,2,FALSE()),"Invalid ("&amp;Data!N606&amp;")"))</f>
        <v>Reversible defect</v>
      </c>
      <c r="O606" s="28" t="str">
        <f aca="false">IF(Data!O606="","",IFERROR(VLOOKUP(Data!O606,Codes!$A$53:$B$57,2,FALSE()),"Invalid ("&amp;Data!O606&amp;")"))</f>
        <v>Disease (1)</v>
      </c>
      <c r="P606" s="22" t="str">
        <f aca="false">IF(Data!P606="","",IFERROR(VLOOKUP(Data!P606,Codes!$A$61:$B$64,2,FALSE()),"Invalid ("&amp;Data!P606&amp;")"))</f>
        <v>University Hospitals, Zurich &amp; Basel</v>
      </c>
    </row>
    <row r="607" customFormat="false" ht="15" hidden="false" customHeight="false" outlineLevel="0" collapsed="false">
      <c r="A607" s="19" t="n">
        <f aca="false">Data!A607</f>
        <v>606</v>
      </c>
      <c r="B607" s="20" t="n">
        <f aca="false">IF(Data!B607="","",Data!B607)</f>
        <v>38</v>
      </c>
      <c r="C607" s="28" t="str">
        <f aca="false">IF(Data!C607="","",IFERROR(VLOOKUP(Data!C607,Codes!$A$6:$B$7,2,FALSE()),"Invalid ("&amp;Data!C607&amp;")"))</f>
        <v>Male</v>
      </c>
      <c r="D607" s="28" t="str">
        <f aca="false">IF(Data!D607="","",IFERROR(VLOOKUP(Data!D607,Codes!$A$11:$B$14,2,FALSE()),"Invalid ("&amp;Data!D607&amp;")"))</f>
        <v>Asymptomatic</v>
      </c>
      <c r="E607" s="20" t="n">
        <f aca="false">IF(Data!E607="","",Data!E607)</f>
        <v>135</v>
      </c>
      <c r="F607" s="20" t="n">
        <f aca="false">IF(Data!F607="","",Data!F607)</f>
        <v>0</v>
      </c>
      <c r="G607" s="28" t="str">
        <f aca="false">IF(Data!G607="","",IFERROR(VLOOKUP(Data!G607,Codes!$A$18:$B$19,2,FALSE()),"Invalid ("&amp;Data!G607&amp;")"))</f>
        <v/>
      </c>
      <c r="H607" s="28" t="str">
        <f aca="false">IF(Data!H607="","",IFERROR(VLOOKUP(Data!H607,Codes!$A$23:$B$25,2,FALSE()),"Invalid ("&amp;Data!H607&amp;")"))</f>
        <v>Normal</v>
      </c>
      <c r="I607" s="20" t="n">
        <f aca="false">IF(Data!I607="","",Data!I607)</f>
        <v>150</v>
      </c>
      <c r="J607" s="28" t="str">
        <f aca="false">IF(Data!J607="","",IFERROR(VLOOKUP(Data!J607,Codes!$A$29:$B$30,2,FALSE()),"Invalid ("&amp;Data!J607&amp;")"))</f>
        <v>No</v>
      </c>
      <c r="K607" s="21" t="n">
        <f aca="false">IF(Data!K607="","",Data!K607)</f>
        <v>0</v>
      </c>
      <c r="L607" s="28" t="str">
        <f aca="false">IF(Data!L607="","",IFERROR(VLOOKUP(Data!L607,Codes!$A$34:$B$36,2,FALSE()),"Invalid ("&amp;Data!L607&amp;")"))</f>
        <v/>
      </c>
      <c r="M607" s="20" t="str">
        <f aca="false">IF(Data!M607="","",Data!M607)</f>
        <v/>
      </c>
      <c r="N607" s="28" t="str">
        <f aca="false">IF(Data!N607="","",IFERROR(VLOOKUP(Data!N607,Codes!$A$47:$B$49,2,FALSE()),"Invalid ("&amp;Data!N607&amp;")"))</f>
        <v>Normal</v>
      </c>
      <c r="O607" s="28" t="str">
        <f aca="false">IF(Data!O607="","",IFERROR(VLOOKUP(Data!O607,Codes!$A$53:$B$57,2,FALSE()),"Invalid ("&amp;Data!O607&amp;")"))</f>
        <v>Disease (2)</v>
      </c>
      <c r="P607" s="22" t="str">
        <f aca="false">IF(Data!P607="","",IFERROR(VLOOKUP(Data!P607,Codes!$A$61:$B$64,2,FALSE()),"Invalid ("&amp;Data!P607&amp;")"))</f>
        <v>University Hospitals, Zurich &amp; Basel</v>
      </c>
    </row>
    <row r="608" customFormat="false" ht="15" hidden="false" customHeight="false" outlineLevel="0" collapsed="false">
      <c r="A608" s="19" t="n">
        <f aca="false">Data!A608</f>
        <v>607</v>
      </c>
      <c r="B608" s="20" t="n">
        <f aca="false">IF(Data!B608="","",Data!B608)</f>
        <v>38</v>
      </c>
      <c r="C608" s="28" t="str">
        <f aca="false">IF(Data!C608="","",IFERROR(VLOOKUP(Data!C608,Codes!$A$6:$B$7,2,FALSE()),"Invalid ("&amp;Data!C608&amp;")"))</f>
        <v>Male</v>
      </c>
      <c r="D608" s="28" t="str">
        <f aca="false">IF(Data!D608="","",IFERROR(VLOOKUP(Data!D608,Codes!$A$11:$B$14,2,FALSE()),"Invalid ("&amp;Data!D608&amp;")"))</f>
        <v>Asymptomatic</v>
      </c>
      <c r="E608" s="20" t="n">
        <f aca="false">IF(Data!E608="","",Data!E608)</f>
        <v>150</v>
      </c>
      <c r="F608" s="20" t="n">
        <f aca="false">IF(Data!F608="","",Data!F608)</f>
        <v>0</v>
      </c>
      <c r="G608" s="28" t="str">
        <f aca="false">IF(Data!G608="","",IFERROR(VLOOKUP(Data!G608,Codes!$A$18:$B$19,2,FALSE()),"Invalid ("&amp;Data!G608&amp;")"))</f>
        <v/>
      </c>
      <c r="H608" s="28" t="str">
        <f aca="false">IF(Data!H608="","",IFERROR(VLOOKUP(Data!H608,Codes!$A$23:$B$25,2,FALSE()),"Invalid ("&amp;Data!H608&amp;")"))</f>
        <v>Normal</v>
      </c>
      <c r="I608" s="20" t="n">
        <f aca="false">IF(Data!I608="","",Data!I608)</f>
        <v>120</v>
      </c>
      <c r="J608" s="28" t="str">
        <f aca="false">IF(Data!J608="","",IFERROR(VLOOKUP(Data!J608,Codes!$A$29:$B$30,2,FALSE()),"Invalid ("&amp;Data!J608&amp;")"))</f>
        <v>Yes</v>
      </c>
      <c r="K608" s="21" t="str">
        <f aca="false">IF(Data!K608="","",Data!K608)</f>
        <v/>
      </c>
      <c r="L608" s="28" t="str">
        <f aca="false">IF(Data!L608="","",IFERROR(VLOOKUP(Data!L608,Codes!$A$34:$B$36,2,FALSE()),"Invalid ("&amp;Data!L608&amp;")"))</f>
        <v/>
      </c>
      <c r="M608" s="20" t="str">
        <f aca="false">IF(Data!M608="","",Data!M608)</f>
        <v/>
      </c>
      <c r="N608" s="28" t="str">
        <f aca="false">IF(Data!N608="","",IFERROR(VLOOKUP(Data!N608,Codes!$A$47:$B$49,2,FALSE()),"Invalid ("&amp;Data!N608&amp;")"))</f>
        <v>Normal</v>
      </c>
      <c r="O608" s="28" t="str">
        <f aca="false">IF(Data!O608="","",IFERROR(VLOOKUP(Data!O608,Codes!$A$53:$B$57,2,FALSE()),"Invalid ("&amp;Data!O608&amp;")"))</f>
        <v>Disease (1)</v>
      </c>
      <c r="P608" s="22" t="str">
        <f aca="false">IF(Data!P608="","",IFERROR(VLOOKUP(Data!P608,Codes!$A$61:$B$64,2,FALSE()),"Invalid ("&amp;Data!P608&amp;")"))</f>
        <v>University Hospitals, Zurich &amp; Basel</v>
      </c>
    </row>
    <row r="609" customFormat="false" ht="15" hidden="false" customHeight="false" outlineLevel="0" collapsed="false">
      <c r="A609" s="19" t="n">
        <f aca="false">Data!A609</f>
        <v>608</v>
      </c>
      <c r="B609" s="20" t="n">
        <f aca="false">IF(Data!B609="","",Data!B609)</f>
        <v>40</v>
      </c>
      <c r="C609" s="28" t="str">
        <f aca="false">IF(Data!C609="","",IFERROR(VLOOKUP(Data!C609,Codes!$A$6:$B$7,2,FALSE()),"Invalid ("&amp;Data!C609&amp;")"))</f>
        <v>Male</v>
      </c>
      <c r="D609" s="28" t="str">
        <f aca="false">IF(Data!D609="","",IFERROR(VLOOKUP(Data!D609,Codes!$A$11:$B$14,2,FALSE()),"Invalid ("&amp;Data!D609&amp;")"))</f>
        <v>Asymptomatic</v>
      </c>
      <c r="E609" s="20" t="n">
        <f aca="false">IF(Data!E609="","",Data!E609)</f>
        <v>95</v>
      </c>
      <c r="F609" s="20" t="n">
        <f aca="false">IF(Data!F609="","",Data!F609)</f>
        <v>0</v>
      </c>
      <c r="G609" s="28" t="str">
        <f aca="false">IF(Data!G609="","",IFERROR(VLOOKUP(Data!G609,Codes!$A$18:$B$19,2,FALSE()),"Invalid ("&amp;Data!G609&amp;")"))</f>
        <v/>
      </c>
      <c r="H609" s="28" t="str">
        <f aca="false">IF(Data!H609="","",IFERROR(VLOOKUP(Data!H609,Codes!$A$23:$B$25,2,FALSE()),"Invalid ("&amp;Data!H609&amp;")"))</f>
        <v>ST-T wave abnormality</v>
      </c>
      <c r="I609" s="20" t="n">
        <f aca="false">IF(Data!I609="","",Data!I609)</f>
        <v>144</v>
      </c>
      <c r="J609" s="28" t="str">
        <f aca="false">IF(Data!J609="","",IFERROR(VLOOKUP(Data!J609,Codes!$A$29:$B$30,2,FALSE()),"Invalid ("&amp;Data!J609&amp;")"))</f>
        <v>No</v>
      </c>
      <c r="K609" s="21" t="n">
        <f aca="false">IF(Data!K609="","",Data!K609)</f>
        <v>0</v>
      </c>
      <c r="L609" s="28" t="str">
        <f aca="false">IF(Data!L609="","",IFERROR(VLOOKUP(Data!L609,Codes!$A$34:$B$36,2,FALSE()),"Invalid ("&amp;Data!L609&amp;")"))</f>
        <v>Upsloping</v>
      </c>
      <c r="M609" s="20" t="str">
        <f aca="false">IF(Data!M609="","",Data!M609)</f>
        <v/>
      </c>
      <c r="N609" s="28" t="str">
        <f aca="false">IF(Data!N609="","",IFERROR(VLOOKUP(Data!N609,Codes!$A$47:$B$49,2,FALSE()),"Invalid ("&amp;Data!N609&amp;")"))</f>
        <v/>
      </c>
      <c r="O609" s="28" t="str">
        <f aca="false">IF(Data!O609="","",IFERROR(VLOOKUP(Data!O609,Codes!$A$53:$B$57,2,FALSE()),"Invalid ("&amp;Data!O609&amp;")"))</f>
        <v>Disease (2)</v>
      </c>
      <c r="P609" s="22" t="str">
        <f aca="false">IF(Data!P609="","",IFERROR(VLOOKUP(Data!P609,Codes!$A$61:$B$64,2,FALSE()),"Invalid ("&amp;Data!P609&amp;")"))</f>
        <v>University Hospitals, Zurich &amp; Basel</v>
      </c>
    </row>
    <row r="610" customFormat="false" ht="15" hidden="false" customHeight="false" outlineLevel="0" collapsed="false">
      <c r="A610" s="19" t="n">
        <f aca="false">Data!A610</f>
        <v>609</v>
      </c>
      <c r="B610" s="20" t="n">
        <f aca="false">IF(Data!B610="","",Data!B610)</f>
        <v>41</v>
      </c>
      <c r="C610" s="28" t="str">
        <f aca="false">IF(Data!C610="","",IFERROR(VLOOKUP(Data!C610,Codes!$A$6:$B$7,2,FALSE()),"Invalid ("&amp;Data!C610&amp;")"))</f>
        <v>Male</v>
      </c>
      <c r="D610" s="28" t="str">
        <f aca="false">IF(Data!D610="","",IFERROR(VLOOKUP(Data!D610,Codes!$A$11:$B$14,2,FALSE()),"Invalid ("&amp;Data!D610&amp;")"))</f>
        <v>Asymptomatic</v>
      </c>
      <c r="E610" s="20" t="n">
        <f aca="false">IF(Data!E610="","",Data!E610)</f>
        <v>125</v>
      </c>
      <c r="F610" s="20" t="n">
        <f aca="false">IF(Data!F610="","",Data!F610)</f>
        <v>0</v>
      </c>
      <c r="G610" s="28" t="str">
        <f aca="false">IF(Data!G610="","",IFERROR(VLOOKUP(Data!G610,Codes!$A$18:$B$19,2,FALSE()),"Invalid ("&amp;Data!G610&amp;")"))</f>
        <v/>
      </c>
      <c r="H610" s="28" t="str">
        <f aca="false">IF(Data!H610="","",IFERROR(VLOOKUP(Data!H610,Codes!$A$23:$B$25,2,FALSE()),"Invalid ("&amp;Data!H610&amp;")"))</f>
        <v>Normal</v>
      </c>
      <c r="I610" s="20" t="n">
        <f aca="false">IF(Data!I610="","",Data!I610)</f>
        <v>176</v>
      </c>
      <c r="J610" s="28" t="str">
        <f aca="false">IF(Data!J610="","",IFERROR(VLOOKUP(Data!J610,Codes!$A$29:$B$30,2,FALSE()),"Invalid ("&amp;Data!J610&amp;")"))</f>
        <v>No</v>
      </c>
      <c r="K610" s="21" t="n">
        <f aca="false">IF(Data!K610="","",Data!K610)</f>
        <v>1.6</v>
      </c>
      <c r="L610" s="28" t="str">
        <f aca="false">IF(Data!L610="","",IFERROR(VLOOKUP(Data!L610,Codes!$A$34:$B$36,2,FALSE()),"Invalid ("&amp;Data!L610&amp;")"))</f>
        <v>Upsloping</v>
      </c>
      <c r="M610" s="20" t="str">
        <f aca="false">IF(Data!M610="","",Data!M610)</f>
        <v/>
      </c>
      <c r="N610" s="28" t="str">
        <f aca="false">IF(Data!N610="","",IFERROR(VLOOKUP(Data!N610,Codes!$A$47:$B$49,2,FALSE()),"Invalid ("&amp;Data!N610&amp;")"))</f>
        <v/>
      </c>
      <c r="O610" s="28" t="str">
        <f aca="false">IF(Data!O610="","",IFERROR(VLOOKUP(Data!O610,Codes!$A$53:$B$57,2,FALSE()),"Invalid ("&amp;Data!O610&amp;")"))</f>
        <v>Disease (2)</v>
      </c>
      <c r="P610" s="22" t="str">
        <f aca="false">IF(Data!P610="","",IFERROR(VLOOKUP(Data!P610,Codes!$A$61:$B$64,2,FALSE()),"Invalid ("&amp;Data!P610&amp;")"))</f>
        <v>University Hospitals, Zurich &amp; Basel</v>
      </c>
    </row>
    <row r="611" customFormat="false" ht="15" hidden="false" customHeight="false" outlineLevel="0" collapsed="false">
      <c r="A611" s="19" t="n">
        <f aca="false">Data!A611</f>
        <v>610</v>
      </c>
      <c r="B611" s="20" t="n">
        <f aca="false">IF(Data!B611="","",Data!B611)</f>
        <v>42</v>
      </c>
      <c r="C611" s="28" t="str">
        <f aca="false">IF(Data!C611="","",IFERROR(VLOOKUP(Data!C611,Codes!$A$6:$B$7,2,FALSE()),"Invalid ("&amp;Data!C611&amp;")"))</f>
        <v>Male</v>
      </c>
      <c r="D611" s="28" t="str">
        <f aca="false">IF(Data!D611="","",IFERROR(VLOOKUP(Data!D611,Codes!$A$11:$B$14,2,FALSE()),"Invalid ("&amp;Data!D611&amp;")"))</f>
        <v>Asymptomatic</v>
      </c>
      <c r="E611" s="20" t="n">
        <f aca="false">IF(Data!E611="","",Data!E611)</f>
        <v>105</v>
      </c>
      <c r="F611" s="20" t="n">
        <f aca="false">IF(Data!F611="","",Data!F611)</f>
        <v>0</v>
      </c>
      <c r="G611" s="28" t="str">
        <f aca="false">IF(Data!G611="","",IFERROR(VLOOKUP(Data!G611,Codes!$A$18:$B$19,2,FALSE()),"Invalid ("&amp;Data!G611&amp;")"))</f>
        <v/>
      </c>
      <c r="H611" s="28" t="str">
        <f aca="false">IF(Data!H611="","",IFERROR(VLOOKUP(Data!H611,Codes!$A$23:$B$25,2,FALSE()),"Invalid ("&amp;Data!H611&amp;")"))</f>
        <v>Normal</v>
      </c>
      <c r="I611" s="20" t="n">
        <f aca="false">IF(Data!I611="","",Data!I611)</f>
        <v>128</v>
      </c>
      <c r="J611" s="28" t="str">
        <f aca="false">IF(Data!J611="","",IFERROR(VLOOKUP(Data!J611,Codes!$A$29:$B$30,2,FALSE()),"Invalid ("&amp;Data!J611&amp;")"))</f>
        <v>Yes</v>
      </c>
      <c r="K611" s="21" t="n">
        <f aca="false">IF(Data!K611="","",Data!K611)</f>
        <v>-1.5</v>
      </c>
      <c r="L611" s="28" t="str">
        <f aca="false">IF(Data!L611="","",IFERROR(VLOOKUP(Data!L611,Codes!$A$34:$B$36,2,FALSE()),"Invalid ("&amp;Data!L611&amp;")"))</f>
        <v>Downsloping</v>
      </c>
      <c r="M611" s="20" t="str">
        <f aca="false">IF(Data!M611="","",Data!M611)</f>
        <v/>
      </c>
      <c r="N611" s="28" t="str">
        <f aca="false">IF(Data!N611="","",IFERROR(VLOOKUP(Data!N611,Codes!$A$47:$B$49,2,FALSE()),"Invalid ("&amp;Data!N611&amp;")"))</f>
        <v/>
      </c>
      <c r="O611" s="28" t="str">
        <f aca="false">IF(Data!O611="","",IFERROR(VLOOKUP(Data!O611,Codes!$A$53:$B$57,2,FALSE()),"Invalid ("&amp;Data!O611&amp;")"))</f>
        <v>Disease (1)</v>
      </c>
      <c r="P611" s="22" t="str">
        <f aca="false">IF(Data!P611="","",IFERROR(VLOOKUP(Data!P611,Codes!$A$61:$B$64,2,FALSE()),"Invalid ("&amp;Data!P611&amp;")"))</f>
        <v>University Hospitals, Zurich &amp; Basel</v>
      </c>
    </row>
    <row r="612" customFormat="false" ht="15" hidden="false" customHeight="false" outlineLevel="0" collapsed="false">
      <c r="A612" s="19" t="n">
        <f aca="false">Data!A612</f>
        <v>611</v>
      </c>
      <c r="B612" s="20" t="n">
        <f aca="false">IF(Data!B612="","",Data!B612)</f>
        <v>42</v>
      </c>
      <c r="C612" s="28" t="str">
        <f aca="false">IF(Data!C612="","",IFERROR(VLOOKUP(Data!C612,Codes!$A$6:$B$7,2,FALSE()),"Invalid ("&amp;Data!C612&amp;")"))</f>
        <v>Male</v>
      </c>
      <c r="D612" s="28" t="str">
        <f aca="false">IF(Data!D612="","",IFERROR(VLOOKUP(Data!D612,Codes!$A$11:$B$14,2,FALSE()),"Invalid ("&amp;Data!D612&amp;")"))</f>
        <v>Asymptomatic</v>
      </c>
      <c r="E612" s="20" t="n">
        <f aca="false">IF(Data!E612="","",Data!E612)</f>
        <v>145</v>
      </c>
      <c r="F612" s="20" t="n">
        <f aca="false">IF(Data!F612="","",Data!F612)</f>
        <v>0</v>
      </c>
      <c r="G612" s="28" t="str">
        <f aca="false">IF(Data!G612="","",IFERROR(VLOOKUP(Data!G612,Codes!$A$18:$B$19,2,FALSE()),"Invalid ("&amp;Data!G612&amp;")"))</f>
        <v>No</v>
      </c>
      <c r="H612" s="28" t="str">
        <f aca="false">IF(Data!H612="","",IFERROR(VLOOKUP(Data!H612,Codes!$A$23:$B$25,2,FALSE()),"Invalid ("&amp;Data!H612&amp;")"))</f>
        <v>Normal</v>
      </c>
      <c r="I612" s="20" t="n">
        <f aca="false">IF(Data!I612="","",Data!I612)</f>
        <v>99</v>
      </c>
      <c r="J612" s="28" t="str">
        <f aca="false">IF(Data!J612="","",IFERROR(VLOOKUP(Data!J612,Codes!$A$29:$B$30,2,FALSE()),"Invalid ("&amp;Data!J612&amp;")"))</f>
        <v>Yes</v>
      </c>
      <c r="K612" s="21" t="n">
        <f aca="false">IF(Data!K612="","",Data!K612)</f>
        <v>0</v>
      </c>
      <c r="L612" s="28" t="str">
        <f aca="false">IF(Data!L612="","",IFERROR(VLOOKUP(Data!L612,Codes!$A$34:$B$36,2,FALSE()),"Invalid ("&amp;Data!L612&amp;")"))</f>
        <v>Flat</v>
      </c>
      <c r="M612" s="20" t="str">
        <f aca="false">IF(Data!M612="","",Data!M612)</f>
        <v/>
      </c>
      <c r="N612" s="28" t="str">
        <f aca="false">IF(Data!N612="","",IFERROR(VLOOKUP(Data!N612,Codes!$A$47:$B$49,2,FALSE()),"Invalid ("&amp;Data!N612&amp;")"))</f>
        <v/>
      </c>
      <c r="O612" s="28" t="str">
        <f aca="false">IF(Data!O612="","",IFERROR(VLOOKUP(Data!O612,Codes!$A$53:$B$57,2,FALSE()),"Invalid ("&amp;Data!O612&amp;")"))</f>
        <v>Disease (2)</v>
      </c>
      <c r="P612" s="22" t="str">
        <f aca="false">IF(Data!P612="","",IFERROR(VLOOKUP(Data!P612,Codes!$A$61:$B$64,2,FALSE()),"Invalid ("&amp;Data!P612&amp;")"))</f>
        <v>University Hospitals, Zurich &amp; Basel</v>
      </c>
    </row>
    <row r="613" customFormat="false" ht="15" hidden="false" customHeight="false" outlineLevel="0" collapsed="false">
      <c r="A613" s="19" t="n">
        <f aca="false">Data!A613</f>
        <v>612</v>
      </c>
      <c r="B613" s="20" t="n">
        <f aca="false">IF(Data!B613="","",Data!B613)</f>
        <v>43</v>
      </c>
      <c r="C613" s="28" t="str">
        <f aca="false">IF(Data!C613="","",IFERROR(VLOOKUP(Data!C613,Codes!$A$6:$B$7,2,FALSE()),"Invalid ("&amp;Data!C613&amp;")"))</f>
        <v>Male</v>
      </c>
      <c r="D613" s="28" t="str">
        <f aca="false">IF(Data!D613="","",IFERROR(VLOOKUP(Data!D613,Codes!$A$11:$B$14,2,FALSE()),"Invalid ("&amp;Data!D613&amp;")"))</f>
        <v>Asymptomatic</v>
      </c>
      <c r="E613" s="20" t="n">
        <f aca="false">IF(Data!E613="","",Data!E613)</f>
        <v>100</v>
      </c>
      <c r="F613" s="20" t="n">
        <f aca="false">IF(Data!F613="","",Data!F613)</f>
        <v>0</v>
      </c>
      <c r="G613" s="28" t="str">
        <f aca="false">IF(Data!G613="","",IFERROR(VLOOKUP(Data!G613,Codes!$A$18:$B$19,2,FALSE()),"Invalid ("&amp;Data!G613&amp;")"))</f>
        <v/>
      </c>
      <c r="H613" s="28" t="str">
        <f aca="false">IF(Data!H613="","",IFERROR(VLOOKUP(Data!H613,Codes!$A$23:$B$25,2,FALSE()),"Invalid ("&amp;Data!H613&amp;")"))</f>
        <v>Normal</v>
      </c>
      <c r="I613" s="20" t="n">
        <f aca="false">IF(Data!I613="","",Data!I613)</f>
        <v>122</v>
      </c>
      <c r="J613" s="28" t="str">
        <f aca="false">IF(Data!J613="","",IFERROR(VLOOKUP(Data!J613,Codes!$A$29:$B$30,2,FALSE()),"Invalid ("&amp;Data!J613&amp;")"))</f>
        <v>No</v>
      </c>
      <c r="K613" s="21" t="n">
        <f aca="false">IF(Data!K613="","",Data!K613)</f>
        <v>1.5</v>
      </c>
      <c r="L613" s="28" t="str">
        <f aca="false">IF(Data!L613="","",IFERROR(VLOOKUP(Data!L613,Codes!$A$34:$B$36,2,FALSE()),"Invalid ("&amp;Data!L613&amp;")"))</f>
        <v>Downsloping</v>
      </c>
      <c r="M613" s="20" t="str">
        <f aca="false">IF(Data!M613="","",Data!M613)</f>
        <v/>
      </c>
      <c r="N613" s="28" t="str">
        <f aca="false">IF(Data!N613="","",IFERROR(VLOOKUP(Data!N613,Codes!$A$47:$B$49,2,FALSE()),"Invalid ("&amp;Data!N613&amp;")"))</f>
        <v/>
      </c>
      <c r="O613" s="28" t="str">
        <f aca="false">IF(Data!O613="","",IFERROR(VLOOKUP(Data!O613,Codes!$A$53:$B$57,2,FALSE()),"Invalid ("&amp;Data!O613&amp;")"))</f>
        <v>Disease (3)</v>
      </c>
      <c r="P613" s="22" t="str">
        <f aca="false">IF(Data!P613="","",IFERROR(VLOOKUP(Data!P613,Codes!$A$61:$B$64,2,FALSE()),"Invalid ("&amp;Data!P613&amp;")"))</f>
        <v>University Hospitals, Zurich &amp; Basel</v>
      </c>
    </row>
    <row r="614" customFormat="false" ht="15" hidden="false" customHeight="false" outlineLevel="0" collapsed="false">
      <c r="A614" s="19" t="n">
        <f aca="false">Data!A614</f>
        <v>613</v>
      </c>
      <c r="B614" s="20" t="n">
        <f aca="false">IF(Data!B614="","",Data!B614)</f>
        <v>43</v>
      </c>
      <c r="C614" s="28" t="str">
        <f aca="false">IF(Data!C614="","",IFERROR(VLOOKUP(Data!C614,Codes!$A$6:$B$7,2,FALSE()),"Invalid ("&amp;Data!C614&amp;")"))</f>
        <v>Male</v>
      </c>
      <c r="D614" s="28" t="str">
        <f aca="false">IF(Data!D614="","",IFERROR(VLOOKUP(Data!D614,Codes!$A$11:$B$14,2,FALSE()),"Invalid ("&amp;Data!D614&amp;")"))</f>
        <v>Asymptomatic</v>
      </c>
      <c r="E614" s="20" t="n">
        <f aca="false">IF(Data!E614="","",Data!E614)</f>
        <v>115</v>
      </c>
      <c r="F614" s="20" t="n">
        <f aca="false">IF(Data!F614="","",Data!F614)</f>
        <v>0</v>
      </c>
      <c r="G614" s="28" t="str">
        <f aca="false">IF(Data!G614="","",IFERROR(VLOOKUP(Data!G614,Codes!$A$18:$B$19,2,FALSE()),"Invalid ("&amp;Data!G614&amp;")"))</f>
        <v>No</v>
      </c>
      <c r="H614" s="28" t="str">
        <f aca="false">IF(Data!H614="","",IFERROR(VLOOKUP(Data!H614,Codes!$A$23:$B$25,2,FALSE()),"Invalid ("&amp;Data!H614&amp;")"))</f>
        <v>Normal</v>
      </c>
      <c r="I614" s="20" t="n">
        <f aca="false">IF(Data!I614="","",Data!I614)</f>
        <v>145</v>
      </c>
      <c r="J614" s="28" t="str">
        <f aca="false">IF(Data!J614="","",IFERROR(VLOOKUP(Data!J614,Codes!$A$29:$B$30,2,FALSE()),"Invalid ("&amp;Data!J614&amp;")"))</f>
        <v>Yes</v>
      </c>
      <c r="K614" s="21" t="n">
        <f aca="false">IF(Data!K614="","",Data!K614)</f>
        <v>2</v>
      </c>
      <c r="L614" s="28" t="str">
        <f aca="false">IF(Data!L614="","",IFERROR(VLOOKUP(Data!L614,Codes!$A$34:$B$36,2,FALSE()),"Invalid ("&amp;Data!L614&amp;")"))</f>
        <v>Flat</v>
      </c>
      <c r="M614" s="20" t="str">
        <f aca="false">IF(Data!M614="","",Data!M614)</f>
        <v/>
      </c>
      <c r="N614" s="28" t="str">
        <f aca="false">IF(Data!N614="","",IFERROR(VLOOKUP(Data!N614,Codes!$A$47:$B$49,2,FALSE()),"Invalid ("&amp;Data!N614&amp;")"))</f>
        <v>Reversible defect</v>
      </c>
      <c r="O614" s="28" t="str">
        <f aca="false">IF(Data!O614="","",IFERROR(VLOOKUP(Data!O614,Codes!$A$53:$B$57,2,FALSE()),"Invalid ("&amp;Data!O614&amp;")"))</f>
        <v>Disease (4)</v>
      </c>
      <c r="P614" s="22" t="str">
        <f aca="false">IF(Data!P614="","",IFERROR(VLOOKUP(Data!P614,Codes!$A$61:$B$64,2,FALSE()),"Invalid ("&amp;Data!P614&amp;")"))</f>
        <v>University Hospitals, Zurich &amp; Basel</v>
      </c>
    </row>
    <row r="615" customFormat="false" ht="15" hidden="false" customHeight="false" outlineLevel="0" collapsed="false">
      <c r="A615" s="19" t="n">
        <f aca="false">Data!A615</f>
        <v>614</v>
      </c>
      <c r="B615" s="20" t="n">
        <f aca="false">IF(Data!B615="","",Data!B615)</f>
        <v>43</v>
      </c>
      <c r="C615" s="28" t="str">
        <f aca="false">IF(Data!C615="","",IFERROR(VLOOKUP(Data!C615,Codes!$A$6:$B$7,2,FALSE()),"Invalid ("&amp;Data!C615&amp;")"))</f>
        <v>Male</v>
      </c>
      <c r="D615" s="28" t="str">
        <f aca="false">IF(Data!D615="","",IFERROR(VLOOKUP(Data!D615,Codes!$A$11:$B$14,2,FALSE()),"Invalid ("&amp;Data!D615&amp;")"))</f>
        <v>Asymptomatic</v>
      </c>
      <c r="E615" s="20" t="n">
        <f aca="false">IF(Data!E615="","",Data!E615)</f>
        <v>140</v>
      </c>
      <c r="F615" s="20" t="n">
        <f aca="false">IF(Data!F615="","",Data!F615)</f>
        <v>0</v>
      </c>
      <c r="G615" s="28" t="str">
        <f aca="false">IF(Data!G615="","",IFERROR(VLOOKUP(Data!G615,Codes!$A$18:$B$19,2,FALSE()),"Invalid ("&amp;Data!G615&amp;")"))</f>
        <v>No</v>
      </c>
      <c r="H615" s="28" t="str">
        <f aca="false">IF(Data!H615="","",IFERROR(VLOOKUP(Data!H615,Codes!$A$23:$B$25,2,FALSE()),"Invalid ("&amp;Data!H615&amp;")"))</f>
        <v>ST-T wave abnormality</v>
      </c>
      <c r="I615" s="20" t="n">
        <f aca="false">IF(Data!I615="","",Data!I615)</f>
        <v>140</v>
      </c>
      <c r="J615" s="28" t="str">
        <f aca="false">IF(Data!J615="","",IFERROR(VLOOKUP(Data!J615,Codes!$A$29:$B$30,2,FALSE()),"Invalid ("&amp;Data!J615&amp;")"))</f>
        <v>Yes</v>
      </c>
      <c r="K615" s="21" t="n">
        <f aca="false">IF(Data!K615="","",Data!K615)</f>
        <v>0.5</v>
      </c>
      <c r="L615" s="28" t="str">
        <f aca="false">IF(Data!L615="","",IFERROR(VLOOKUP(Data!L615,Codes!$A$34:$B$36,2,FALSE()),"Invalid ("&amp;Data!L615&amp;")"))</f>
        <v>Upsloping</v>
      </c>
      <c r="M615" s="20" t="str">
        <f aca="false">IF(Data!M615="","",Data!M615)</f>
        <v/>
      </c>
      <c r="N615" s="28" t="str">
        <f aca="false">IF(Data!N615="","",IFERROR(VLOOKUP(Data!N615,Codes!$A$47:$B$49,2,FALSE()),"Invalid ("&amp;Data!N615&amp;")"))</f>
        <v>Reversible defect</v>
      </c>
      <c r="O615" s="28" t="str">
        <f aca="false">IF(Data!O615="","",IFERROR(VLOOKUP(Data!O615,Codes!$A$53:$B$57,2,FALSE()),"Invalid ("&amp;Data!O615&amp;")"))</f>
        <v>Disease (2)</v>
      </c>
      <c r="P615" s="22" t="str">
        <f aca="false">IF(Data!P615="","",IFERROR(VLOOKUP(Data!P615,Codes!$A$61:$B$64,2,FALSE()),"Invalid ("&amp;Data!P615&amp;")"))</f>
        <v>University Hospitals, Zurich &amp; Basel</v>
      </c>
    </row>
    <row r="616" customFormat="false" ht="15" hidden="false" customHeight="false" outlineLevel="0" collapsed="false">
      <c r="A616" s="19" t="n">
        <f aca="false">Data!A616</f>
        <v>615</v>
      </c>
      <c r="B616" s="20" t="n">
        <f aca="false">IF(Data!B616="","",Data!B616)</f>
        <v>45</v>
      </c>
      <c r="C616" s="28" t="str">
        <f aca="false">IF(Data!C616="","",IFERROR(VLOOKUP(Data!C616,Codes!$A$6:$B$7,2,FALSE()),"Invalid ("&amp;Data!C616&amp;")"))</f>
        <v>Male</v>
      </c>
      <c r="D616" s="28" t="str">
        <f aca="false">IF(Data!D616="","",IFERROR(VLOOKUP(Data!D616,Codes!$A$11:$B$14,2,FALSE()),"Invalid ("&amp;Data!D616&amp;")"))</f>
        <v>Non-anginal pain</v>
      </c>
      <c r="E616" s="20" t="n">
        <f aca="false">IF(Data!E616="","",Data!E616)</f>
        <v>110</v>
      </c>
      <c r="F616" s="20" t="n">
        <f aca="false">IF(Data!F616="","",Data!F616)</f>
        <v>0</v>
      </c>
      <c r="G616" s="28" t="str">
        <f aca="false">IF(Data!G616="","",IFERROR(VLOOKUP(Data!G616,Codes!$A$18:$B$19,2,FALSE()),"Invalid ("&amp;Data!G616&amp;")"))</f>
        <v/>
      </c>
      <c r="H616" s="28" t="str">
        <f aca="false">IF(Data!H616="","",IFERROR(VLOOKUP(Data!H616,Codes!$A$23:$B$25,2,FALSE()),"Invalid ("&amp;Data!H616&amp;")"))</f>
        <v>Normal</v>
      </c>
      <c r="I616" s="20" t="n">
        <f aca="false">IF(Data!I616="","",Data!I616)</f>
        <v>138</v>
      </c>
      <c r="J616" s="28" t="str">
        <f aca="false">IF(Data!J616="","",IFERROR(VLOOKUP(Data!J616,Codes!$A$29:$B$30,2,FALSE()),"Invalid ("&amp;Data!J616&amp;")"))</f>
        <v>No</v>
      </c>
      <c r="K616" s="21" t="n">
        <f aca="false">IF(Data!K616="","",Data!K616)</f>
        <v>-0.1</v>
      </c>
      <c r="L616" s="28" t="str">
        <f aca="false">IF(Data!L616="","",IFERROR(VLOOKUP(Data!L616,Codes!$A$34:$B$36,2,FALSE()),"Invalid ("&amp;Data!L616&amp;")"))</f>
        <v>Upsloping</v>
      </c>
      <c r="M616" s="20" t="str">
        <f aca="false">IF(Data!M616="","",Data!M616)</f>
        <v/>
      </c>
      <c r="N616" s="28" t="str">
        <f aca="false">IF(Data!N616="","",IFERROR(VLOOKUP(Data!N616,Codes!$A$47:$B$49,2,FALSE()),"Invalid ("&amp;Data!N616&amp;")"))</f>
        <v/>
      </c>
      <c r="O616" s="28" t="str">
        <f aca="false">IF(Data!O616="","",IFERROR(VLOOKUP(Data!O616,Codes!$A$53:$B$57,2,FALSE()),"Invalid ("&amp;Data!O616&amp;")"))</f>
        <v>No disease</v>
      </c>
      <c r="P616" s="22" t="str">
        <f aca="false">IF(Data!P616="","",IFERROR(VLOOKUP(Data!P616,Codes!$A$61:$B$64,2,FALSE()),"Invalid ("&amp;Data!P616&amp;")"))</f>
        <v>University Hospitals, Zurich &amp; Basel</v>
      </c>
    </row>
    <row r="617" customFormat="false" ht="15" hidden="false" customHeight="false" outlineLevel="0" collapsed="false">
      <c r="A617" s="19" t="n">
        <f aca="false">Data!A617</f>
        <v>616</v>
      </c>
      <c r="B617" s="20" t="n">
        <f aca="false">IF(Data!B617="","",Data!B617)</f>
        <v>46</v>
      </c>
      <c r="C617" s="28" t="str">
        <f aca="false">IF(Data!C617="","",IFERROR(VLOOKUP(Data!C617,Codes!$A$6:$B$7,2,FALSE()),"Invalid ("&amp;Data!C617&amp;")"))</f>
        <v>Male</v>
      </c>
      <c r="D617" s="28" t="str">
        <f aca="false">IF(Data!D617="","",IFERROR(VLOOKUP(Data!D617,Codes!$A$11:$B$14,2,FALSE()),"Invalid ("&amp;Data!D617&amp;")"))</f>
        <v>Asymptomatic</v>
      </c>
      <c r="E617" s="20" t="n">
        <f aca="false">IF(Data!E617="","",Data!E617)</f>
        <v>100</v>
      </c>
      <c r="F617" s="20" t="n">
        <f aca="false">IF(Data!F617="","",Data!F617)</f>
        <v>0</v>
      </c>
      <c r="G617" s="28" t="str">
        <f aca="false">IF(Data!G617="","",IFERROR(VLOOKUP(Data!G617,Codes!$A$18:$B$19,2,FALSE()),"Invalid ("&amp;Data!G617&amp;")"))</f>
        <v/>
      </c>
      <c r="H617" s="28" t="str">
        <f aca="false">IF(Data!H617="","",IFERROR(VLOOKUP(Data!H617,Codes!$A$23:$B$25,2,FALSE()),"Invalid ("&amp;Data!H617&amp;")"))</f>
        <v>ST-T wave abnormality</v>
      </c>
      <c r="I617" s="20" t="n">
        <f aca="false">IF(Data!I617="","",Data!I617)</f>
        <v>133</v>
      </c>
      <c r="J617" s="28" t="str">
        <f aca="false">IF(Data!J617="","",IFERROR(VLOOKUP(Data!J617,Codes!$A$29:$B$30,2,FALSE()),"Invalid ("&amp;Data!J617&amp;")"))</f>
        <v>No</v>
      </c>
      <c r="K617" s="21" t="n">
        <f aca="false">IF(Data!K617="","",Data!K617)</f>
        <v>-2.6</v>
      </c>
      <c r="L617" s="28" t="str">
        <f aca="false">IF(Data!L617="","",IFERROR(VLOOKUP(Data!L617,Codes!$A$34:$B$36,2,FALSE()),"Invalid ("&amp;Data!L617&amp;")"))</f>
        <v>Flat</v>
      </c>
      <c r="M617" s="20" t="str">
        <f aca="false">IF(Data!M617="","",Data!M617)</f>
        <v/>
      </c>
      <c r="N617" s="28" t="str">
        <f aca="false">IF(Data!N617="","",IFERROR(VLOOKUP(Data!N617,Codes!$A$47:$B$49,2,FALSE()),"Invalid ("&amp;Data!N617&amp;")"))</f>
        <v/>
      </c>
      <c r="O617" s="28" t="str">
        <f aca="false">IF(Data!O617="","",IFERROR(VLOOKUP(Data!O617,Codes!$A$53:$B$57,2,FALSE()),"Invalid ("&amp;Data!O617&amp;")"))</f>
        <v>Disease (1)</v>
      </c>
      <c r="P617" s="22" t="str">
        <f aca="false">IF(Data!P617="","",IFERROR(VLOOKUP(Data!P617,Codes!$A$61:$B$64,2,FALSE()),"Invalid ("&amp;Data!P617&amp;")"))</f>
        <v>University Hospitals, Zurich &amp; Basel</v>
      </c>
    </row>
    <row r="618" customFormat="false" ht="15" hidden="false" customHeight="false" outlineLevel="0" collapsed="false">
      <c r="A618" s="19" t="n">
        <f aca="false">Data!A618</f>
        <v>617</v>
      </c>
      <c r="B618" s="20" t="n">
        <f aca="false">IF(Data!B618="","",Data!B618)</f>
        <v>46</v>
      </c>
      <c r="C618" s="28" t="str">
        <f aca="false">IF(Data!C618="","",IFERROR(VLOOKUP(Data!C618,Codes!$A$6:$B$7,2,FALSE()),"Invalid ("&amp;Data!C618&amp;")"))</f>
        <v>Male</v>
      </c>
      <c r="D618" s="28" t="str">
        <f aca="false">IF(Data!D618="","",IFERROR(VLOOKUP(Data!D618,Codes!$A$11:$B$14,2,FALSE()),"Invalid ("&amp;Data!D618&amp;")"))</f>
        <v>Asymptomatic</v>
      </c>
      <c r="E618" s="20" t="n">
        <f aca="false">IF(Data!E618="","",Data!E618)</f>
        <v>115</v>
      </c>
      <c r="F618" s="20" t="n">
        <f aca="false">IF(Data!F618="","",Data!F618)</f>
        <v>0</v>
      </c>
      <c r="G618" s="28" t="str">
        <f aca="false">IF(Data!G618="","",IFERROR(VLOOKUP(Data!G618,Codes!$A$18:$B$19,2,FALSE()),"Invalid ("&amp;Data!G618&amp;")"))</f>
        <v>No</v>
      </c>
      <c r="H618" s="28" t="str">
        <f aca="false">IF(Data!H618="","",IFERROR(VLOOKUP(Data!H618,Codes!$A$23:$B$25,2,FALSE()),"Invalid ("&amp;Data!H618&amp;")"))</f>
        <v>Normal</v>
      </c>
      <c r="I618" s="20" t="n">
        <f aca="false">IF(Data!I618="","",Data!I618)</f>
        <v>113</v>
      </c>
      <c r="J618" s="28" t="str">
        <f aca="false">IF(Data!J618="","",IFERROR(VLOOKUP(Data!J618,Codes!$A$29:$B$30,2,FALSE()),"Invalid ("&amp;Data!J618&amp;")"))</f>
        <v>Yes</v>
      </c>
      <c r="K618" s="21" t="n">
        <f aca="false">IF(Data!K618="","",Data!K618)</f>
        <v>1.5</v>
      </c>
      <c r="L618" s="28" t="str">
        <f aca="false">IF(Data!L618="","",IFERROR(VLOOKUP(Data!L618,Codes!$A$34:$B$36,2,FALSE()),"Invalid ("&amp;Data!L618&amp;")"))</f>
        <v>Flat</v>
      </c>
      <c r="M618" s="20" t="str">
        <f aca="false">IF(Data!M618="","",Data!M618)</f>
        <v/>
      </c>
      <c r="N618" s="28" t="str">
        <f aca="false">IF(Data!N618="","",IFERROR(VLOOKUP(Data!N618,Codes!$A$47:$B$49,2,FALSE()),"Invalid ("&amp;Data!N618&amp;")"))</f>
        <v>Reversible defect</v>
      </c>
      <c r="O618" s="28" t="str">
        <f aca="false">IF(Data!O618="","",IFERROR(VLOOKUP(Data!O618,Codes!$A$53:$B$57,2,FALSE()),"Invalid ("&amp;Data!O618&amp;")"))</f>
        <v>Disease (1)</v>
      </c>
      <c r="P618" s="22" t="str">
        <f aca="false">IF(Data!P618="","",IFERROR(VLOOKUP(Data!P618,Codes!$A$61:$B$64,2,FALSE()),"Invalid ("&amp;Data!P618&amp;")"))</f>
        <v>University Hospitals, Zurich &amp; Basel</v>
      </c>
    </row>
    <row r="619" customFormat="false" ht="15" hidden="false" customHeight="false" outlineLevel="0" collapsed="false">
      <c r="A619" s="19" t="n">
        <f aca="false">Data!A619</f>
        <v>618</v>
      </c>
      <c r="B619" s="20" t="n">
        <f aca="false">IF(Data!B619="","",Data!B619)</f>
        <v>47</v>
      </c>
      <c r="C619" s="28" t="str">
        <f aca="false">IF(Data!C619="","",IFERROR(VLOOKUP(Data!C619,Codes!$A$6:$B$7,2,FALSE()),"Invalid ("&amp;Data!C619&amp;")"))</f>
        <v>Male</v>
      </c>
      <c r="D619" s="28" t="str">
        <f aca="false">IF(Data!D619="","",IFERROR(VLOOKUP(Data!D619,Codes!$A$11:$B$14,2,FALSE()),"Invalid ("&amp;Data!D619&amp;")"))</f>
        <v>Non-anginal pain</v>
      </c>
      <c r="E619" s="20" t="n">
        <f aca="false">IF(Data!E619="","",Data!E619)</f>
        <v>110</v>
      </c>
      <c r="F619" s="20" t="n">
        <f aca="false">IF(Data!F619="","",Data!F619)</f>
        <v>0</v>
      </c>
      <c r="G619" s="28" t="str">
        <f aca="false">IF(Data!G619="","",IFERROR(VLOOKUP(Data!G619,Codes!$A$18:$B$19,2,FALSE()),"Invalid ("&amp;Data!G619&amp;")"))</f>
        <v/>
      </c>
      <c r="H619" s="28" t="str">
        <f aca="false">IF(Data!H619="","",IFERROR(VLOOKUP(Data!H619,Codes!$A$23:$B$25,2,FALSE()),"Invalid ("&amp;Data!H619&amp;")"))</f>
        <v>Normal</v>
      </c>
      <c r="I619" s="20" t="n">
        <f aca="false">IF(Data!I619="","",Data!I619)</f>
        <v>120</v>
      </c>
      <c r="J619" s="28" t="str">
        <f aca="false">IF(Data!J619="","",IFERROR(VLOOKUP(Data!J619,Codes!$A$29:$B$30,2,FALSE()),"Invalid ("&amp;Data!J619&amp;")"))</f>
        <v>Yes</v>
      </c>
      <c r="K619" s="21" t="n">
        <f aca="false">IF(Data!K619="","",Data!K619)</f>
        <v>0</v>
      </c>
      <c r="L619" s="28" t="str">
        <f aca="false">IF(Data!L619="","",IFERROR(VLOOKUP(Data!L619,Codes!$A$34:$B$36,2,FALSE()),"Invalid ("&amp;Data!L619&amp;")"))</f>
        <v/>
      </c>
      <c r="M619" s="20" t="str">
        <f aca="false">IF(Data!M619="","",Data!M619)</f>
        <v/>
      </c>
      <c r="N619" s="28" t="str">
        <f aca="false">IF(Data!N619="","",IFERROR(VLOOKUP(Data!N619,Codes!$A$47:$B$49,2,FALSE()),"Invalid ("&amp;Data!N619&amp;")"))</f>
        <v>Normal</v>
      </c>
      <c r="O619" s="28" t="str">
        <f aca="false">IF(Data!O619="","",IFERROR(VLOOKUP(Data!O619,Codes!$A$53:$B$57,2,FALSE()),"Invalid ("&amp;Data!O619&amp;")"))</f>
        <v>Disease (1)</v>
      </c>
      <c r="P619" s="22" t="str">
        <f aca="false">IF(Data!P619="","",IFERROR(VLOOKUP(Data!P619,Codes!$A$61:$B$64,2,FALSE()),"Invalid ("&amp;Data!P619&amp;")"))</f>
        <v>University Hospitals, Zurich &amp; Basel</v>
      </c>
    </row>
    <row r="620" customFormat="false" ht="15" hidden="false" customHeight="false" outlineLevel="0" collapsed="false">
      <c r="A620" s="19" t="n">
        <f aca="false">Data!A620</f>
        <v>619</v>
      </c>
      <c r="B620" s="20" t="n">
        <f aca="false">IF(Data!B620="","",Data!B620)</f>
        <v>47</v>
      </c>
      <c r="C620" s="28" t="str">
        <f aca="false">IF(Data!C620="","",IFERROR(VLOOKUP(Data!C620,Codes!$A$6:$B$7,2,FALSE()),"Invalid ("&amp;Data!C620&amp;")"))</f>
        <v>Male</v>
      </c>
      <c r="D620" s="28" t="str">
        <f aca="false">IF(Data!D620="","",IFERROR(VLOOKUP(Data!D620,Codes!$A$11:$B$14,2,FALSE()),"Invalid ("&amp;Data!D620&amp;")"))</f>
        <v>Non-anginal pain</v>
      </c>
      <c r="E620" s="20" t="n">
        <f aca="false">IF(Data!E620="","",Data!E620)</f>
        <v>155</v>
      </c>
      <c r="F620" s="20" t="n">
        <f aca="false">IF(Data!F620="","",Data!F620)</f>
        <v>0</v>
      </c>
      <c r="G620" s="28" t="str">
        <f aca="false">IF(Data!G620="","",IFERROR(VLOOKUP(Data!G620,Codes!$A$18:$B$19,2,FALSE()),"Invalid ("&amp;Data!G620&amp;")"))</f>
        <v>No</v>
      </c>
      <c r="H620" s="28" t="str">
        <f aca="false">IF(Data!H620="","",IFERROR(VLOOKUP(Data!H620,Codes!$A$23:$B$25,2,FALSE()),"Invalid ("&amp;Data!H620&amp;")"))</f>
        <v>Normal</v>
      </c>
      <c r="I620" s="20" t="n">
        <f aca="false">IF(Data!I620="","",Data!I620)</f>
        <v>118</v>
      </c>
      <c r="J620" s="28" t="str">
        <f aca="false">IF(Data!J620="","",IFERROR(VLOOKUP(Data!J620,Codes!$A$29:$B$30,2,FALSE()),"Invalid ("&amp;Data!J620&amp;")"))</f>
        <v>Yes</v>
      </c>
      <c r="K620" s="21" t="n">
        <f aca="false">IF(Data!K620="","",Data!K620)</f>
        <v>1</v>
      </c>
      <c r="L620" s="28" t="str">
        <f aca="false">IF(Data!L620="","",IFERROR(VLOOKUP(Data!L620,Codes!$A$34:$B$36,2,FALSE()),"Invalid ("&amp;Data!L620&amp;")"))</f>
        <v>Flat</v>
      </c>
      <c r="M620" s="20" t="str">
        <f aca="false">IF(Data!M620="","",Data!M620)</f>
        <v/>
      </c>
      <c r="N620" s="28" t="str">
        <f aca="false">IF(Data!N620="","",IFERROR(VLOOKUP(Data!N620,Codes!$A$47:$B$49,2,FALSE()),"Invalid ("&amp;Data!N620&amp;")"))</f>
        <v>Normal</v>
      </c>
      <c r="O620" s="28" t="str">
        <f aca="false">IF(Data!O620="","",IFERROR(VLOOKUP(Data!O620,Codes!$A$53:$B$57,2,FALSE()),"Invalid ("&amp;Data!O620&amp;")"))</f>
        <v>Disease (3)</v>
      </c>
      <c r="P620" s="22" t="str">
        <f aca="false">IF(Data!P620="","",IFERROR(VLOOKUP(Data!P620,Codes!$A$61:$B$64,2,FALSE()),"Invalid ("&amp;Data!P620&amp;")"))</f>
        <v>University Hospitals, Zurich &amp; Basel</v>
      </c>
    </row>
    <row r="621" customFormat="false" ht="15" hidden="false" customHeight="false" outlineLevel="0" collapsed="false">
      <c r="A621" s="19" t="n">
        <f aca="false">Data!A621</f>
        <v>620</v>
      </c>
      <c r="B621" s="20" t="n">
        <f aca="false">IF(Data!B621="","",Data!B621)</f>
        <v>47</v>
      </c>
      <c r="C621" s="28" t="str">
        <f aca="false">IF(Data!C621="","",IFERROR(VLOOKUP(Data!C621,Codes!$A$6:$B$7,2,FALSE()),"Invalid ("&amp;Data!C621&amp;")"))</f>
        <v>Male</v>
      </c>
      <c r="D621" s="28" t="str">
        <f aca="false">IF(Data!D621="","",IFERROR(VLOOKUP(Data!D621,Codes!$A$11:$B$14,2,FALSE()),"Invalid ("&amp;Data!D621&amp;")"))</f>
        <v>Asymptomatic</v>
      </c>
      <c r="E621" s="20" t="n">
        <f aca="false">IF(Data!E621="","",Data!E621)</f>
        <v>110</v>
      </c>
      <c r="F621" s="20" t="n">
        <f aca="false">IF(Data!F621="","",Data!F621)</f>
        <v>0</v>
      </c>
      <c r="G621" s="28" t="str">
        <f aca="false">IF(Data!G621="","",IFERROR(VLOOKUP(Data!G621,Codes!$A$18:$B$19,2,FALSE()),"Invalid ("&amp;Data!G621&amp;")"))</f>
        <v/>
      </c>
      <c r="H621" s="28" t="str">
        <f aca="false">IF(Data!H621="","",IFERROR(VLOOKUP(Data!H621,Codes!$A$23:$B$25,2,FALSE()),"Invalid ("&amp;Data!H621&amp;")"))</f>
        <v>ST-T wave abnormality</v>
      </c>
      <c r="I621" s="20" t="n">
        <f aca="false">IF(Data!I621="","",Data!I621)</f>
        <v>149</v>
      </c>
      <c r="J621" s="28" t="str">
        <f aca="false">IF(Data!J621="","",IFERROR(VLOOKUP(Data!J621,Codes!$A$29:$B$30,2,FALSE()),"Invalid ("&amp;Data!J621&amp;")"))</f>
        <v>No</v>
      </c>
      <c r="K621" s="21" t="n">
        <f aca="false">IF(Data!K621="","",Data!K621)</f>
        <v>2.1</v>
      </c>
      <c r="L621" s="28" t="str">
        <f aca="false">IF(Data!L621="","",IFERROR(VLOOKUP(Data!L621,Codes!$A$34:$B$36,2,FALSE()),"Invalid ("&amp;Data!L621&amp;")"))</f>
        <v>Upsloping</v>
      </c>
      <c r="M621" s="20" t="str">
        <f aca="false">IF(Data!M621="","",Data!M621)</f>
        <v/>
      </c>
      <c r="N621" s="28" t="str">
        <f aca="false">IF(Data!N621="","",IFERROR(VLOOKUP(Data!N621,Codes!$A$47:$B$49,2,FALSE()),"Invalid ("&amp;Data!N621&amp;")"))</f>
        <v/>
      </c>
      <c r="O621" s="28" t="str">
        <f aca="false">IF(Data!O621="","",IFERROR(VLOOKUP(Data!O621,Codes!$A$53:$B$57,2,FALSE()),"Invalid ("&amp;Data!O621&amp;")"))</f>
        <v>Disease (2)</v>
      </c>
      <c r="P621" s="22" t="str">
        <f aca="false">IF(Data!P621="","",IFERROR(VLOOKUP(Data!P621,Codes!$A$61:$B$64,2,FALSE()),"Invalid ("&amp;Data!P621&amp;")"))</f>
        <v>University Hospitals, Zurich &amp; Basel</v>
      </c>
    </row>
    <row r="622" customFormat="false" ht="15" hidden="false" customHeight="false" outlineLevel="0" collapsed="false">
      <c r="A622" s="19" t="n">
        <f aca="false">Data!A622</f>
        <v>621</v>
      </c>
      <c r="B622" s="20" t="n">
        <f aca="false">IF(Data!B622="","",Data!B622)</f>
        <v>47</v>
      </c>
      <c r="C622" s="28" t="str">
        <f aca="false">IF(Data!C622="","",IFERROR(VLOOKUP(Data!C622,Codes!$A$6:$B$7,2,FALSE()),"Invalid ("&amp;Data!C622&amp;")"))</f>
        <v>Male</v>
      </c>
      <c r="D622" s="28" t="str">
        <f aca="false">IF(Data!D622="","",IFERROR(VLOOKUP(Data!D622,Codes!$A$11:$B$14,2,FALSE()),"Invalid ("&amp;Data!D622&amp;")"))</f>
        <v>Asymptomatic</v>
      </c>
      <c r="E622" s="20" t="n">
        <f aca="false">IF(Data!E622="","",Data!E622)</f>
        <v>160</v>
      </c>
      <c r="F622" s="20" t="n">
        <f aca="false">IF(Data!F622="","",Data!F622)</f>
        <v>0</v>
      </c>
      <c r="G622" s="28" t="str">
        <f aca="false">IF(Data!G622="","",IFERROR(VLOOKUP(Data!G622,Codes!$A$18:$B$19,2,FALSE()),"Invalid ("&amp;Data!G622&amp;")"))</f>
        <v>No</v>
      </c>
      <c r="H622" s="28" t="str">
        <f aca="false">IF(Data!H622="","",IFERROR(VLOOKUP(Data!H622,Codes!$A$23:$B$25,2,FALSE()),"Invalid ("&amp;Data!H622&amp;")"))</f>
        <v>Normal</v>
      </c>
      <c r="I622" s="20" t="n">
        <f aca="false">IF(Data!I622="","",Data!I622)</f>
        <v>124</v>
      </c>
      <c r="J622" s="28" t="str">
        <f aca="false">IF(Data!J622="","",IFERROR(VLOOKUP(Data!J622,Codes!$A$29:$B$30,2,FALSE()),"Invalid ("&amp;Data!J622&amp;")"))</f>
        <v>Yes</v>
      </c>
      <c r="K622" s="21" t="n">
        <f aca="false">IF(Data!K622="","",Data!K622)</f>
        <v>0</v>
      </c>
      <c r="L622" s="28" t="str">
        <f aca="false">IF(Data!L622="","",IFERROR(VLOOKUP(Data!L622,Codes!$A$34:$B$36,2,FALSE()),"Invalid ("&amp;Data!L622&amp;")"))</f>
        <v>Flat</v>
      </c>
      <c r="M622" s="20" t="str">
        <f aca="false">IF(Data!M622="","",Data!M622)</f>
        <v/>
      </c>
      <c r="N622" s="28" t="str">
        <f aca="false">IF(Data!N622="","",IFERROR(VLOOKUP(Data!N622,Codes!$A$47:$B$49,2,FALSE()),"Invalid ("&amp;Data!N622&amp;")"))</f>
        <v>Reversible defect</v>
      </c>
      <c r="O622" s="28" t="str">
        <f aca="false">IF(Data!O622="","",IFERROR(VLOOKUP(Data!O622,Codes!$A$53:$B$57,2,FALSE()),"Invalid ("&amp;Data!O622&amp;")"))</f>
        <v>Disease (1)</v>
      </c>
      <c r="P622" s="22" t="str">
        <f aca="false">IF(Data!P622="","",IFERROR(VLOOKUP(Data!P622,Codes!$A$61:$B$64,2,FALSE()),"Invalid ("&amp;Data!P622&amp;")"))</f>
        <v>University Hospitals, Zurich &amp; Basel</v>
      </c>
    </row>
    <row r="623" customFormat="false" ht="15" hidden="false" customHeight="false" outlineLevel="0" collapsed="false">
      <c r="A623" s="19" t="n">
        <f aca="false">Data!A623</f>
        <v>622</v>
      </c>
      <c r="B623" s="20" t="n">
        <f aca="false">IF(Data!B623="","",Data!B623)</f>
        <v>48</v>
      </c>
      <c r="C623" s="28" t="str">
        <f aca="false">IF(Data!C623="","",IFERROR(VLOOKUP(Data!C623,Codes!$A$6:$B$7,2,FALSE()),"Invalid ("&amp;Data!C623&amp;")"))</f>
        <v>Male</v>
      </c>
      <c r="D623" s="28" t="str">
        <f aca="false">IF(Data!D623="","",IFERROR(VLOOKUP(Data!D623,Codes!$A$11:$B$14,2,FALSE()),"Invalid ("&amp;Data!D623&amp;")"))</f>
        <v>Asymptomatic</v>
      </c>
      <c r="E623" s="20" t="n">
        <f aca="false">IF(Data!E623="","",Data!E623)</f>
        <v>115</v>
      </c>
      <c r="F623" s="20" t="n">
        <f aca="false">IF(Data!F623="","",Data!F623)</f>
        <v>0</v>
      </c>
      <c r="G623" s="28" t="str">
        <f aca="false">IF(Data!G623="","",IFERROR(VLOOKUP(Data!G623,Codes!$A$18:$B$19,2,FALSE()),"Invalid ("&amp;Data!G623&amp;")"))</f>
        <v/>
      </c>
      <c r="H623" s="28" t="str">
        <f aca="false">IF(Data!H623="","",IFERROR(VLOOKUP(Data!H623,Codes!$A$23:$B$25,2,FALSE()),"Invalid ("&amp;Data!H623&amp;")"))</f>
        <v>Normal</v>
      </c>
      <c r="I623" s="20" t="n">
        <f aca="false">IF(Data!I623="","",Data!I623)</f>
        <v>128</v>
      </c>
      <c r="J623" s="28" t="str">
        <f aca="false">IF(Data!J623="","",IFERROR(VLOOKUP(Data!J623,Codes!$A$29:$B$30,2,FALSE()),"Invalid ("&amp;Data!J623&amp;")"))</f>
        <v>No</v>
      </c>
      <c r="K623" s="21" t="n">
        <f aca="false">IF(Data!K623="","",Data!K623)</f>
        <v>0</v>
      </c>
      <c r="L623" s="28" t="str">
        <f aca="false">IF(Data!L623="","",IFERROR(VLOOKUP(Data!L623,Codes!$A$34:$B$36,2,FALSE()),"Invalid ("&amp;Data!L623&amp;")"))</f>
        <v>Flat</v>
      </c>
      <c r="M623" s="20" t="str">
        <f aca="false">IF(Data!M623="","",Data!M623)</f>
        <v/>
      </c>
      <c r="N623" s="28" t="str">
        <f aca="false">IF(Data!N623="","",IFERROR(VLOOKUP(Data!N623,Codes!$A$47:$B$49,2,FALSE()),"Invalid ("&amp;Data!N623&amp;")"))</f>
        <v>Fixed defect</v>
      </c>
      <c r="O623" s="28" t="str">
        <f aca="false">IF(Data!O623="","",IFERROR(VLOOKUP(Data!O623,Codes!$A$53:$B$57,2,FALSE()),"Invalid ("&amp;Data!O623&amp;")"))</f>
        <v>Disease (2)</v>
      </c>
      <c r="P623" s="22" t="str">
        <f aca="false">IF(Data!P623="","",IFERROR(VLOOKUP(Data!P623,Codes!$A$61:$B$64,2,FALSE()),"Invalid ("&amp;Data!P623&amp;")"))</f>
        <v>University Hospitals, Zurich &amp; Basel</v>
      </c>
    </row>
    <row r="624" customFormat="false" ht="15" hidden="false" customHeight="false" outlineLevel="0" collapsed="false">
      <c r="A624" s="19" t="n">
        <f aca="false">Data!A624</f>
        <v>623</v>
      </c>
      <c r="B624" s="20" t="n">
        <f aca="false">IF(Data!B624="","",Data!B624)</f>
        <v>50</v>
      </c>
      <c r="C624" s="28" t="str">
        <f aca="false">IF(Data!C624="","",IFERROR(VLOOKUP(Data!C624,Codes!$A$6:$B$7,2,FALSE()),"Invalid ("&amp;Data!C624&amp;")"))</f>
        <v>Female</v>
      </c>
      <c r="D624" s="28" t="str">
        <f aca="false">IF(Data!D624="","",IFERROR(VLOOKUP(Data!D624,Codes!$A$11:$B$14,2,FALSE()),"Invalid ("&amp;Data!D624&amp;")"))</f>
        <v>Asymptomatic</v>
      </c>
      <c r="E624" s="20" t="n">
        <f aca="false">IF(Data!E624="","",Data!E624)</f>
        <v>160</v>
      </c>
      <c r="F624" s="20" t="n">
        <f aca="false">IF(Data!F624="","",Data!F624)</f>
        <v>0</v>
      </c>
      <c r="G624" s="28" t="str">
        <f aca="false">IF(Data!G624="","",IFERROR(VLOOKUP(Data!G624,Codes!$A$18:$B$19,2,FALSE()),"Invalid ("&amp;Data!G624&amp;")"))</f>
        <v/>
      </c>
      <c r="H624" s="28" t="str">
        <f aca="false">IF(Data!H624="","",IFERROR(VLOOKUP(Data!H624,Codes!$A$23:$B$25,2,FALSE()),"Invalid ("&amp;Data!H624&amp;")"))</f>
        <v>Normal</v>
      </c>
      <c r="I624" s="20" t="n">
        <f aca="false">IF(Data!I624="","",Data!I624)</f>
        <v>110</v>
      </c>
      <c r="J624" s="28" t="str">
        <f aca="false">IF(Data!J624="","",IFERROR(VLOOKUP(Data!J624,Codes!$A$29:$B$30,2,FALSE()),"Invalid ("&amp;Data!J624&amp;")"))</f>
        <v>No</v>
      </c>
      <c r="K624" s="21" t="n">
        <f aca="false">IF(Data!K624="","",Data!K624)</f>
        <v>0</v>
      </c>
      <c r="L624" s="28" t="str">
        <f aca="false">IF(Data!L624="","",IFERROR(VLOOKUP(Data!L624,Codes!$A$34:$B$36,2,FALSE()),"Invalid ("&amp;Data!L624&amp;")"))</f>
        <v/>
      </c>
      <c r="M624" s="20" t="str">
        <f aca="false">IF(Data!M624="","",Data!M624)</f>
        <v/>
      </c>
      <c r="N624" s="28" t="str">
        <f aca="false">IF(Data!N624="","",IFERROR(VLOOKUP(Data!N624,Codes!$A$47:$B$49,2,FALSE()),"Invalid ("&amp;Data!N624&amp;")"))</f>
        <v>Normal</v>
      </c>
      <c r="O624" s="28" t="str">
        <f aca="false">IF(Data!O624="","",IFERROR(VLOOKUP(Data!O624,Codes!$A$53:$B$57,2,FALSE()),"Invalid ("&amp;Data!O624&amp;")"))</f>
        <v>Disease (1)</v>
      </c>
      <c r="P624" s="22" t="str">
        <f aca="false">IF(Data!P624="","",IFERROR(VLOOKUP(Data!P624,Codes!$A$61:$B$64,2,FALSE()),"Invalid ("&amp;Data!P624&amp;")"))</f>
        <v>University Hospitals, Zurich &amp; Basel</v>
      </c>
    </row>
    <row r="625" customFormat="false" ht="15" hidden="false" customHeight="false" outlineLevel="0" collapsed="false">
      <c r="A625" s="19" t="n">
        <f aca="false">Data!A625</f>
        <v>624</v>
      </c>
      <c r="B625" s="20" t="n">
        <f aca="false">IF(Data!B625="","",Data!B625)</f>
        <v>50</v>
      </c>
      <c r="C625" s="28" t="str">
        <f aca="false">IF(Data!C625="","",IFERROR(VLOOKUP(Data!C625,Codes!$A$6:$B$7,2,FALSE()),"Invalid ("&amp;Data!C625&amp;")"))</f>
        <v>Male</v>
      </c>
      <c r="D625" s="28" t="str">
        <f aca="false">IF(Data!D625="","",IFERROR(VLOOKUP(Data!D625,Codes!$A$11:$B$14,2,FALSE()),"Invalid ("&amp;Data!D625&amp;")"))</f>
        <v>Asymptomatic</v>
      </c>
      <c r="E625" s="20" t="n">
        <f aca="false">IF(Data!E625="","",Data!E625)</f>
        <v>115</v>
      </c>
      <c r="F625" s="20" t="n">
        <f aca="false">IF(Data!F625="","",Data!F625)</f>
        <v>0</v>
      </c>
      <c r="G625" s="28" t="str">
        <f aca="false">IF(Data!G625="","",IFERROR(VLOOKUP(Data!G625,Codes!$A$18:$B$19,2,FALSE()),"Invalid ("&amp;Data!G625&amp;")"))</f>
        <v>No</v>
      </c>
      <c r="H625" s="28" t="str">
        <f aca="false">IF(Data!H625="","",IFERROR(VLOOKUP(Data!H625,Codes!$A$23:$B$25,2,FALSE()),"Invalid ("&amp;Data!H625&amp;")"))</f>
        <v>Normal</v>
      </c>
      <c r="I625" s="20" t="n">
        <f aca="false">IF(Data!I625="","",Data!I625)</f>
        <v>120</v>
      </c>
      <c r="J625" s="28" t="str">
        <f aca="false">IF(Data!J625="","",IFERROR(VLOOKUP(Data!J625,Codes!$A$29:$B$30,2,FALSE()),"Invalid ("&amp;Data!J625&amp;")"))</f>
        <v>Yes</v>
      </c>
      <c r="K625" s="21" t="n">
        <f aca="false">IF(Data!K625="","",Data!K625)</f>
        <v>0.5</v>
      </c>
      <c r="L625" s="28" t="str">
        <f aca="false">IF(Data!L625="","",IFERROR(VLOOKUP(Data!L625,Codes!$A$34:$B$36,2,FALSE()),"Invalid ("&amp;Data!L625&amp;")"))</f>
        <v>Flat</v>
      </c>
      <c r="M625" s="20" t="str">
        <f aca="false">IF(Data!M625="","",Data!M625)</f>
        <v/>
      </c>
      <c r="N625" s="28" t="str">
        <f aca="false">IF(Data!N625="","",IFERROR(VLOOKUP(Data!N625,Codes!$A$47:$B$49,2,FALSE()),"Invalid ("&amp;Data!N625&amp;")"))</f>
        <v>Fixed defect</v>
      </c>
      <c r="O625" s="28" t="str">
        <f aca="false">IF(Data!O625="","",IFERROR(VLOOKUP(Data!O625,Codes!$A$53:$B$57,2,FALSE()),"Invalid ("&amp;Data!O625&amp;")"))</f>
        <v>Disease (3)</v>
      </c>
      <c r="P625" s="22" t="str">
        <f aca="false">IF(Data!P625="","",IFERROR(VLOOKUP(Data!P625,Codes!$A$61:$B$64,2,FALSE()),"Invalid ("&amp;Data!P625&amp;")"))</f>
        <v>University Hospitals, Zurich &amp; Basel</v>
      </c>
    </row>
    <row r="626" customFormat="false" ht="15" hidden="false" customHeight="false" outlineLevel="0" collapsed="false">
      <c r="A626" s="19" t="n">
        <f aca="false">Data!A626</f>
        <v>625</v>
      </c>
      <c r="B626" s="20" t="n">
        <f aca="false">IF(Data!B626="","",Data!B626)</f>
        <v>50</v>
      </c>
      <c r="C626" s="28" t="str">
        <f aca="false">IF(Data!C626="","",IFERROR(VLOOKUP(Data!C626,Codes!$A$6:$B$7,2,FALSE()),"Invalid ("&amp;Data!C626&amp;")"))</f>
        <v>Male</v>
      </c>
      <c r="D626" s="28" t="str">
        <f aca="false">IF(Data!D626="","",IFERROR(VLOOKUP(Data!D626,Codes!$A$11:$B$14,2,FALSE()),"Invalid ("&amp;Data!D626&amp;")"))</f>
        <v>Asymptomatic</v>
      </c>
      <c r="E626" s="20" t="n">
        <f aca="false">IF(Data!E626="","",Data!E626)</f>
        <v>120</v>
      </c>
      <c r="F626" s="20" t="n">
        <f aca="false">IF(Data!F626="","",Data!F626)</f>
        <v>0</v>
      </c>
      <c r="G626" s="28" t="str">
        <f aca="false">IF(Data!G626="","",IFERROR(VLOOKUP(Data!G626,Codes!$A$18:$B$19,2,FALSE()),"Invalid ("&amp;Data!G626&amp;")"))</f>
        <v>No</v>
      </c>
      <c r="H626" s="28" t="str">
        <f aca="false">IF(Data!H626="","",IFERROR(VLOOKUP(Data!H626,Codes!$A$23:$B$25,2,FALSE()),"Invalid ("&amp;Data!H626&amp;")"))</f>
        <v>ST-T wave abnormality</v>
      </c>
      <c r="I626" s="20" t="n">
        <f aca="false">IF(Data!I626="","",Data!I626)</f>
        <v>156</v>
      </c>
      <c r="J626" s="28" t="str">
        <f aca="false">IF(Data!J626="","",IFERROR(VLOOKUP(Data!J626,Codes!$A$29:$B$30,2,FALSE()),"Invalid ("&amp;Data!J626&amp;")"))</f>
        <v>Yes</v>
      </c>
      <c r="K626" s="21" t="n">
        <f aca="false">IF(Data!K626="","",Data!K626)</f>
        <v>0</v>
      </c>
      <c r="L626" s="28" t="str">
        <f aca="false">IF(Data!L626="","",IFERROR(VLOOKUP(Data!L626,Codes!$A$34:$B$36,2,FALSE()),"Invalid ("&amp;Data!L626&amp;")"))</f>
        <v>Upsloping</v>
      </c>
      <c r="M626" s="20" t="str">
        <f aca="false">IF(Data!M626="","",Data!M626)</f>
        <v/>
      </c>
      <c r="N626" s="28" t="str">
        <f aca="false">IF(Data!N626="","",IFERROR(VLOOKUP(Data!N626,Codes!$A$47:$B$49,2,FALSE()),"Invalid ("&amp;Data!N626&amp;")"))</f>
        <v>Fixed defect</v>
      </c>
      <c r="O626" s="28" t="str">
        <f aca="false">IF(Data!O626="","",IFERROR(VLOOKUP(Data!O626,Codes!$A$53:$B$57,2,FALSE()),"Invalid ("&amp;Data!O626&amp;")"))</f>
        <v>Disease (3)</v>
      </c>
      <c r="P626" s="22" t="str">
        <f aca="false">IF(Data!P626="","",IFERROR(VLOOKUP(Data!P626,Codes!$A$61:$B$64,2,FALSE()),"Invalid ("&amp;Data!P626&amp;")"))</f>
        <v>University Hospitals, Zurich &amp; Basel</v>
      </c>
    </row>
    <row r="627" customFormat="false" ht="15" hidden="false" customHeight="false" outlineLevel="0" collapsed="false">
      <c r="A627" s="19" t="n">
        <f aca="false">Data!A627</f>
        <v>626</v>
      </c>
      <c r="B627" s="20" t="n">
        <f aca="false">IF(Data!B627="","",Data!B627)</f>
        <v>50</v>
      </c>
      <c r="C627" s="28" t="str">
        <f aca="false">IF(Data!C627="","",IFERROR(VLOOKUP(Data!C627,Codes!$A$6:$B$7,2,FALSE()),"Invalid ("&amp;Data!C627&amp;")"))</f>
        <v>Male</v>
      </c>
      <c r="D627" s="28" t="str">
        <f aca="false">IF(Data!D627="","",IFERROR(VLOOKUP(Data!D627,Codes!$A$11:$B$14,2,FALSE()),"Invalid ("&amp;Data!D627&amp;")"))</f>
        <v>Asymptomatic</v>
      </c>
      <c r="E627" s="20" t="n">
        <f aca="false">IF(Data!E627="","",Data!E627)</f>
        <v>145</v>
      </c>
      <c r="F627" s="20" t="n">
        <f aca="false">IF(Data!F627="","",Data!F627)</f>
        <v>0</v>
      </c>
      <c r="G627" s="28" t="str">
        <f aca="false">IF(Data!G627="","",IFERROR(VLOOKUP(Data!G627,Codes!$A$18:$B$19,2,FALSE()),"Invalid ("&amp;Data!G627&amp;")"))</f>
        <v/>
      </c>
      <c r="H627" s="28" t="str">
        <f aca="false">IF(Data!H627="","",IFERROR(VLOOKUP(Data!H627,Codes!$A$23:$B$25,2,FALSE()),"Invalid ("&amp;Data!H627&amp;")"))</f>
        <v>Normal</v>
      </c>
      <c r="I627" s="20" t="n">
        <f aca="false">IF(Data!I627="","",Data!I627)</f>
        <v>139</v>
      </c>
      <c r="J627" s="28" t="str">
        <f aca="false">IF(Data!J627="","",IFERROR(VLOOKUP(Data!J627,Codes!$A$29:$B$30,2,FALSE()),"Invalid ("&amp;Data!J627&amp;")"))</f>
        <v>Yes</v>
      </c>
      <c r="K627" s="21" t="n">
        <f aca="false">IF(Data!K627="","",Data!K627)</f>
        <v>0.7</v>
      </c>
      <c r="L627" s="28" t="str">
        <f aca="false">IF(Data!L627="","",IFERROR(VLOOKUP(Data!L627,Codes!$A$34:$B$36,2,FALSE()),"Invalid ("&amp;Data!L627&amp;")"))</f>
        <v>Flat</v>
      </c>
      <c r="M627" s="20" t="str">
        <f aca="false">IF(Data!M627="","",Data!M627)</f>
        <v/>
      </c>
      <c r="N627" s="28" t="str">
        <f aca="false">IF(Data!N627="","",IFERROR(VLOOKUP(Data!N627,Codes!$A$47:$B$49,2,FALSE()),"Invalid ("&amp;Data!N627&amp;")"))</f>
        <v/>
      </c>
      <c r="O627" s="28" t="str">
        <f aca="false">IF(Data!O627="","",IFERROR(VLOOKUP(Data!O627,Codes!$A$53:$B$57,2,FALSE()),"Invalid ("&amp;Data!O627&amp;")"))</f>
        <v>Disease (1)</v>
      </c>
      <c r="P627" s="22" t="str">
        <f aca="false">IF(Data!P627="","",IFERROR(VLOOKUP(Data!P627,Codes!$A$61:$B$64,2,FALSE()),"Invalid ("&amp;Data!P627&amp;")"))</f>
        <v>University Hospitals, Zurich &amp; Basel</v>
      </c>
    </row>
    <row r="628" customFormat="false" ht="15" hidden="false" customHeight="false" outlineLevel="0" collapsed="false">
      <c r="A628" s="19" t="n">
        <f aca="false">Data!A628</f>
        <v>627</v>
      </c>
      <c r="B628" s="20" t="n">
        <f aca="false">IF(Data!B628="","",Data!B628)</f>
        <v>51</v>
      </c>
      <c r="C628" s="28" t="str">
        <f aca="false">IF(Data!C628="","",IFERROR(VLOOKUP(Data!C628,Codes!$A$6:$B$7,2,FALSE()),"Invalid ("&amp;Data!C628&amp;")"))</f>
        <v>Female</v>
      </c>
      <c r="D628" s="28" t="str">
        <f aca="false">IF(Data!D628="","",IFERROR(VLOOKUP(Data!D628,Codes!$A$11:$B$14,2,FALSE()),"Invalid ("&amp;Data!D628&amp;")"))</f>
        <v>Asymptomatic</v>
      </c>
      <c r="E628" s="20" t="n">
        <f aca="false">IF(Data!E628="","",Data!E628)</f>
        <v>120</v>
      </c>
      <c r="F628" s="20" t="n">
        <f aca="false">IF(Data!F628="","",Data!F628)</f>
        <v>0</v>
      </c>
      <c r="G628" s="28" t="str">
        <f aca="false">IF(Data!G628="","",IFERROR(VLOOKUP(Data!G628,Codes!$A$18:$B$19,2,FALSE()),"Invalid ("&amp;Data!G628&amp;")"))</f>
        <v/>
      </c>
      <c r="H628" s="28" t="str">
        <f aca="false">IF(Data!H628="","",IFERROR(VLOOKUP(Data!H628,Codes!$A$23:$B$25,2,FALSE()),"Invalid ("&amp;Data!H628&amp;")"))</f>
        <v>Normal</v>
      </c>
      <c r="I628" s="20" t="n">
        <f aca="false">IF(Data!I628="","",Data!I628)</f>
        <v>127</v>
      </c>
      <c r="J628" s="28" t="str">
        <f aca="false">IF(Data!J628="","",IFERROR(VLOOKUP(Data!J628,Codes!$A$29:$B$30,2,FALSE()),"Invalid ("&amp;Data!J628&amp;")"))</f>
        <v>Yes</v>
      </c>
      <c r="K628" s="21" t="n">
        <f aca="false">IF(Data!K628="","",Data!K628)</f>
        <v>1.5</v>
      </c>
      <c r="L628" s="28" t="str">
        <f aca="false">IF(Data!L628="","",IFERROR(VLOOKUP(Data!L628,Codes!$A$34:$B$36,2,FALSE()),"Invalid ("&amp;Data!L628&amp;")"))</f>
        <v>Upsloping</v>
      </c>
      <c r="M628" s="20" t="str">
        <f aca="false">IF(Data!M628="","",Data!M628)</f>
        <v/>
      </c>
      <c r="N628" s="28" t="str">
        <f aca="false">IF(Data!N628="","",IFERROR(VLOOKUP(Data!N628,Codes!$A$47:$B$49,2,FALSE()),"Invalid ("&amp;Data!N628&amp;")"))</f>
        <v/>
      </c>
      <c r="O628" s="28" t="str">
        <f aca="false">IF(Data!O628="","",IFERROR(VLOOKUP(Data!O628,Codes!$A$53:$B$57,2,FALSE()),"Invalid ("&amp;Data!O628&amp;")"))</f>
        <v>Disease (2)</v>
      </c>
      <c r="P628" s="22" t="str">
        <f aca="false">IF(Data!P628="","",IFERROR(VLOOKUP(Data!P628,Codes!$A$61:$B$64,2,FALSE()),"Invalid ("&amp;Data!P628&amp;")"))</f>
        <v>University Hospitals, Zurich &amp; Basel</v>
      </c>
    </row>
    <row r="629" customFormat="false" ht="15" hidden="false" customHeight="false" outlineLevel="0" collapsed="false">
      <c r="A629" s="19" t="n">
        <f aca="false">Data!A629</f>
        <v>628</v>
      </c>
      <c r="B629" s="20" t="n">
        <f aca="false">IF(Data!B629="","",Data!B629)</f>
        <v>51</v>
      </c>
      <c r="C629" s="28" t="str">
        <f aca="false">IF(Data!C629="","",IFERROR(VLOOKUP(Data!C629,Codes!$A$6:$B$7,2,FALSE()),"Invalid ("&amp;Data!C629&amp;")"))</f>
        <v>Male</v>
      </c>
      <c r="D629" s="28" t="str">
        <f aca="false">IF(Data!D629="","",IFERROR(VLOOKUP(Data!D629,Codes!$A$11:$B$14,2,FALSE()),"Invalid ("&amp;Data!D629&amp;")"))</f>
        <v>Asymptomatic</v>
      </c>
      <c r="E629" s="20" t="n">
        <f aca="false">IF(Data!E629="","",Data!E629)</f>
        <v>110</v>
      </c>
      <c r="F629" s="20" t="n">
        <f aca="false">IF(Data!F629="","",Data!F629)</f>
        <v>0</v>
      </c>
      <c r="G629" s="28" t="str">
        <f aca="false">IF(Data!G629="","",IFERROR(VLOOKUP(Data!G629,Codes!$A$18:$B$19,2,FALSE()),"Invalid ("&amp;Data!G629&amp;")"))</f>
        <v/>
      </c>
      <c r="H629" s="28" t="str">
        <f aca="false">IF(Data!H629="","",IFERROR(VLOOKUP(Data!H629,Codes!$A$23:$B$25,2,FALSE()),"Invalid ("&amp;Data!H629&amp;")"))</f>
        <v>Normal</v>
      </c>
      <c r="I629" s="20" t="n">
        <f aca="false">IF(Data!I629="","",Data!I629)</f>
        <v>92</v>
      </c>
      <c r="J629" s="28" t="str">
        <f aca="false">IF(Data!J629="","",IFERROR(VLOOKUP(Data!J629,Codes!$A$29:$B$30,2,FALSE()),"Invalid ("&amp;Data!J629&amp;")"))</f>
        <v>No</v>
      </c>
      <c r="K629" s="21" t="n">
        <f aca="false">IF(Data!K629="","",Data!K629)</f>
        <v>0</v>
      </c>
      <c r="L629" s="28" t="str">
        <f aca="false">IF(Data!L629="","",IFERROR(VLOOKUP(Data!L629,Codes!$A$34:$B$36,2,FALSE()),"Invalid ("&amp;Data!L629&amp;")"))</f>
        <v>Flat</v>
      </c>
      <c r="M629" s="20" t="str">
        <f aca="false">IF(Data!M629="","",Data!M629)</f>
        <v/>
      </c>
      <c r="N629" s="28" t="str">
        <f aca="false">IF(Data!N629="","",IFERROR(VLOOKUP(Data!N629,Codes!$A$47:$B$49,2,FALSE()),"Invalid ("&amp;Data!N629&amp;")"))</f>
        <v/>
      </c>
      <c r="O629" s="28" t="str">
        <f aca="false">IF(Data!O629="","",IFERROR(VLOOKUP(Data!O629,Codes!$A$53:$B$57,2,FALSE()),"Invalid ("&amp;Data!O629&amp;")"))</f>
        <v>Disease (4)</v>
      </c>
      <c r="P629" s="22" t="str">
        <f aca="false">IF(Data!P629="","",IFERROR(VLOOKUP(Data!P629,Codes!$A$61:$B$64,2,FALSE()),"Invalid ("&amp;Data!P629&amp;")"))</f>
        <v>University Hospitals, Zurich &amp; Basel</v>
      </c>
    </row>
    <row r="630" customFormat="false" ht="15" hidden="false" customHeight="false" outlineLevel="0" collapsed="false">
      <c r="A630" s="19" t="n">
        <f aca="false">Data!A630</f>
        <v>629</v>
      </c>
      <c r="B630" s="20" t="n">
        <f aca="false">IF(Data!B630="","",Data!B630)</f>
        <v>51</v>
      </c>
      <c r="C630" s="28" t="str">
        <f aca="false">IF(Data!C630="","",IFERROR(VLOOKUP(Data!C630,Codes!$A$6:$B$7,2,FALSE()),"Invalid ("&amp;Data!C630&amp;")"))</f>
        <v>Male</v>
      </c>
      <c r="D630" s="28" t="str">
        <f aca="false">IF(Data!D630="","",IFERROR(VLOOKUP(Data!D630,Codes!$A$11:$B$14,2,FALSE()),"Invalid ("&amp;Data!D630&amp;")"))</f>
        <v>Asymptomatic</v>
      </c>
      <c r="E630" s="20" t="n">
        <f aca="false">IF(Data!E630="","",Data!E630)</f>
        <v>120</v>
      </c>
      <c r="F630" s="20" t="n">
        <f aca="false">IF(Data!F630="","",Data!F630)</f>
        <v>0</v>
      </c>
      <c r="G630" s="28" t="str">
        <f aca="false">IF(Data!G630="","",IFERROR(VLOOKUP(Data!G630,Codes!$A$18:$B$19,2,FALSE()),"Invalid ("&amp;Data!G630&amp;")"))</f>
        <v>Yes</v>
      </c>
      <c r="H630" s="28" t="str">
        <f aca="false">IF(Data!H630="","",IFERROR(VLOOKUP(Data!H630,Codes!$A$23:$B$25,2,FALSE()),"Invalid ("&amp;Data!H630&amp;")"))</f>
        <v>Normal</v>
      </c>
      <c r="I630" s="20" t="n">
        <f aca="false">IF(Data!I630="","",Data!I630)</f>
        <v>104</v>
      </c>
      <c r="J630" s="28" t="str">
        <f aca="false">IF(Data!J630="","",IFERROR(VLOOKUP(Data!J630,Codes!$A$29:$B$30,2,FALSE()),"Invalid ("&amp;Data!J630&amp;")"))</f>
        <v>No</v>
      </c>
      <c r="K630" s="21" t="n">
        <f aca="false">IF(Data!K630="","",Data!K630)</f>
        <v>0</v>
      </c>
      <c r="L630" s="28" t="str">
        <f aca="false">IF(Data!L630="","",IFERROR(VLOOKUP(Data!L630,Codes!$A$34:$B$36,2,FALSE()),"Invalid ("&amp;Data!L630&amp;")"))</f>
        <v>Flat</v>
      </c>
      <c r="M630" s="20" t="str">
        <f aca="false">IF(Data!M630="","",Data!M630)</f>
        <v/>
      </c>
      <c r="N630" s="28" t="str">
        <f aca="false">IF(Data!N630="","",IFERROR(VLOOKUP(Data!N630,Codes!$A$47:$B$49,2,FALSE()),"Invalid ("&amp;Data!N630&amp;")"))</f>
        <v>Normal</v>
      </c>
      <c r="O630" s="28" t="str">
        <f aca="false">IF(Data!O630="","",IFERROR(VLOOKUP(Data!O630,Codes!$A$53:$B$57,2,FALSE()),"Invalid ("&amp;Data!O630&amp;")"))</f>
        <v>Disease (3)</v>
      </c>
      <c r="P630" s="22" t="str">
        <f aca="false">IF(Data!P630="","",IFERROR(VLOOKUP(Data!P630,Codes!$A$61:$B$64,2,FALSE()),"Invalid ("&amp;Data!P630&amp;")"))</f>
        <v>University Hospitals, Zurich &amp; Basel</v>
      </c>
    </row>
    <row r="631" customFormat="false" ht="15" hidden="false" customHeight="false" outlineLevel="0" collapsed="false">
      <c r="A631" s="19" t="n">
        <f aca="false">Data!A631</f>
        <v>630</v>
      </c>
      <c r="B631" s="20" t="n">
        <f aca="false">IF(Data!B631="","",Data!B631)</f>
        <v>51</v>
      </c>
      <c r="C631" s="28" t="str">
        <f aca="false">IF(Data!C631="","",IFERROR(VLOOKUP(Data!C631,Codes!$A$6:$B$7,2,FALSE()),"Invalid ("&amp;Data!C631&amp;")"))</f>
        <v>Male</v>
      </c>
      <c r="D631" s="28" t="str">
        <f aca="false">IF(Data!D631="","",IFERROR(VLOOKUP(Data!D631,Codes!$A$11:$B$14,2,FALSE()),"Invalid ("&amp;Data!D631&amp;")"))</f>
        <v>Asymptomatic</v>
      </c>
      <c r="E631" s="20" t="n">
        <f aca="false">IF(Data!E631="","",Data!E631)</f>
        <v>130</v>
      </c>
      <c r="F631" s="20" t="n">
        <f aca="false">IF(Data!F631="","",Data!F631)</f>
        <v>0</v>
      </c>
      <c r="G631" s="28" t="str">
        <f aca="false">IF(Data!G631="","",IFERROR(VLOOKUP(Data!G631,Codes!$A$18:$B$19,2,FALSE()),"Invalid ("&amp;Data!G631&amp;")"))</f>
        <v/>
      </c>
      <c r="H631" s="28" t="str">
        <f aca="false">IF(Data!H631="","",IFERROR(VLOOKUP(Data!H631,Codes!$A$23:$B$25,2,FALSE()),"Invalid ("&amp;Data!H631&amp;")"))</f>
        <v>Normal</v>
      </c>
      <c r="I631" s="20" t="n">
        <f aca="false">IF(Data!I631="","",Data!I631)</f>
        <v>170</v>
      </c>
      <c r="J631" s="28" t="str">
        <f aca="false">IF(Data!J631="","",IFERROR(VLOOKUP(Data!J631,Codes!$A$29:$B$30,2,FALSE()),"Invalid ("&amp;Data!J631&amp;")"))</f>
        <v>No</v>
      </c>
      <c r="K631" s="21" t="n">
        <f aca="false">IF(Data!K631="","",Data!K631)</f>
        <v>-0.7</v>
      </c>
      <c r="L631" s="28" t="str">
        <f aca="false">IF(Data!L631="","",IFERROR(VLOOKUP(Data!L631,Codes!$A$34:$B$36,2,FALSE()),"Invalid ("&amp;Data!L631&amp;")"))</f>
        <v>Upsloping</v>
      </c>
      <c r="M631" s="20" t="str">
        <f aca="false">IF(Data!M631="","",Data!M631)</f>
        <v/>
      </c>
      <c r="N631" s="28" t="str">
        <f aca="false">IF(Data!N631="","",IFERROR(VLOOKUP(Data!N631,Codes!$A$47:$B$49,2,FALSE()),"Invalid ("&amp;Data!N631&amp;")"))</f>
        <v/>
      </c>
      <c r="O631" s="28" t="str">
        <f aca="false">IF(Data!O631="","",IFERROR(VLOOKUP(Data!O631,Codes!$A$53:$B$57,2,FALSE()),"Invalid ("&amp;Data!O631&amp;")"))</f>
        <v>Disease (2)</v>
      </c>
      <c r="P631" s="22" t="str">
        <f aca="false">IF(Data!P631="","",IFERROR(VLOOKUP(Data!P631,Codes!$A$61:$B$64,2,FALSE()),"Invalid ("&amp;Data!P631&amp;")"))</f>
        <v>University Hospitals, Zurich &amp; Basel</v>
      </c>
    </row>
    <row r="632" customFormat="false" ht="15" hidden="false" customHeight="false" outlineLevel="0" collapsed="false">
      <c r="A632" s="19" t="n">
        <f aca="false">Data!A632</f>
        <v>631</v>
      </c>
      <c r="B632" s="20" t="n">
        <f aca="false">IF(Data!B632="","",Data!B632)</f>
        <v>51</v>
      </c>
      <c r="C632" s="28" t="str">
        <f aca="false">IF(Data!C632="","",IFERROR(VLOOKUP(Data!C632,Codes!$A$6:$B$7,2,FALSE()),"Invalid ("&amp;Data!C632&amp;")"))</f>
        <v>Male</v>
      </c>
      <c r="D632" s="28" t="str">
        <f aca="false">IF(Data!D632="","",IFERROR(VLOOKUP(Data!D632,Codes!$A$11:$B$14,2,FALSE()),"Invalid ("&amp;Data!D632&amp;")"))</f>
        <v>Asymptomatic</v>
      </c>
      <c r="E632" s="20" t="n">
        <f aca="false">IF(Data!E632="","",Data!E632)</f>
        <v>130</v>
      </c>
      <c r="F632" s="20" t="n">
        <f aca="false">IF(Data!F632="","",Data!F632)</f>
        <v>0</v>
      </c>
      <c r="G632" s="28" t="str">
        <f aca="false">IF(Data!G632="","",IFERROR(VLOOKUP(Data!G632,Codes!$A$18:$B$19,2,FALSE()),"Invalid ("&amp;Data!G632&amp;")"))</f>
        <v/>
      </c>
      <c r="H632" s="28" t="str">
        <f aca="false">IF(Data!H632="","",IFERROR(VLOOKUP(Data!H632,Codes!$A$23:$B$25,2,FALSE()),"Invalid ("&amp;Data!H632&amp;")"))</f>
        <v>ST-T wave abnormality</v>
      </c>
      <c r="I632" s="20" t="n">
        <f aca="false">IF(Data!I632="","",Data!I632)</f>
        <v>163</v>
      </c>
      <c r="J632" s="28" t="str">
        <f aca="false">IF(Data!J632="","",IFERROR(VLOOKUP(Data!J632,Codes!$A$29:$B$30,2,FALSE()),"Invalid ("&amp;Data!J632&amp;")"))</f>
        <v>No</v>
      </c>
      <c r="K632" s="21" t="n">
        <f aca="false">IF(Data!K632="","",Data!K632)</f>
        <v>0</v>
      </c>
      <c r="L632" s="28" t="str">
        <f aca="false">IF(Data!L632="","",IFERROR(VLOOKUP(Data!L632,Codes!$A$34:$B$36,2,FALSE()),"Invalid ("&amp;Data!L632&amp;")"))</f>
        <v/>
      </c>
      <c r="M632" s="20" t="str">
        <f aca="false">IF(Data!M632="","",Data!M632)</f>
        <v/>
      </c>
      <c r="N632" s="28" t="str">
        <f aca="false">IF(Data!N632="","",IFERROR(VLOOKUP(Data!N632,Codes!$A$47:$B$49,2,FALSE()),"Invalid ("&amp;Data!N632&amp;")"))</f>
        <v>Reversible defect</v>
      </c>
      <c r="O632" s="28" t="str">
        <f aca="false">IF(Data!O632="","",IFERROR(VLOOKUP(Data!O632,Codes!$A$53:$B$57,2,FALSE()),"Invalid ("&amp;Data!O632&amp;")"))</f>
        <v>Disease (1)</v>
      </c>
      <c r="P632" s="22" t="str">
        <f aca="false">IF(Data!P632="","",IFERROR(VLOOKUP(Data!P632,Codes!$A$61:$B$64,2,FALSE()),"Invalid ("&amp;Data!P632&amp;")"))</f>
        <v>University Hospitals, Zurich &amp; Basel</v>
      </c>
    </row>
    <row r="633" customFormat="false" ht="15" hidden="false" customHeight="false" outlineLevel="0" collapsed="false">
      <c r="A633" s="19" t="n">
        <f aca="false">Data!A633</f>
        <v>632</v>
      </c>
      <c r="B633" s="20" t="n">
        <f aca="false">IF(Data!B633="","",Data!B633)</f>
        <v>51</v>
      </c>
      <c r="C633" s="28" t="str">
        <f aca="false">IF(Data!C633="","",IFERROR(VLOOKUP(Data!C633,Codes!$A$6:$B$7,2,FALSE()),"Invalid ("&amp;Data!C633&amp;")"))</f>
        <v>Male</v>
      </c>
      <c r="D633" s="28" t="str">
        <f aca="false">IF(Data!D633="","",IFERROR(VLOOKUP(Data!D633,Codes!$A$11:$B$14,2,FALSE()),"Invalid ("&amp;Data!D633&amp;")"))</f>
        <v>Asymptomatic</v>
      </c>
      <c r="E633" s="20" t="n">
        <f aca="false">IF(Data!E633="","",Data!E633)</f>
        <v>140</v>
      </c>
      <c r="F633" s="20" t="n">
        <f aca="false">IF(Data!F633="","",Data!F633)</f>
        <v>0</v>
      </c>
      <c r="G633" s="28" t="str">
        <f aca="false">IF(Data!G633="","",IFERROR(VLOOKUP(Data!G633,Codes!$A$18:$B$19,2,FALSE()),"Invalid ("&amp;Data!G633&amp;")"))</f>
        <v>No</v>
      </c>
      <c r="H633" s="28" t="str">
        <f aca="false">IF(Data!H633="","",IFERROR(VLOOKUP(Data!H633,Codes!$A$23:$B$25,2,FALSE()),"Invalid ("&amp;Data!H633&amp;")"))</f>
        <v>Normal</v>
      </c>
      <c r="I633" s="20" t="n">
        <f aca="false">IF(Data!I633="","",Data!I633)</f>
        <v>60</v>
      </c>
      <c r="J633" s="28" t="str">
        <f aca="false">IF(Data!J633="","",IFERROR(VLOOKUP(Data!J633,Codes!$A$29:$B$30,2,FALSE()),"Invalid ("&amp;Data!J633&amp;")"))</f>
        <v>No</v>
      </c>
      <c r="K633" s="21" t="n">
        <f aca="false">IF(Data!K633="","",Data!K633)</f>
        <v>0</v>
      </c>
      <c r="L633" s="28" t="str">
        <f aca="false">IF(Data!L633="","",IFERROR(VLOOKUP(Data!L633,Codes!$A$34:$B$36,2,FALSE()),"Invalid ("&amp;Data!L633&amp;")"))</f>
        <v>Flat</v>
      </c>
      <c r="M633" s="20" t="str">
        <f aca="false">IF(Data!M633="","",Data!M633)</f>
        <v/>
      </c>
      <c r="N633" s="28" t="str">
        <f aca="false">IF(Data!N633="","",IFERROR(VLOOKUP(Data!N633,Codes!$A$47:$B$49,2,FALSE()),"Invalid ("&amp;Data!N633&amp;")"))</f>
        <v>Normal</v>
      </c>
      <c r="O633" s="28" t="str">
        <f aca="false">IF(Data!O633="","",IFERROR(VLOOKUP(Data!O633,Codes!$A$53:$B$57,2,FALSE()),"Invalid ("&amp;Data!O633&amp;")"))</f>
        <v>Disease (2)</v>
      </c>
      <c r="P633" s="22" t="str">
        <f aca="false">IF(Data!P633="","",IFERROR(VLOOKUP(Data!P633,Codes!$A$61:$B$64,2,FALSE()),"Invalid ("&amp;Data!P633&amp;")"))</f>
        <v>University Hospitals, Zurich &amp; Basel</v>
      </c>
    </row>
    <row r="634" customFormat="false" ht="15" hidden="false" customHeight="false" outlineLevel="0" collapsed="false">
      <c r="A634" s="19" t="n">
        <f aca="false">Data!A634</f>
        <v>633</v>
      </c>
      <c r="B634" s="20" t="n">
        <f aca="false">IF(Data!B634="","",Data!B634)</f>
        <v>51</v>
      </c>
      <c r="C634" s="28" t="str">
        <f aca="false">IF(Data!C634="","",IFERROR(VLOOKUP(Data!C634,Codes!$A$6:$B$7,2,FALSE()),"Invalid ("&amp;Data!C634&amp;")"))</f>
        <v>Male</v>
      </c>
      <c r="D634" s="28" t="str">
        <f aca="false">IF(Data!D634="","",IFERROR(VLOOKUP(Data!D634,Codes!$A$11:$B$14,2,FALSE()),"Invalid ("&amp;Data!D634&amp;")"))</f>
        <v>Asymptomatic</v>
      </c>
      <c r="E634" s="20" t="n">
        <f aca="false">IF(Data!E634="","",Data!E634)</f>
        <v>95</v>
      </c>
      <c r="F634" s="20" t="n">
        <f aca="false">IF(Data!F634="","",Data!F634)</f>
        <v>0</v>
      </c>
      <c r="G634" s="28" t="str">
        <f aca="false">IF(Data!G634="","",IFERROR(VLOOKUP(Data!G634,Codes!$A$18:$B$19,2,FALSE()),"Invalid ("&amp;Data!G634&amp;")"))</f>
        <v/>
      </c>
      <c r="H634" s="28" t="str">
        <f aca="false">IF(Data!H634="","",IFERROR(VLOOKUP(Data!H634,Codes!$A$23:$B$25,2,FALSE()),"Invalid ("&amp;Data!H634&amp;")"))</f>
        <v>Normal</v>
      </c>
      <c r="I634" s="20" t="n">
        <f aca="false">IF(Data!I634="","",Data!I634)</f>
        <v>126</v>
      </c>
      <c r="J634" s="28" t="str">
        <f aca="false">IF(Data!J634="","",IFERROR(VLOOKUP(Data!J634,Codes!$A$29:$B$30,2,FALSE()),"Invalid ("&amp;Data!J634&amp;")"))</f>
        <v>No</v>
      </c>
      <c r="K634" s="21" t="n">
        <f aca="false">IF(Data!K634="","",Data!K634)</f>
        <v>2.2</v>
      </c>
      <c r="L634" s="28" t="str">
        <f aca="false">IF(Data!L634="","",IFERROR(VLOOKUP(Data!L634,Codes!$A$34:$B$36,2,FALSE()),"Invalid ("&amp;Data!L634&amp;")"))</f>
        <v>Flat</v>
      </c>
      <c r="M634" s="20" t="str">
        <f aca="false">IF(Data!M634="","",Data!M634)</f>
        <v/>
      </c>
      <c r="N634" s="28" t="str">
        <f aca="false">IF(Data!N634="","",IFERROR(VLOOKUP(Data!N634,Codes!$A$47:$B$49,2,FALSE()),"Invalid ("&amp;Data!N634&amp;")"))</f>
        <v/>
      </c>
      <c r="O634" s="28" t="str">
        <f aca="false">IF(Data!O634="","",IFERROR(VLOOKUP(Data!O634,Codes!$A$53:$B$57,2,FALSE()),"Invalid ("&amp;Data!O634&amp;")"))</f>
        <v>Disease (2)</v>
      </c>
      <c r="P634" s="22" t="str">
        <f aca="false">IF(Data!P634="","",IFERROR(VLOOKUP(Data!P634,Codes!$A$61:$B$64,2,FALSE()),"Invalid ("&amp;Data!P634&amp;")"))</f>
        <v>University Hospitals, Zurich &amp; Basel</v>
      </c>
    </row>
    <row r="635" customFormat="false" ht="15" hidden="false" customHeight="false" outlineLevel="0" collapsed="false">
      <c r="A635" s="19" t="n">
        <f aca="false">Data!A635</f>
        <v>634</v>
      </c>
      <c r="B635" s="20" t="n">
        <f aca="false">IF(Data!B635="","",Data!B635)</f>
        <v>52</v>
      </c>
      <c r="C635" s="28" t="str">
        <f aca="false">IF(Data!C635="","",IFERROR(VLOOKUP(Data!C635,Codes!$A$6:$B$7,2,FALSE()),"Invalid ("&amp;Data!C635&amp;")"))</f>
        <v>Male</v>
      </c>
      <c r="D635" s="28" t="str">
        <f aca="false">IF(Data!D635="","",IFERROR(VLOOKUP(Data!D635,Codes!$A$11:$B$14,2,FALSE()),"Invalid ("&amp;Data!D635&amp;")"))</f>
        <v>Asymptomatic</v>
      </c>
      <c r="E635" s="20" t="n">
        <f aca="false">IF(Data!E635="","",Data!E635)</f>
        <v>130</v>
      </c>
      <c r="F635" s="20" t="n">
        <f aca="false">IF(Data!F635="","",Data!F635)</f>
        <v>0</v>
      </c>
      <c r="G635" s="28" t="str">
        <f aca="false">IF(Data!G635="","",IFERROR(VLOOKUP(Data!G635,Codes!$A$18:$B$19,2,FALSE()),"Invalid ("&amp;Data!G635&amp;")"))</f>
        <v/>
      </c>
      <c r="H635" s="28" t="str">
        <f aca="false">IF(Data!H635="","",IFERROR(VLOOKUP(Data!H635,Codes!$A$23:$B$25,2,FALSE()),"Invalid ("&amp;Data!H635&amp;")"))</f>
        <v>Normal</v>
      </c>
      <c r="I635" s="20" t="n">
        <f aca="false">IF(Data!I635="","",Data!I635)</f>
        <v>120</v>
      </c>
      <c r="J635" s="28" t="str">
        <f aca="false">IF(Data!J635="","",IFERROR(VLOOKUP(Data!J635,Codes!$A$29:$B$30,2,FALSE()),"Invalid ("&amp;Data!J635&amp;")"))</f>
        <v>No</v>
      </c>
      <c r="K635" s="21" t="n">
        <f aca="false">IF(Data!K635="","",Data!K635)</f>
        <v>0</v>
      </c>
      <c r="L635" s="28" t="str">
        <f aca="false">IF(Data!L635="","",IFERROR(VLOOKUP(Data!L635,Codes!$A$34:$B$36,2,FALSE()),"Invalid ("&amp;Data!L635&amp;")"))</f>
        <v>Flat</v>
      </c>
      <c r="M635" s="20" t="str">
        <f aca="false">IF(Data!M635="","",Data!M635)</f>
        <v/>
      </c>
      <c r="N635" s="28" t="str">
        <f aca="false">IF(Data!N635="","",IFERROR(VLOOKUP(Data!N635,Codes!$A$47:$B$49,2,FALSE()),"Invalid ("&amp;Data!N635&amp;")"))</f>
        <v>Reversible defect</v>
      </c>
      <c r="O635" s="28" t="str">
        <f aca="false">IF(Data!O635="","",IFERROR(VLOOKUP(Data!O635,Codes!$A$53:$B$57,2,FALSE()),"Invalid ("&amp;Data!O635&amp;")"))</f>
        <v>Disease (2)</v>
      </c>
      <c r="P635" s="22" t="str">
        <f aca="false">IF(Data!P635="","",IFERROR(VLOOKUP(Data!P635,Codes!$A$61:$B$64,2,FALSE()),"Invalid ("&amp;Data!P635&amp;")"))</f>
        <v>University Hospitals, Zurich &amp; Basel</v>
      </c>
    </row>
    <row r="636" customFormat="false" ht="15" hidden="false" customHeight="false" outlineLevel="0" collapsed="false">
      <c r="A636" s="19" t="n">
        <f aca="false">Data!A636</f>
        <v>635</v>
      </c>
      <c r="B636" s="20" t="n">
        <f aca="false">IF(Data!B636="","",Data!B636)</f>
        <v>52</v>
      </c>
      <c r="C636" s="28" t="str">
        <f aca="false">IF(Data!C636="","",IFERROR(VLOOKUP(Data!C636,Codes!$A$6:$B$7,2,FALSE()),"Invalid ("&amp;Data!C636&amp;")"))</f>
        <v>Male</v>
      </c>
      <c r="D636" s="28" t="str">
        <f aca="false">IF(Data!D636="","",IFERROR(VLOOKUP(Data!D636,Codes!$A$11:$B$14,2,FALSE()),"Invalid ("&amp;Data!D636&amp;")"))</f>
        <v>Asymptomatic</v>
      </c>
      <c r="E636" s="20" t="n">
        <f aca="false">IF(Data!E636="","",Data!E636)</f>
        <v>135</v>
      </c>
      <c r="F636" s="20" t="n">
        <f aca="false">IF(Data!F636="","",Data!F636)</f>
        <v>0</v>
      </c>
      <c r="G636" s="28" t="str">
        <f aca="false">IF(Data!G636="","",IFERROR(VLOOKUP(Data!G636,Codes!$A$18:$B$19,2,FALSE()),"Invalid ("&amp;Data!G636&amp;")"))</f>
        <v/>
      </c>
      <c r="H636" s="28" t="str">
        <f aca="false">IF(Data!H636="","",IFERROR(VLOOKUP(Data!H636,Codes!$A$23:$B$25,2,FALSE()),"Invalid ("&amp;Data!H636&amp;")"))</f>
        <v>Normal</v>
      </c>
      <c r="I636" s="20" t="n">
        <f aca="false">IF(Data!I636="","",Data!I636)</f>
        <v>128</v>
      </c>
      <c r="J636" s="28" t="str">
        <f aca="false">IF(Data!J636="","",IFERROR(VLOOKUP(Data!J636,Codes!$A$29:$B$30,2,FALSE()),"Invalid ("&amp;Data!J636&amp;")"))</f>
        <v>Yes</v>
      </c>
      <c r="K636" s="21" t="n">
        <f aca="false">IF(Data!K636="","",Data!K636)</f>
        <v>2</v>
      </c>
      <c r="L636" s="28" t="str">
        <f aca="false">IF(Data!L636="","",IFERROR(VLOOKUP(Data!L636,Codes!$A$34:$B$36,2,FALSE()),"Invalid ("&amp;Data!L636&amp;")"))</f>
        <v>Flat</v>
      </c>
      <c r="M636" s="20" t="str">
        <f aca="false">IF(Data!M636="","",Data!M636)</f>
        <v/>
      </c>
      <c r="N636" s="28" t="str">
        <f aca="false">IF(Data!N636="","",IFERROR(VLOOKUP(Data!N636,Codes!$A$47:$B$49,2,FALSE()),"Invalid ("&amp;Data!N636&amp;")"))</f>
        <v>Reversible defect</v>
      </c>
      <c r="O636" s="28" t="str">
        <f aca="false">IF(Data!O636="","",IFERROR(VLOOKUP(Data!O636,Codes!$A$53:$B$57,2,FALSE()),"Invalid ("&amp;Data!O636&amp;")"))</f>
        <v>Disease (2)</v>
      </c>
      <c r="P636" s="22" t="str">
        <f aca="false">IF(Data!P636="","",IFERROR(VLOOKUP(Data!P636,Codes!$A$61:$B$64,2,FALSE()),"Invalid ("&amp;Data!P636&amp;")"))</f>
        <v>University Hospitals, Zurich &amp; Basel</v>
      </c>
    </row>
    <row r="637" customFormat="false" ht="15" hidden="false" customHeight="false" outlineLevel="0" collapsed="false">
      <c r="A637" s="19" t="n">
        <f aca="false">Data!A637</f>
        <v>636</v>
      </c>
      <c r="B637" s="20" t="n">
        <f aca="false">IF(Data!B637="","",Data!B637)</f>
        <v>52</v>
      </c>
      <c r="C637" s="28" t="str">
        <f aca="false">IF(Data!C637="","",IFERROR(VLOOKUP(Data!C637,Codes!$A$6:$B$7,2,FALSE()),"Invalid ("&amp;Data!C637&amp;")"))</f>
        <v>Male</v>
      </c>
      <c r="D637" s="28" t="str">
        <f aca="false">IF(Data!D637="","",IFERROR(VLOOKUP(Data!D637,Codes!$A$11:$B$14,2,FALSE()),"Invalid ("&amp;Data!D637&amp;")"))</f>
        <v>Asymptomatic</v>
      </c>
      <c r="E637" s="20" t="n">
        <f aca="false">IF(Data!E637="","",Data!E637)</f>
        <v>165</v>
      </c>
      <c r="F637" s="20" t="n">
        <f aca="false">IF(Data!F637="","",Data!F637)</f>
        <v>0</v>
      </c>
      <c r="G637" s="28" t="str">
        <f aca="false">IF(Data!G637="","",IFERROR(VLOOKUP(Data!G637,Codes!$A$18:$B$19,2,FALSE()),"Invalid ("&amp;Data!G637&amp;")"))</f>
        <v/>
      </c>
      <c r="H637" s="28" t="str">
        <f aca="false">IF(Data!H637="","",IFERROR(VLOOKUP(Data!H637,Codes!$A$23:$B$25,2,FALSE()),"Invalid ("&amp;Data!H637&amp;")"))</f>
        <v>Normal</v>
      </c>
      <c r="I637" s="20" t="n">
        <f aca="false">IF(Data!I637="","",Data!I637)</f>
        <v>122</v>
      </c>
      <c r="J637" s="28" t="str">
        <f aca="false">IF(Data!J637="","",IFERROR(VLOOKUP(Data!J637,Codes!$A$29:$B$30,2,FALSE()),"Invalid ("&amp;Data!J637&amp;")"))</f>
        <v>Yes</v>
      </c>
      <c r="K637" s="21" t="n">
        <f aca="false">IF(Data!K637="","",Data!K637)</f>
        <v>1</v>
      </c>
      <c r="L637" s="28" t="str">
        <f aca="false">IF(Data!L637="","",IFERROR(VLOOKUP(Data!L637,Codes!$A$34:$B$36,2,FALSE()),"Invalid ("&amp;Data!L637&amp;")"))</f>
        <v>Upsloping</v>
      </c>
      <c r="M637" s="20" t="str">
        <f aca="false">IF(Data!M637="","",Data!M637)</f>
        <v/>
      </c>
      <c r="N637" s="28" t="str">
        <f aca="false">IF(Data!N637="","",IFERROR(VLOOKUP(Data!N637,Codes!$A$47:$B$49,2,FALSE()),"Invalid ("&amp;Data!N637&amp;")"))</f>
        <v>Reversible defect</v>
      </c>
      <c r="O637" s="28" t="str">
        <f aca="false">IF(Data!O637="","",IFERROR(VLOOKUP(Data!O637,Codes!$A$53:$B$57,2,FALSE()),"Invalid ("&amp;Data!O637&amp;")"))</f>
        <v>Disease (2)</v>
      </c>
      <c r="P637" s="22" t="str">
        <f aca="false">IF(Data!P637="","",IFERROR(VLOOKUP(Data!P637,Codes!$A$61:$B$64,2,FALSE()),"Invalid ("&amp;Data!P637&amp;")"))</f>
        <v>University Hospitals, Zurich &amp; Basel</v>
      </c>
    </row>
    <row r="638" customFormat="false" ht="15" hidden="false" customHeight="false" outlineLevel="0" collapsed="false">
      <c r="A638" s="19" t="n">
        <f aca="false">Data!A638</f>
        <v>637</v>
      </c>
      <c r="B638" s="20" t="n">
        <f aca="false">IF(Data!B638="","",Data!B638)</f>
        <v>52</v>
      </c>
      <c r="C638" s="28" t="str">
        <f aca="false">IF(Data!C638="","",IFERROR(VLOOKUP(Data!C638,Codes!$A$6:$B$7,2,FALSE()),"Invalid ("&amp;Data!C638&amp;")"))</f>
        <v>Male</v>
      </c>
      <c r="D638" s="28" t="str">
        <f aca="false">IF(Data!D638="","",IFERROR(VLOOKUP(Data!D638,Codes!$A$11:$B$14,2,FALSE()),"Invalid ("&amp;Data!D638&amp;")"))</f>
        <v>Asymptomatic</v>
      </c>
      <c r="E638" s="20" t="n">
        <f aca="false">IF(Data!E638="","",Data!E638)</f>
        <v>95</v>
      </c>
      <c r="F638" s="20" t="n">
        <f aca="false">IF(Data!F638="","",Data!F638)</f>
        <v>0</v>
      </c>
      <c r="G638" s="28" t="str">
        <f aca="false">IF(Data!G638="","",IFERROR(VLOOKUP(Data!G638,Codes!$A$18:$B$19,2,FALSE()),"Invalid ("&amp;Data!G638&amp;")"))</f>
        <v/>
      </c>
      <c r="H638" s="28" t="str">
        <f aca="false">IF(Data!H638="","",IFERROR(VLOOKUP(Data!H638,Codes!$A$23:$B$25,2,FALSE()),"Invalid ("&amp;Data!H638&amp;")"))</f>
        <v>Normal</v>
      </c>
      <c r="I638" s="20" t="n">
        <f aca="false">IF(Data!I638="","",Data!I638)</f>
        <v>82</v>
      </c>
      <c r="J638" s="28" t="str">
        <f aca="false">IF(Data!J638="","",IFERROR(VLOOKUP(Data!J638,Codes!$A$29:$B$30,2,FALSE()),"Invalid ("&amp;Data!J638&amp;")"))</f>
        <v>Yes</v>
      </c>
      <c r="K638" s="21" t="str">
        <f aca="false">IF(Data!K638="","",Data!K638)</f>
        <v/>
      </c>
      <c r="L638" s="28" t="str">
        <f aca="false">IF(Data!L638="","",IFERROR(VLOOKUP(Data!L638,Codes!$A$34:$B$36,2,FALSE()),"Invalid ("&amp;Data!L638&amp;")"))</f>
        <v/>
      </c>
      <c r="M638" s="20" t="str">
        <f aca="false">IF(Data!M638="","",Data!M638)</f>
        <v/>
      </c>
      <c r="N638" s="28" t="str">
        <f aca="false">IF(Data!N638="","",IFERROR(VLOOKUP(Data!N638,Codes!$A$47:$B$49,2,FALSE()),"Invalid ("&amp;Data!N638&amp;")"))</f>
        <v/>
      </c>
      <c r="O638" s="28" t="str">
        <f aca="false">IF(Data!O638="","",IFERROR(VLOOKUP(Data!O638,Codes!$A$53:$B$57,2,FALSE()),"Invalid ("&amp;Data!O638&amp;")"))</f>
        <v>Disease (2)</v>
      </c>
      <c r="P638" s="22" t="str">
        <f aca="false">IF(Data!P638="","",IFERROR(VLOOKUP(Data!P638,Codes!$A$61:$B$64,2,FALSE()),"Invalid ("&amp;Data!P638&amp;")"))</f>
        <v>University Hospitals, Zurich &amp; Basel</v>
      </c>
    </row>
    <row r="639" customFormat="false" ht="15" hidden="false" customHeight="false" outlineLevel="0" collapsed="false">
      <c r="A639" s="19" t="n">
        <f aca="false">Data!A639</f>
        <v>638</v>
      </c>
      <c r="B639" s="20" t="n">
        <f aca="false">IF(Data!B639="","",Data!B639)</f>
        <v>53</v>
      </c>
      <c r="C639" s="28" t="str">
        <f aca="false">IF(Data!C639="","",IFERROR(VLOOKUP(Data!C639,Codes!$A$6:$B$7,2,FALSE()),"Invalid ("&amp;Data!C639&amp;")"))</f>
        <v>Male</v>
      </c>
      <c r="D639" s="28" t="str">
        <f aca="false">IF(Data!D639="","",IFERROR(VLOOKUP(Data!D639,Codes!$A$11:$B$14,2,FALSE()),"Invalid ("&amp;Data!D639&amp;")"))</f>
        <v>Atypical angina</v>
      </c>
      <c r="E639" s="20" t="n">
        <f aca="false">IF(Data!E639="","",Data!E639)</f>
        <v>120</v>
      </c>
      <c r="F639" s="20" t="n">
        <f aca="false">IF(Data!F639="","",Data!F639)</f>
        <v>0</v>
      </c>
      <c r="G639" s="28" t="str">
        <f aca="false">IF(Data!G639="","",IFERROR(VLOOKUP(Data!G639,Codes!$A$18:$B$19,2,FALSE()),"Invalid ("&amp;Data!G639&amp;")"))</f>
        <v>No</v>
      </c>
      <c r="H639" s="28" t="str">
        <f aca="false">IF(Data!H639="","",IFERROR(VLOOKUP(Data!H639,Codes!$A$23:$B$25,2,FALSE()),"Invalid ("&amp;Data!H639&amp;")"))</f>
        <v>Normal</v>
      </c>
      <c r="I639" s="20" t="n">
        <f aca="false">IF(Data!I639="","",Data!I639)</f>
        <v>95</v>
      </c>
      <c r="J639" s="28" t="str">
        <f aca="false">IF(Data!J639="","",IFERROR(VLOOKUP(Data!J639,Codes!$A$29:$B$30,2,FALSE()),"Invalid ("&amp;Data!J639&amp;")"))</f>
        <v>No</v>
      </c>
      <c r="K639" s="21" t="n">
        <f aca="false">IF(Data!K639="","",Data!K639)</f>
        <v>0</v>
      </c>
      <c r="L639" s="28" t="str">
        <f aca="false">IF(Data!L639="","",IFERROR(VLOOKUP(Data!L639,Codes!$A$34:$B$36,2,FALSE()),"Invalid ("&amp;Data!L639&amp;")"))</f>
        <v>Flat</v>
      </c>
      <c r="M639" s="20" t="str">
        <f aca="false">IF(Data!M639="","",Data!M639)</f>
        <v/>
      </c>
      <c r="N639" s="28" t="str">
        <f aca="false">IF(Data!N639="","",IFERROR(VLOOKUP(Data!N639,Codes!$A$47:$B$49,2,FALSE()),"Invalid ("&amp;Data!N639&amp;")"))</f>
        <v>Normal</v>
      </c>
      <c r="O639" s="28" t="str">
        <f aca="false">IF(Data!O639="","",IFERROR(VLOOKUP(Data!O639,Codes!$A$53:$B$57,2,FALSE()),"Invalid ("&amp;Data!O639&amp;")"))</f>
        <v>Disease (3)</v>
      </c>
      <c r="P639" s="22" t="str">
        <f aca="false">IF(Data!P639="","",IFERROR(VLOOKUP(Data!P639,Codes!$A$61:$B$64,2,FALSE()),"Invalid ("&amp;Data!P639&amp;")"))</f>
        <v>University Hospitals, Zurich &amp; Basel</v>
      </c>
    </row>
    <row r="640" customFormat="false" ht="15" hidden="false" customHeight="false" outlineLevel="0" collapsed="false">
      <c r="A640" s="19" t="n">
        <f aca="false">Data!A640</f>
        <v>639</v>
      </c>
      <c r="B640" s="20" t="n">
        <f aca="false">IF(Data!B640="","",Data!B640)</f>
        <v>53</v>
      </c>
      <c r="C640" s="28" t="str">
        <f aca="false">IF(Data!C640="","",IFERROR(VLOOKUP(Data!C640,Codes!$A$6:$B$7,2,FALSE()),"Invalid ("&amp;Data!C640&amp;")"))</f>
        <v>Male</v>
      </c>
      <c r="D640" s="28" t="str">
        <f aca="false">IF(Data!D640="","",IFERROR(VLOOKUP(Data!D640,Codes!$A$11:$B$14,2,FALSE()),"Invalid ("&amp;Data!D640&amp;")"))</f>
        <v>Atypical angina</v>
      </c>
      <c r="E640" s="20" t="n">
        <f aca="false">IF(Data!E640="","",Data!E640)</f>
        <v>130</v>
      </c>
      <c r="F640" s="20" t="n">
        <f aca="false">IF(Data!F640="","",Data!F640)</f>
        <v>0</v>
      </c>
      <c r="G640" s="28" t="str">
        <f aca="false">IF(Data!G640="","",IFERROR(VLOOKUP(Data!G640,Codes!$A$18:$B$19,2,FALSE()),"Invalid ("&amp;Data!G640&amp;")"))</f>
        <v/>
      </c>
      <c r="H640" s="28" t="str">
        <f aca="false">IF(Data!H640="","",IFERROR(VLOOKUP(Data!H640,Codes!$A$23:$B$25,2,FALSE()),"Invalid ("&amp;Data!H640&amp;")"))</f>
        <v>ST-T wave abnormality</v>
      </c>
      <c r="I640" s="20" t="n">
        <f aca="false">IF(Data!I640="","",Data!I640)</f>
        <v>120</v>
      </c>
      <c r="J640" s="28" t="str">
        <f aca="false">IF(Data!J640="","",IFERROR(VLOOKUP(Data!J640,Codes!$A$29:$B$30,2,FALSE()),"Invalid ("&amp;Data!J640&amp;")"))</f>
        <v>No</v>
      </c>
      <c r="K640" s="21" t="n">
        <f aca="false">IF(Data!K640="","",Data!K640)</f>
        <v>0.7</v>
      </c>
      <c r="L640" s="28" t="str">
        <f aca="false">IF(Data!L640="","",IFERROR(VLOOKUP(Data!L640,Codes!$A$34:$B$36,2,FALSE()),"Invalid ("&amp;Data!L640&amp;")"))</f>
        <v>Downsloping</v>
      </c>
      <c r="M640" s="20" t="str">
        <f aca="false">IF(Data!M640="","",Data!M640)</f>
        <v/>
      </c>
      <c r="N640" s="28" t="str">
        <f aca="false">IF(Data!N640="","",IFERROR(VLOOKUP(Data!N640,Codes!$A$47:$B$49,2,FALSE()),"Invalid ("&amp;Data!N640&amp;")"))</f>
        <v/>
      </c>
      <c r="O640" s="28" t="str">
        <f aca="false">IF(Data!O640="","",IFERROR(VLOOKUP(Data!O640,Codes!$A$53:$B$57,2,FALSE()),"Invalid ("&amp;Data!O640&amp;")"))</f>
        <v>No disease</v>
      </c>
      <c r="P640" s="22" t="str">
        <f aca="false">IF(Data!P640="","",IFERROR(VLOOKUP(Data!P640,Codes!$A$61:$B$64,2,FALSE()),"Invalid ("&amp;Data!P640&amp;")"))</f>
        <v>University Hospitals, Zurich &amp; Basel</v>
      </c>
    </row>
    <row r="641" customFormat="false" ht="15" hidden="false" customHeight="false" outlineLevel="0" collapsed="false">
      <c r="A641" s="19" t="n">
        <f aca="false">Data!A641</f>
        <v>640</v>
      </c>
      <c r="B641" s="20" t="n">
        <f aca="false">IF(Data!B641="","",Data!B641)</f>
        <v>53</v>
      </c>
      <c r="C641" s="28" t="str">
        <f aca="false">IF(Data!C641="","",IFERROR(VLOOKUP(Data!C641,Codes!$A$6:$B$7,2,FALSE()),"Invalid ("&amp;Data!C641&amp;")"))</f>
        <v>Male</v>
      </c>
      <c r="D641" s="28" t="str">
        <f aca="false">IF(Data!D641="","",IFERROR(VLOOKUP(Data!D641,Codes!$A$11:$B$14,2,FALSE()),"Invalid ("&amp;Data!D641&amp;")"))</f>
        <v>Non-anginal pain</v>
      </c>
      <c r="E641" s="20" t="n">
        <f aca="false">IF(Data!E641="","",Data!E641)</f>
        <v>105</v>
      </c>
      <c r="F641" s="20" t="n">
        <f aca="false">IF(Data!F641="","",Data!F641)</f>
        <v>0</v>
      </c>
      <c r="G641" s="28" t="str">
        <f aca="false">IF(Data!G641="","",IFERROR(VLOOKUP(Data!G641,Codes!$A$18:$B$19,2,FALSE()),"Invalid ("&amp;Data!G641&amp;")"))</f>
        <v>No</v>
      </c>
      <c r="H641" s="28" t="str">
        <f aca="false">IF(Data!H641="","",IFERROR(VLOOKUP(Data!H641,Codes!$A$23:$B$25,2,FALSE()),"Invalid ("&amp;Data!H641&amp;")"))</f>
        <v>Normal</v>
      </c>
      <c r="I641" s="20" t="n">
        <f aca="false">IF(Data!I641="","",Data!I641)</f>
        <v>115</v>
      </c>
      <c r="J641" s="28" t="str">
        <f aca="false">IF(Data!J641="","",IFERROR(VLOOKUP(Data!J641,Codes!$A$29:$B$30,2,FALSE()),"Invalid ("&amp;Data!J641&amp;")"))</f>
        <v>No</v>
      </c>
      <c r="K641" s="21" t="n">
        <f aca="false">IF(Data!K641="","",Data!K641)</f>
        <v>0</v>
      </c>
      <c r="L641" s="28" t="str">
        <f aca="false">IF(Data!L641="","",IFERROR(VLOOKUP(Data!L641,Codes!$A$34:$B$36,2,FALSE()),"Invalid ("&amp;Data!L641&amp;")"))</f>
        <v>Flat</v>
      </c>
      <c r="M641" s="20" t="str">
        <f aca="false">IF(Data!M641="","",Data!M641)</f>
        <v/>
      </c>
      <c r="N641" s="28" t="str">
        <f aca="false">IF(Data!N641="","",IFERROR(VLOOKUP(Data!N641,Codes!$A$47:$B$49,2,FALSE()),"Invalid ("&amp;Data!N641&amp;")"))</f>
        <v>Reversible defect</v>
      </c>
      <c r="O641" s="28" t="str">
        <f aca="false">IF(Data!O641="","",IFERROR(VLOOKUP(Data!O641,Codes!$A$53:$B$57,2,FALSE()),"Invalid ("&amp;Data!O641&amp;")"))</f>
        <v>Disease (1)</v>
      </c>
      <c r="P641" s="22" t="str">
        <f aca="false">IF(Data!P641="","",IFERROR(VLOOKUP(Data!P641,Codes!$A$61:$B$64,2,FALSE()),"Invalid ("&amp;Data!P641&amp;")"))</f>
        <v>University Hospitals, Zurich &amp; Basel</v>
      </c>
    </row>
    <row r="642" customFormat="false" ht="15" hidden="false" customHeight="false" outlineLevel="0" collapsed="false">
      <c r="A642" s="19" t="n">
        <f aca="false">Data!A642</f>
        <v>641</v>
      </c>
      <c r="B642" s="20" t="n">
        <f aca="false">IF(Data!B642="","",Data!B642)</f>
        <v>53</v>
      </c>
      <c r="C642" s="28" t="str">
        <f aca="false">IF(Data!C642="","",IFERROR(VLOOKUP(Data!C642,Codes!$A$6:$B$7,2,FALSE()),"Invalid ("&amp;Data!C642&amp;")"))</f>
        <v>Male</v>
      </c>
      <c r="D642" s="28" t="str">
        <f aca="false">IF(Data!D642="","",IFERROR(VLOOKUP(Data!D642,Codes!$A$11:$B$14,2,FALSE()),"Invalid ("&amp;Data!D642&amp;")"))</f>
        <v>Non-anginal pain</v>
      </c>
      <c r="E642" s="20" t="n">
        <f aca="false">IF(Data!E642="","",Data!E642)</f>
        <v>160</v>
      </c>
      <c r="F642" s="20" t="n">
        <f aca="false">IF(Data!F642="","",Data!F642)</f>
        <v>0</v>
      </c>
      <c r="G642" s="28" t="str">
        <f aca="false">IF(Data!G642="","",IFERROR(VLOOKUP(Data!G642,Codes!$A$18:$B$19,2,FALSE()),"Invalid ("&amp;Data!G642&amp;")"))</f>
        <v/>
      </c>
      <c r="H642" s="28" t="str">
        <f aca="false">IF(Data!H642="","",IFERROR(VLOOKUP(Data!H642,Codes!$A$23:$B$25,2,FALSE()),"Invalid ("&amp;Data!H642&amp;")"))</f>
        <v>Left ventricular hypertrophy</v>
      </c>
      <c r="I642" s="20" t="n">
        <f aca="false">IF(Data!I642="","",Data!I642)</f>
        <v>122</v>
      </c>
      <c r="J642" s="28" t="str">
        <f aca="false">IF(Data!J642="","",IFERROR(VLOOKUP(Data!J642,Codes!$A$29:$B$30,2,FALSE()),"Invalid ("&amp;Data!J642&amp;")"))</f>
        <v>Yes</v>
      </c>
      <c r="K642" s="21" t="n">
        <f aca="false">IF(Data!K642="","",Data!K642)</f>
        <v>0</v>
      </c>
      <c r="L642" s="28" t="str">
        <f aca="false">IF(Data!L642="","",IFERROR(VLOOKUP(Data!L642,Codes!$A$34:$B$36,2,FALSE()),"Invalid ("&amp;Data!L642&amp;")"))</f>
        <v/>
      </c>
      <c r="M642" s="20" t="str">
        <f aca="false">IF(Data!M642="","",Data!M642)</f>
        <v/>
      </c>
      <c r="N642" s="28" t="str">
        <f aca="false">IF(Data!N642="","",IFERROR(VLOOKUP(Data!N642,Codes!$A$47:$B$49,2,FALSE()),"Invalid ("&amp;Data!N642&amp;")"))</f>
        <v>Reversible defect</v>
      </c>
      <c r="O642" s="28" t="str">
        <f aca="false">IF(Data!O642="","",IFERROR(VLOOKUP(Data!O642,Codes!$A$53:$B$57,2,FALSE()),"Invalid ("&amp;Data!O642&amp;")"))</f>
        <v>Disease (1)</v>
      </c>
      <c r="P642" s="22" t="str">
        <f aca="false">IF(Data!P642="","",IFERROR(VLOOKUP(Data!P642,Codes!$A$61:$B$64,2,FALSE()),"Invalid ("&amp;Data!P642&amp;")"))</f>
        <v>University Hospitals, Zurich &amp; Basel</v>
      </c>
    </row>
    <row r="643" customFormat="false" ht="15" hidden="false" customHeight="false" outlineLevel="0" collapsed="false">
      <c r="A643" s="19" t="n">
        <f aca="false">Data!A643</f>
        <v>642</v>
      </c>
      <c r="B643" s="20" t="n">
        <f aca="false">IF(Data!B643="","",Data!B643)</f>
        <v>53</v>
      </c>
      <c r="C643" s="28" t="str">
        <f aca="false">IF(Data!C643="","",IFERROR(VLOOKUP(Data!C643,Codes!$A$6:$B$7,2,FALSE()),"Invalid ("&amp;Data!C643&amp;")"))</f>
        <v>Male</v>
      </c>
      <c r="D643" s="28" t="str">
        <f aca="false">IF(Data!D643="","",IFERROR(VLOOKUP(Data!D643,Codes!$A$11:$B$14,2,FALSE()),"Invalid ("&amp;Data!D643&amp;")"))</f>
        <v>Asymptomatic</v>
      </c>
      <c r="E643" s="20" t="n">
        <f aca="false">IF(Data!E643="","",Data!E643)</f>
        <v>120</v>
      </c>
      <c r="F643" s="20" t="n">
        <f aca="false">IF(Data!F643="","",Data!F643)</f>
        <v>0</v>
      </c>
      <c r="G643" s="28" t="str">
        <f aca="false">IF(Data!G643="","",IFERROR(VLOOKUP(Data!G643,Codes!$A$18:$B$19,2,FALSE()),"Invalid ("&amp;Data!G643&amp;")"))</f>
        <v/>
      </c>
      <c r="H643" s="28" t="str">
        <f aca="false">IF(Data!H643="","",IFERROR(VLOOKUP(Data!H643,Codes!$A$23:$B$25,2,FALSE()),"Invalid ("&amp;Data!H643&amp;")"))</f>
        <v>Normal</v>
      </c>
      <c r="I643" s="20" t="n">
        <f aca="false">IF(Data!I643="","",Data!I643)</f>
        <v>120</v>
      </c>
      <c r="J643" s="28" t="str">
        <f aca="false">IF(Data!J643="","",IFERROR(VLOOKUP(Data!J643,Codes!$A$29:$B$30,2,FALSE()),"Invalid ("&amp;Data!J643&amp;")"))</f>
        <v>No</v>
      </c>
      <c r="K643" s="21" t="n">
        <f aca="false">IF(Data!K643="","",Data!K643)</f>
        <v>0</v>
      </c>
      <c r="L643" s="28" t="str">
        <f aca="false">IF(Data!L643="","",IFERROR(VLOOKUP(Data!L643,Codes!$A$34:$B$36,2,FALSE()),"Invalid ("&amp;Data!L643&amp;")"))</f>
        <v>Flat</v>
      </c>
      <c r="M643" s="20" t="str">
        <f aca="false">IF(Data!M643="","",Data!M643)</f>
        <v/>
      </c>
      <c r="N643" s="28" t="str">
        <f aca="false">IF(Data!N643="","",IFERROR(VLOOKUP(Data!N643,Codes!$A$47:$B$49,2,FALSE()),"Invalid ("&amp;Data!N643&amp;")"))</f>
        <v>Reversible defect</v>
      </c>
      <c r="O643" s="28" t="str">
        <f aca="false">IF(Data!O643="","",IFERROR(VLOOKUP(Data!O643,Codes!$A$53:$B$57,2,FALSE()),"Invalid ("&amp;Data!O643&amp;")"))</f>
        <v>Disease (1)</v>
      </c>
      <c r="P643" s="22" t="str">
        <f aca="false">IF(Data!P643="","",IFERROR(VLOOKUP(Data!P643,Codes!$A$61:$B$64,2,FALSE()),"Invalid ("&amp;Data!P643&amp;")"))</f>
        <v>University Hospitals, Zurich &amp; Basel</v>
      </c>
    </row>
    <row r="644" customFormat="false" ht="15" hidden="false" customHeight="false" outlineLevel="0" collapsed="false">
      <c r="A644" s="19" t="n">
        <f aca="false">Data!A644</f>
        <v>643</v>
      </c>
      <c r="B644" s="20" t="n">
        <f aca="false">IF(Data!B644="","",Data!B644)</f>
        <v>53</v>
      </c>
      <c r="C644" s="28" t="str">
        <f aca="false">IF(Data!C644="","",IFERROR(VLOOKUP(Data!C644,Codes!$A$6:$B$7,2,FALSE()),"Invalid ("&amp;Data!C644&amp;")"))</f>
        <v>Male</v>
      </c>
      <c r="D644" s="28" t="str">
        <f aca="false">IF(Data!D644="","",IFERROR(VLOOKUP(Data!D644,Codes!$A$11:$B$14,2,FALSE()),"Invalid ("&amp;Data!D644&amp;")"))</f>
        <v>Asymptomatic</v>
      </c>
      <c r="E644" s="20" t="n">
        <f aca="false">IF(Data!E644="","",Data!E644)</f>
        <v>125</v>
      </c>
      <c r="F644" s="20" t="n">
        <f aca="false">IF(Data!F644="","",Data!F644)</f>
        <v>0</v>
      </c>
      <c r="G644" s="28" t="str">
        <f aca="false">IF(Data!G644="","",IFERROR(VLOOKUP(Data!G644,Codes!$A$18:$B$19,2,FALSE()),"Invalid ("&amp;Data!G644&amp;")"))</f>
        <v/>
      </c>
      <c r="H644" s="28" t="str">
        <f aca="false">IF(Data!H644="","",IFERROR(VLOOKUP(Data!H644,Codes!$A$23:$B$25,2,FALSE()),"Invalid ("&amp;Data!H644&amp;")"))</f>
        <v>Normal</v>
      </c>
      <c r="I644" s="20" t="n">
        <f aca="false">IF(Data!I644="","",Data!I644)</f>
        <v>120</v>
      </c>
      <c r="J644" s="28" t="str">
        <f aca="false">IF(Data!J644="","",IFERROR(VLOOKUP(Data!J644,Codes!$A$29:$B$30,2,FALSE()),"Invalid ("&amp;Data!J644&amp;")"))</f>
        <v>No</v>
      </c>
      <c r="K644" s="21" t="n">
        <f aca="false">IF(Data!K644="","",Data!K644)</f>
        <v>1.5</v>
      </c>
      <c r="L644" s="28" t="str">
        <f aca="false">IF(Data!L644="","",IFERROR(VLOOKUP(Data!L644,Codes!$A$34:$B$36,2,FALSE()),"Invalid ("&amp;Data!L644&amp;")"))</f>
        <v>Upsloping</v>
      </c>
      <c r="M644" s="20" t="str">
        <f aca="false">IF(Data!M644="","",Data!M644)</f>
        <v/>
      </c>
      <c r="N644" s="28" t="str">
        <f aca="false">IF(Data!N644="","",IFERROR(VLOOKUP(Data!N644,Codes!$A$47:$B$49,2,FALSE()),"Invalid ("&amp;Data!N644&amp;")"))</f>
        <v/>
      </c>
      <c r="O644" s="28" t="str">
        <f aca="false">IF(Data!O644="","",IFERROR(VLOOKUP(Data!O644,Codes!$A$53:$B$57,2,FALSE()),"Invalid ("&amp;Data!O644&amp;")"))</f>
        <v>Disease (4)</v>
      </c>
      <c r="P644" s="22" t="str">
        <f aca="false">IF(Data!P644="","",IFERROR(VLOOKUP(Data!P644,Codes!$A$61:$B$64,2,FALSE()),"Invalid ("&amp;Data!P644&amp;")"))</f>
        <v>University Hospitals, Zurich &amp; Basel</v>
      </c>
    </row>
    <row r="645" customFormat="false" ht="15" hidden="false" customHeight="false" outlineLevel="0" collapsed="false">
      <c r="A645" s="19" t="n">
        <f aca="false">Data!A645</f>
        <v>644</v>
      </c>
      <c r="B645" s="20" t="n">
        <f aca="false">IF(Data!B645="","",Data!B645)</f>
        <v>53</v>
      </c>
      <c r="C645" s="28" t="str">
        <f aca="false">IF(Data!C645="","",IFERROR(VLOOKUP(Data!C645,Codes!$A$6:$B$7,2,FALSE()),"Invalid ("&amp;Data!C645&amp;")"))</f>
        <v>Male</v>
      </c>
      <c r="D645" s="28" t="str">
        <f aca="false">IF(Data!D645="","",IFERROR(VLOOKUP(Data!D645,Codes!$A$11:$B$14,2,FALSE()),"Invalid ("&amp;Data!D645&amp;")"))</f>
        <v>Asymptomatic</v>
      </c>
      <c r="E645" s="20" t="n">
        <f aca="false">IF(Data!E645="","",Data!E645)</f>
        <v>130</v>
      </c>
      <c r="F645" s="20" t="n">
        <f aca="false">IF(Data!F645="","",Data!F645)</f>
        <v>0</v>
      </c>
      <c r="G645" s="28" t="str">
        <f aca="false">IF(Data!G645="","",IFERROR(VLOOKUP(Data!G645,Codes!$A$18:$B$19,2,FALSE()),"Invalid ("&amp;Data!G645&amp;")"))</f>
        <v>No</v>
      </c>
      <c r="H645" s="28" t="str">
        <f aca="false">IF(Data!H645="","",IFERROR(VLOOKUP(Data!H645,Codes!$A$23:$B$25,2,FALSE()),"Invalid ("&amp;Data!H645&amp;")"))</f>
        <v>Left ventricular hypertrophy</v>
      </c>
      <c r="I645" s="20" t="n">
        <f aca="false">IF(Data!I645="","",Data!I645)</f>
        <v>135</v>
      </c>
      <c r="J645" s="28" t="str">
        <f aca="false">IF(Data!J645="","",IFERROR(VLOOKUP(Data!J645,Codes!$A$29:$B$30,2,FALSE()),"Invalid ("&amp;Data!J645&amp;")"))</f>
        <v>Yes</v>
      </c>
      <c r="K645" s="21" t="n">
        <f aca="false">IF(Data!K645="","",Data!K645)</f>
        <v>1</v>
      </c>
      <c r="L645" s="28" t="str">
        <f aca="false">IF(Data!L645="","",IFERROR(VLOOKUP(Data!L645,Codes!$A$34:$B$36,2,FALSE()),"Invalid ("&amp;Data!L645&amp;")"))</f>
        <v>Flat</v>
      </c>
      <c r="M645" s="20" t="str">
        <f aca="false">IF(Data!M645="","",Data!M645)</f>
        <v/>
      </c>
      <c r="N645" s="28" t="str">
        <f aca="false">IF(Data!N645="","",IFERROR(VLOOKUP(Data!N645,Codes!$A$47:$B$49,2,FALSE()),"Invalid ("&amp;Data!N645&amp;")"))</f>
        <v>Reversible defect</v>
      </c>
      <c r="O645" s="28" t="str">
        <f aca="false">IF(Data!O645="","",IFERROR(VLOOKUP(Data!O645,Codes!$A$53:$B$57,2,FALSE()),"Invalid ("&amp;Data!O645&amp;")"))</f>
        <v>Disease (2)</v>
      </c>
      <c r="P645" s="22" t="str">
        <f aca="false">IF(Data!P645="","",IFERROR(VLOOKUP(Data!P645,Codes!$A$61:$B$64,2,FALSE()),"Invalid ("&amp;Data!P645&amp;")"))</f>
        <v>University Hospitals, Zurich &amp; Basel</v>
      </c>
    </row>
    <row r="646" customFormat="false" ht="15" hidden="false" customHeight="false" outlineLevel="0" collapsed="false">
      <c r="A646" s="19" t="n">
        <f aca="false">Data!A646</f>
        <v>645</v>
      </c>
      <c r="B646" s="20" t="n">
        <f aca="false">IF(Data!B646="","",Data!B646)</f>
        <v>53</v>
      </c>
      <c r="C646" s="28" t="str">
        <f aca="false">IF(Data!C646="","",IFERROR(VLOOKUP(Data!C646,Codes!$A$6:$B$7,2,FALSE()),"Invalid ("&amp;Data!C646&amp;")"))</f>
        <v>Male</v>
      </c>
      <c r="D646" s="28" t="str">
        <f aca="false">IF(Data!D646="","",IFERROR(VLOOKUP(Data!D646,Codes!$A$11:$B$14,2,FALSE()),"Invalid ("&amp;Data!D646&amp;")"))</f>
        <v>Asymptomatic</v>
      </c>
      <c r="E646" s="20" t="n">
        <f aca="false">IF(Data!E646="","",Data!E646)</f>
        <v>80</v>
      </c>
      <c r="F646" s="20" t="n">
        <f aca="false">IF(Data!F646="","",Data!F646)</f>
        <v>0</v>
      </c>
      <c r="G646" s="28" t="str">
        <f aca="false">IF(Data!G646="","",IFERROR(VLOOKUP(Data!G646,Codes!$A$18:$B$19,2,FALSE()),"Invalid ("&amp;Data!G646&amp;")"))</f>
        <v/>
      </c>
      <c r="H646" s="28" t="str">
        <f aca="false">IF(Data!H646="","",IFERROR(VLOOKUP(Data!H646,Codes!$A$23:$B$25,2,FALSE()),"Invalid ("&amp;Data!H646&amp;")"))</f>
        <v>Normal</v>
      </c>
      <c r="I646" s="20" t="n">
        <f aca="false">IF(Data!I646="","",Data!I646)</f>
        <v>141</v>
      </c>
      <c r="J646" s="28" t="str">
        <f aca="false">IF(Data!J646="","",IFERROR(VLOOKUP(Data!J646,Codes!$A$29:$B$30,2,FALSE()),"Invalid ("&amp;Data!J646&amp;")"))</f>
        <v>Yes</v>
      </c>
      <c r="K646" s="21" t="n">
        <f aca="false">IF(Data!K646="","",Data!K646)</f>
        <v>2</v>
      </c>
      <c r="L646" s="28" t="str">
        <f aca="false">IF(Data!L646="","",IFERROR(VLOOKUP(Data!L646,Codes!$A$34:$B$36,2,FALSE()),"Invalid ("&amp;Data!L646&amp;")"))</f>
        <v>Downsloping</v>
      </c>
      <c r="M646" s="20" t="str">
        <f aca="false">IF(Data!M646="","",Data!M646)</f>
        <v/>
      </c>
      <c r="N646" s="28" t="str">
        <f aca="false">IF(Data!N646="","",IFERROR(VLOOKUP(Data!N646,Codes!$A$47:$B$49,2,FALSE()),"Invalid ("&amp;Data!N646&amp;")"))</f>
        <v/>
      </c>
      <c r="O646" s="28" t="str">
        <f aca="false">IF(Data!O646="","",IFERROR(VLOOKUP(Data!O646,Codes!$A$53:$B$57,2,FALSE()),"Invalid ("&amp;Data!O646&amp;")"))</f>
        <v>No disease</v>
      </c>
      <c r="P646" s="22" t="str">
        <f aca="false">IF(Data!P646="","",IFERROR(VLOOKUP(Data!P646,Codes!$A$61:$B$64,2,FALSE()),"Invalid ("&amp;Data!P646&amp;")"))</f>
        <v>University Hospitals, Zurich &amp; Basel</v>
      </c>
    </row>
    <row r="647" customFormat="false" ht="15" hidden="false" customHeight="false" outlineLevel="0" collapsed="false">
      <c r="A647" s="19" t="n">
        <f aca="false">Data!A647</f>
        <v>646</v>
      </c>
      <c r="B647" s="20" t="n">
        <f aca="false">IF(Data!B647="","",Data!B647)</f>
        <v>54</v>
      </c>
      <c r="C647" s="28" t="str">
        <f aca="false">IF(Data!C647="","",IFERROR(VLOOKUP(Data!C647,Codes!$A$6:$B$7,2,FALSE()),"Invalid ("&amp;Data!C647&amp;")"))</f>
        <v>Male</v>
      </c>
      <c r="D647" s="28" t="str">
        <f aca="false">IF(Data!D647="","",IFERROR(VLOOKUP(Data!D647,Codes!$A$11:$B$14,2,FALSE()),"Invalid ("&amp;Data!D647&amp;")"))</f>
        <v>Asymptomatic</v>
      </c>
      <c r="E647" s="20" t="n">
        <f aca="false">IF(Data!E647="","",Data!E647)</f>
        <v>120</v>
      </c>
      <c r="F647" s="20" t="n">
        <f aca="false">IF(Data!F647="","",Data!F647)</f>
        <v>0</v>
      </c>
      <c r="G647" s="28" t="str">
        <f aca="false">IF(Data!G647="","",IFERROR(VLOOKUP(Data!G647,Codes!$A$18:$B$19,2,FALSE()),"Invalid ("&amp;Data!G647&amp;")"))</f>
        <v>No</v>
      </c>
      <c r="H647" s="28" t="str">
        <f aca="false">IF(Data!H647="","",IFERROR(VLOOKUP(Data!H647,Codes!$A$23:$B$25,2,FALSE()),"Invalid ("&amp;Data!H647&amp;")"))</f>
        <v>Normal</v>
      </c>
      <c r="I647" s="20" t="n">
        <f aca="false">IF(Data!I647="","",Data!I647)</f>
        <v>155</v>
      </c>
      <c r="J647" s="28" t="str">
        <f aca="false">IF(Data!J647="","",IFERROR(VLOOKUP(Data!J647,Codes!$A$29:$B$30,2,FALSE()),"Invalid ("&amp;Data!J647&amp;")"))</f>
        <v>No</v>
      </c>
      <c r="K647" s="21" t="n">
        <f aca="false">IF(Data!K647="","",Data!K647)</f>
        <v>0</v>
      </c>
      <c r="L647" s="28" t="str">
        <f aca="false">IF(Data!L647="","",IFERROR(VLOOKUP(Data!L647,Codes!$A$34:$B$36,2,FALSE()),"Invalid ("&amp;Data!L647&amp;")"))</f>
        <v>Flat</v>
      </c>
      <c r="M647" s="20" t="str">
        <f aca="false">IF(Data!M647="","",Data!M647)</f>
        <v/>
      </c>
      <c r="N647" s="28" t="str">
        <f aca="false">IF(Data!N647="","",IFERROR(VLOOKUP(Data!N647,Codes!$A$47:$B$49,2,FALSE()),"Invalid ("&amp;Data!N647&amp;")"))</f>
        <v>Reversible defect</v>
      </c>
      <c r="O647" s="28" t="str">
        <f aca="false">IF(Data!O647="","",IFERROR(VLOOKUP(Data!O647,Codes!$A$53:$B$57,2,FALSE()),"Invalid ("&amp;Data!O647&amp;")"))</f>
        <v>Disease (2)</v>
      </c>
      <c r="P647" s="22" t="str">
        <f aca="false">IF(Data!P647="","",IFERROR(VLOOKUP(Data!P647,Codes!$A$61:$B$64,2,FALSE()),"Invalid ("&amp;Data!P647&amp;")"))</f>
        <v>University Hospitals, Zurich &amp; Basel</v>
      </c>
    </row>
    <row r="648" customFormat="false" ht="15" hidden="false" customHeight="false" outlineLevel="0" collapsed="false">
      <c r="A648" s="19" t="n">
        <f aca="false">Data!A648</f>
        <v>647</v>
      </c>
      <c r="B648" s="20" t="n">
        <f aca="false">IF(Data!B648="","",Data!B648)</f>
        <v>54</v>
      </c>
      <c r="C648" s="28" t="str">
        <f aca="false">IF(Data!C648="","",IFERROR(VLOOKUP(Data!C648,Codes!$A$6:$B$7,2,FALSE()),"Invalid ("&amp;Data!C648&amp;")"))</f>
        <v>Male</v>
      </c>
      <c r="D648" s="28" t="str">
        <f aca="false">IF(Data!D648="","",IFERROR(VLOOKUP(Data!D648,Codes!$A$11:$B$14,2,FALSE()),"Invalid ("&amp;Data!D648&amp;")"))</f>
        <v>Asymptomatic</v>
      </c>
      <c r="E648" s="20" t="n">
        <f aca="false">IF(Data!E648="","",Data!E648)</f>
        <v>130</v>
      </c>
      <c r="F648" s="20" t="n">
        <f aca="false">IF(Data!F648="","",Data!F648)</f>
        <v>0</v>
      </c>
      <c r="G648" s="28" t="str">
        <f aca="false">IF(Data!G648="","",IFERROR(VLOOKUP(Data!G648,Codes!$A$18:$B$19,2,FALSE()),"Invalid ("&amp;Data!G648&amp;")"))</f>
        <v/>
      </c>
      <c r="H648" s="28" t="str">
        <f aca="false">IF(Data!H648="","",IFERROR(VLOOKUP(Data!H648,Codes!$A$23:$B$25,2,FALSE()),"Invalid ("&amp;Data!H648&amp;")"))</f>
        <v>Normal</v>
      </c>
      <c r="I648" s="20" t="n">
        <f aca="false">IF(Data!I648="","",Data!I648)</f>
        <v>110</v>
      </c>
      <c r="J648" s="28" t="str">
        <f aca="false">IF(Data!J648="","",IFERROR(VLOOKUP(Data!J648,Codes!$A$29:$B$30,2,FALSE()),"Invalid ("&amp;Data!J648&amp;")"))</f>
        <v>Yes</v>
      </c>
      <c r="K648" s="21" t="n">
        <f aca="false">IF(Data!K648="","",Data!K648)</f>
        <v>3</v>
      </c>
      <c r="L648" s="28" t="str">
        <f aca="false">IF(Data!L648="","",IFERROR(VLOOKUP(Data!L648,Codes!$A$34:$B$36,2,FALSE()),"Invalid ("&amp;Data!L648&amp;")"))</f>
        <v>Flat</v>
      </c>
      <c r="M648" s="20" t="str">
        <f aca="false">IF(Data!M648="","",Data!M648)</f>
        <v/>
      </c>
      <c r="N648" s="28" t="str">
        <f aca="false">IF(Data!N648="","",IFERROR(VLOOKUP(Data!N648,Codes!$A$47:$B$49,2,FALSE()),"Invalid ("&amp;Data!N648&amp;")"))</f>
        <v>Reversible defect</v>
      </c>
      <c r="O648" s="28" t="str">
        <f aca="false">IF(Data!O648="","",IFERROR(VLOOKUP(Data!O648,Codes!$A$53:$B$57,2,FALSE()),"Invalid ("&amp;Data!O648&amp;")"))</f>
        <v>Disease (3)</v>
      </c>
      <c r="P648" s="22" t="str">
        <f aca="false">IF(Data!P648="","",IFERROR(VLOOKUP(Data!P648,Codes!$A$61:$B$64,2,FALSE()),"Invalid ("&amp;Data!P648&amp;")"))</f>
        <v>University Hospitals, Zurich &amp; Basel</v>
      </c>
    </row>
    <row r="649" customFormat="false" ht="15" hidden="false" customHeight="false" outlineLevel="0" collapsed="false">
      <c r="A649" s="19" t="n">
        <f aca="false">Data!A649</f>
        <v>648</v>
      </c>
      <c r="B649" s="20" t="n">
        <f aca="false">IF(Data!B649="","",Data!B649)</f>
        <v>54</v>
      </c>
      <c r="C649" s="28" t="str">
        <f aca="false">IF(Data!C649="","",IFERROR(VLOOKUP(Data!C649,Codes!$A$6:$B$7,2,FALSE()),"Invalid ("&amp;Data!C649&amp;")"))</f>
        <v>Male</v>
      </c>
      <c r="D649" s="28" t="str">
        <f aca="false">IF(Data!D649="","",IFERROR(VLOOKUP(Data!D649,Codes!$A$11:$B$14,2,FALSE()),"Invalid ("&amp;Data!D649&amp;")"))</f>
        <v>Asymptomatic</v>
      </c>
      <c r="E649" s="20" t="n">
        <f aca="false">IF(Data!E649="","",Data!E649)</f>
        <v>180</v>
      </c>
      <c r="F649" s="20" t="n">
        <f aca="false">IF(Data!F649="","",Data!F649)</f>
        <v>0</v>
      </c>
      <c r="G649" s="28" t="str">
        <f aca="false">IF(Data!G649="","",IFERROR(VLOOKUP(Data!G649,Codes!$A$18:$B$19,2,FALSE()),"Invalid ("&amp;Data!G649&amp;")"))</f>
        <v/>
      </c>
      <c r="H649" s="28" t="str">
        <f aca="false">IF(Data!H649="","",IFERROR(VLOOKUP(Data!H649,Codes!$A$23:$B$25,2,FALSE()),"Invalid ("&amp;Data!H649&amp;")"))</f>
        <v>Normal</v>
      </c>
      <c r="I649" s="20" t="n">
        <f aca="false">IF(Data!I649="","",Data!I649)</f>
        <v>150</v>
      </c>
      <c r="J649" s="28" t="str">
        <f aca="false">IF(Data!J649="","",IFERROR(VLOOKUP(Data!J649,Codes!$A$29:$B$30,2,FALSE()),"Invalid ("&amp;Data!J649&amp;")"))</f>
        <v>No</v>
      </c>
      <c r="K649" s="21" t="n">
        <f aca="false">IF(Data!K649="","",Data!K649)</f>
        <v>1.5</v>
      </c>
      <c r="L649" s="28" t="str">
        <f aca="false">IF(Data!L649="","",IFERROR(VLOOKUP(Data!L649,Codes!$A$34:$B$36,2,FALSE()),"Invalid ("&amp;Data!L649&amp;")"))</f>
        <v>Flat</v>
      </c>
      <c r="M649" s="20" t="str">
        <f aca="false">IF(Data!M649="","",Data!M649)</f>
        <v/>
      </c>
      <c r="N649" s="28" t="str">
        <f aca="false">IF(Data!N649="","",IFERROR(VLOOKUP(Data!N649,Codes!$A$47:$B$49,2,FALSE()),"Invalid ("&amp;Data!N649&amp;")"))</f>
        <v>Reversible defect</v>
      </c>
      <c r="O649" s="28" t="str">
        <f aca="false">IF(Data!O649="","",IFERROR(VLOOKUP(Data!O649,Codes!$A$53:$B$57,2,FALSE()),"Invalid ("&amp;Data!O649&amp;")"))</f>
        <v>Disease (1)</v>
      </c>
      <c r="P649" s="22" t="str">
        <f aca="false">IF(Data!P649="","",IFERROR(VLOOKUP(Data!P649,Codes!$A$61:$B$64,2,FALSE()),"Invalid ("&amp;Data!P649&amp;")"))</f>
        <v>University Hospitals, Zurich &amp; Basel</v>
      </c>
    </row>
    <row r="650" customFormat="false" ht="15" hidden="false" customHeight="false" outlineLevel="0" collapsed="false">
      <c r="A650" s="19" t="n">
        <f aca="false">Data!A650</f>
        <v>649</v>
      </c>
      <c r="B650" s="20" t="n">
        <f aca="false">IF(Data!B650="","",Data!B650)</f>
        <v>55</v>
      </c>
      <c r="C650" s="28" t="str">
        <f aca="false">IF(Data!C650="","",IFERROR(VLOOKUP(Data!C650,Codes!$A$6:$B$7,2,FALSE()),"Invalid ("&amp;Data!C650&amp;")"))</f>
        <v>Male</v>
      </c>
      <c r="D650" s="28" t="str">
        <f aca="false">IF(Data!D650="","",IFERROR(VLOOKUP(Data!D650,Codes!$A$11:$B$14,2,FALSE()),"Invalid ("&amp;Data!D650&amp;")"))</f>
        <v>Atypical angina</v>
      </c>
      <c r="E650" s="20" t="n">
        <f aca="false">IF(Data!E650="","",Data!E650)</f>
        <v>140</v>
      </c>
      <c r="F650" s="20" t="n">
        <f aca="false">IF(Data!F650="","",Data!F650)</f>
        <v>0</v>
      </c>
      <c r="G650" s="28" t="str">
        <f aca="false">IF(Data!G650="","",IFERROR(VLOOKUP(Data!G650,Codes!$A$18:$B$19,2,FALSE()),"Invalid ("&amp;Data!G650&amp;")"))</f>
        <v/>
      </c>
      <c r="H650" s="28" t="str">
        <f aca="false">IF(Data!H650="","",IFERROR(VLOOKUP(Data!H650,Codes!$A$23:$B$25,2,FALSE()),"Invalid ("&amp;Data!H650&amp;")"))</f>
        <v>ST-T wave abnormality</v>
      </c>
      <c r="I650" s="20" t="n">
        <f aca="false">IF(Data!I650="","",Data!I650)</f>
        <v>150</v>
      </c>
      <c r="J650" s="28" t="str">
        <f aca="false">IF(Data!J650="","",IFERROR(VLOOKUP(Data!J650,Codes!$A$29:$B$30,2,FALSE()),"Invalid ("&amp;Data!J650&amp;")"))</f>
        <v>No</v>
      </c>
      <c r="K650" s="21" t="n">
        <f aca="false">IF(Data!K650="","",Data!K650)</f>
        <v>0.2</v>
      </c>
      <c r="L650" s="28" t="str">
        <f aca="false">IF(Data!L650="","",IFERROR(VLOOKUP(Data!L650,Codes!$A$34:$B$36,2,FALSE()),"Invalid ("&amp;Data!L650&amp;")"))</f>
        <v>Upsloping</v>
      </c>
      <c r="M650" s="20" t="str">
        <f aca="false">IF(Data!M650="","",Data!M650)</f>
        <v/>
      </c>
      <c r="N650" s="28" t="str">
        <f aca="false">IF(Data!N650="","",IFERROR(VLOOKUP(Data!N650,Codes!$A$47:$B$49,2,FALSE()),"Invalid ("&amp;Data!N650&amp;")"))</f>
        <v/>
      </c>
      <c r="O650" s="28" t="str">
        <f aca="false">IF(Data!O650="","",IFERROR(VLOOKUP(Data!O650,Codes!$A$53:$B$57,2,FALSE()),"Invalid ("&amp;Data!O650&amp;")"))</f>
        <v>No disease</v>
      </c>
      <c r="P650" s="22" t="str">
        <f aca="false">IF(Data!P650="","",IFERROR(VLOOKUP(Data!P650,Codes!$A$61:$B$64,2,FALSE()),"Invalid ("&amp;Data!P650&amp;")"))</f>
        <v>University Hospitals, Zurich &amp; Basel</v>
      </c>
    </row>
    <row r="651" customFormat="false" ht="15" hidden="false" customHeight="false" outlineLevel="0" collapsed="false">
      <c r="A651" s="19" t="n">
        <f aca="false">Data!A651</f>
        <v>650</v>
      </c>
      <c r="B651" s="20" t="n">
        <f aca="false">IF(Data!B651="","",Data!B651)</f>
        <v>55</v>
      </c>
      <c r="C651" s="28" t="str">
        <f aca="false">IF(Data!C651="","",IFERROR(VLOOKUP(Data!C651,Codes!$A$6:$B$7,2,FALSE()),"Invalid ("&amp;Data!C651&amp;")"))</f>
        <v>Male</v>
      </c>
      <c r="D651" s="28" t="str">
        <f aca="false">IF(Data!D651="","",IFERROR(VLOOKUP(Data!D651,Codes!$A$11:$B$14,2,FALSE()),"Invalid ("&amp;Data!D651&amp;")"))</f>
        <v>Asymptomatic</v>
      </c>
      <c r="E651" s="20" t="n">
        <f aca="false">IF(Data!E651="","",Data!E651)</f>
        <v>115</v>
      </c>
      <c r="F651" s="20" t="n">
        <f aca="false">IF(Data!F651="","",Data!F651)</f>
        <v>0</v>
      </c>
      <c r="G651" s="28" t="str">
        <f aca="false">IF(Data!G651="","",IFERROR(VLOOKUP(Data!G651,Codes!$A$18:$B$19,2,FALSE()),"Invalid ("&amp;Data!G651&amp;")"))</f>
        <v/>
      </c>
      <c r="H651" s="28" t="str">
        <f aca="false">IF(Data!H651="","",IFERROR(VLOOKUP(Data!H651,Codes!$A$23:$B$25,2,FALSE()),"Invalid ("&amp;Data!H651&amp;")"))</f>
        <v>Normal</v>
      </c>
      <c r="I651" s="20" t="n">
        <f aca="false">IF(Data!I651="","",Data!I651)</f>
        <v>155</v>
      </c>
      <c r="J651" s="28" t="str">
        <f aca="false">IF(Data!J651="","",IFERROR(VLOOKUP(Data!J651,Codes!$A$29:$B$30,2,FALSE()),"Invalid ("&amp;Data!J651&amp;")"))</f>
        <v>No</v>
      </c>
      <c r="K651" s="21" t="n">
        <f aca="false">IF(Data!K651="","",Data!K651)</f>
        <v>0.1</v>
      </c>
      <c r="L651" s="28" t="str">
        <f aca="false">IF(Data!L651="","",IFERROR(VLOOKUP(Data!L651,Codes!$A$34:$B$36,2,FALSE()),"Invalid ("&amp;Data!L651&amp;")"))</f>
        <v>Flat</v>
      </c>
      <c r="M651" s="20" t="str">
        <f aca="false">IF(Data!M651="","",Data!M651)</f>
        <v/>
      </c>
      <c r="N651" s="28" t="str">
        <f aca="false">IF(Data!N651="","",IFERROR(VLOOKUP(Data!N651,Codes!$A$47:$B$49,2,FALSE()),"Invalid ("&amp;Data!N651&amp;")"))</f>
        <v/>
      </c>
      <c r="O651" s="28" t="str">
        <f aca="false">IF(Data!O651="","",IFERROR(VLOOKUP(Data!O651,Codes!$A$53:$B$57,2,FALSE()),"Invalid ("&amp;Data!O651&amp;")"))</f>
        <v>Disease (1)</v>
      </c>
      <c r="P651" s="22" t="str">
        <f aca="false">IF(Data!P651="","",IFERROR(VLOOKUP(Data!P651,Codes!$A$61:$B$64,2,FALSE()),"Invalid ("&amp;Data!P651&amp;")"))</f>
        <v>University Hospitals, Zurich &amp; Basel</v>
      </c>
    </row>
    <row r="652" customFormat="false" ht="15" hidden="false" customHeight="false" outlineLevel="0" collapsed="false">
      <c r="A652" s="19" t="n">
        <f aca="false">Data!A652</f>
        <v>651</v>
      </c>
      <c r="B652" s="20" t="n">
        <f aca="false">IF(Data!B652="","",Data!B652)</f>
        <v>55</v>
      </c>
      <c r="C652" s="28" t="str">
        <f aca="false">IF(Data!C652="","",IFERROR(VLOOKUP(Data!C652,Codes!$A$6:$B$7,2,FALSE()),"Invalid ("&amp;Data!C652&amp;")"))</f>
        <v>Male</v>
      </c>
      <c r="D652" s="28" t="str">
        <f aca="false">IF(Data!D652="","",IFERROR(VLOOKUP(Data!D652,Codes!$A$11:$B$14,2,FALSE()),"Invalid ("&amp;Data!D652&amp;")"))</f>
        <v>Asymptomatic</v>
      </c>
      <c r="E652" s="20" t="n">
        <f aca="false">IF(Data!E652="","",Data!E652)</f>
        <v>120</v>
      </c>
      <c r="F652" s="20" t="n">
        <f aca="false">IF(Data!F652="","",Data!F652)</f>
        <v>0</v>
      </c>
      <c r="G652" s="28" t="str">
        <f aca="false">IF(Data!G652="","",IFERROR(VLOOKUP(Data!G652,Codes!$A$18:$B$19,2,FALSE()),"Invalid ("&amp;Data!G652&amp;")"))</f>
        <v>No</v>
      </c>
      <c r="H652" s="28" t="str">
        <f aca="false">IF(Data!H652="","",IFERROR(VLOOKUP(Data!H652,Codes!$A$23:$B$25,2,FALSE()),"Invalid ("&amp;Data!H652&amp;")"))</f>
        <v>ST-T wave abnormality</v>
      </c>
      <c r="I652" s="20" t="n">
        <f aca="false">IF(Data!I652="","",Data!I652)</f>
        <v>92</v>
      </c>
      <c r="J652" s="28" t="str">
        <f aca="false">IF(Data!J652="","",IFERROR(VLOOKUP(Data!J652,Codes!$A$29:$B$30,2,FALSE()),"Invalid ("&amp;Data!J652&amp;")"))</f>
        <v>No</v>
      </c>
      <c r="K652" s="21" t="n">
        <f aca="false">IF(Data!K652="","",Data!K652)</f>
        <v>0.3</v>
      </c>
      <c r="L652" s="28" t="str">
        <f aca="false">IF(Data!L652="","",IFERROR(VLOOKUP(Data!L652,Codes!$A$34:$B$36,2,FALSE()),"Invalid ("&amp;Data!L652&amp;")"))</f>
        <v>Upsloping</v>
      </c>
      <c r="M652" s="20" t="str">
        <f aca="false">IF(Data!M652="","",Data!M652)</f>
        <v/>
      </c>
      <c r="N652" s="28" t="str">
        <f aca="false">IF(Data!N652="","",IFERROR(VLOOKUP(Data!N652,Codes!$A$47:$B$49,2,FALSE()),"Invalid ("&amp;Data!N652&amp;")"))</f>
        <v>Reversible defect</v>
      </c>
      <c r="O652" s="28" t="str">
        <f aca="false">IF(Data!O652="","",IFERROR(VLOOKUP(Data!O652,Codes!$A$53:$B$57,2,FALSE()),"Invalid ("&amp;Data!O652&amp;")"))</f>
        <v>Disease (4)</v>
      </c>
      <c r="P652" s="22" t="str">
        <f aca="false">IF(Data!P652="","",IFERROR(VLOOKUP(Data!P652,Codes!$A$61:$B$64,2,FALSE()),"Invalid ("&amp;Data!P652&amp;")"))</f>
        <v>University Hospitals, Zurich &amp; Basel</v>
      </c>
    </row>
    <row r="653" customFormat="false" ht="15" hidden="false" customHeight="false" outlineLevel="0" collapsed="false">
      <c r="A653" s="19" t="n">
        <f aca="false">Data!A653</f>
        <v>652</v>
      </c>
      <c r="B653" s="20" t="n">
        <f aca="false">IF(Data!B653="","",Data!B653)</f>
        <v>55</v>
      </c>
      <c r="C653" s="28" t="str">
        <f aca="false">IF(Data!C653="","",IFERROR(VLOOKUP(Data!C653,Codes!$A$6:$B$7,2,FALSE()),"Invalid ("&amp;Data!C653&amp;")"))</f>
        <v>Male</v>
      </c>
      <c r="D653" s="28" t="str">
        <f aca="false">IF(Data!D653="","",IFERROR(VLOOKUP(Data!D653,Codes!$A$11:$B$14,2,FALSE()),"Invalid ("&amp;Data!D653&amp;")"))</f>
        <v>Asymptomatic</v>
      </c>
      <c r="E653" s="20" t="n">
        <f aca="false">IF(Data!E653="","",Data!E653)</f>
        <v>140</v>
      </c>
      <c r="F653" s="20" t="n">
        <f aca="false">IF(Data!F653="","",Data!F653)</f>
        <v>0</v>
      </c>
      <c r="G653" s="28" t="str">
        <f aca="false">IF(Data!G653="","",IFERROR(VLOOKUP(Data!G653,Codes!$A$18:$B$19,2,FALSE()),"Invalid ("&amp;Data!G653&amp;")"))</f>
        <v>No</v>
      </c>
      <c r="H653" s="28" t="str">
        <f aca="false">IF(Data!H653="","",IFERROR(VLOOKUP(Data!H653,Codes!$A$23:$B$25,2,FALSE()),"Invalid ("&amp;Data!H653&amp;")"))</f>
        <v>Normal</v>
      </c>
      <c r="I653" s="20" t="n">
        <f aca="false">IF(Data!I653="","",Data!I653)</f>
        <v>83</v>
      </c>
      <c r="J653" s="28" t="str">
        <f aca="false">IF(Data!J653="","",IFERROR(VLOOKUP(Data!J653,Codes!$A$29:$B$30,2,FALSE()),"Invalid ("&amp;Data!J653&amp;")"))</f>
        <v>No</v>
      </c>
      <c r="K653" s="21" t="n">
        <f aca="false">IF(Data!K653="","",Data!K653)</f>
        <v>0</v>
      </c>
      <c r="L653" s="28" t="str">
        <f aca="false">IF(Data!L653="","",IFERROR(VLOOKUP(Data!L653,Codes!$A$34:$B$36,2,FALSE()),"Invalid ("&amp;Data!L653&amp;")"))</f>
        <v>Flat</v>
      </c>
      <c r="M653" s="20" t="str">
        <f aca="false">IF(Data!M653="","",Data!M653)</f>
        <v/>
      </c>
      <c r="N653" s="28" t="str">
        <f aca="false">IF(Data!N653="","",IFERROR(VLOOKUP(Data!N653,Codes!$A$47:$B$49,2,FALSE()),"Invalid ("&amp;Data!N653&amp;")"))</f>
        <v>Reversible defect</v>
      </c>
      <c r="O653" s="28" t="str">
        <f aca="false">IF(Data!O653="","",IFERROR(VLOOKUP(Data!O653,Codes!$A$53:$B$57,2,FALSE()),"Invalid ("&amp;Data!O653&amp;")"))</f>
        <v>Disease (2)</v>
      </c>
      <c r="P653" s="22" t="str">
        <f aca="false">IF(Data!P653="","",IFERROR(VLOOKUP(Data!P653,Codes!$A$61:$B$64,2,FALSE()),"Invalid ("&amp;Data!P653&amp;")"))</f>
        <v>University Hospitals, Zurich &amp; Basel</v>
      </c>
    </row>
    <row r="654" customFormat="false" ht="15" hidden="false" customHeight="false" outlineLevel="0" collapsed="false">
      <c r="A654" s="19" t="n">
        <f aca="false">Data!A654</f>
        <v>653</v>
      </c>
      <c r="B654" s="20" t="n">
        <f aca="false">IF(Data!B654="","",Data!B654)</f>
        <v>56</v>
      </c>
      <c r="C654" s="28" t="str">
        <f aca="false">IF(Data!C654="","",IFERROR(VLOOKUP(Data!C654,Codes!$A$6:$B$7,2,FALSE()),"Invalid ("&amp;Data!C654&amp;")"))</f>
        <v>Male</v>
      </c>
      <c r="D654" s="28" t="str">
        <f aca="false">IF(Data!D654="","",IFERROR(VLOOKUP(Data!D654,Codes!$A$11:$B$14,2,FALSE()),"Invalid ("&amp;Data!D654&amp;")"))</f>
        <v>Non-anginal pain</v>
      </c>
      <c r="E654" s="20" t="n">
        <f aca="false">IF(Data!E654="","",Data!E654)</f>
        <v>120</v>
      </c>
      <c r="F654" s="20" t="n">
        <f aca="false">IF(Data!F654="","",Data!F654)</f>
        <v>0</v>
      </c>
      <c r="G654" s="28" t="str">
        <f aca="false">IF(Data!G654="","",IFERROR(VLOOKUP(Data!G654,Codes!$A$18:$B$19,2,FALSE()),"Invalid ("&amp;Data!G654&amp;")"))</f>
        <v>No</v>
      </c>
      <c r="H654" s="28" t="str">
        <f aca="false">IF(Data!H654="","",IFERROR(VLOOKUP(Data!H654,Codes!$A$23:$B$25,2,FALSE()),"Invalid ("&amp;Data!H654&amp;")"))</f>
        <v>Normal</v>
      </c>
      <c r="I654" s="20" t="n">
        <f aca="false">IF(Data!I654="","",Data!I654)</f>
        <v>97</v>
      </c>
      <c r="J654" s="28" t="str">
        <f aca="false">IF(Data!J654="","",IFERROR(VLOOKUP(Data!J654,Codes!$A$29:$B$30,2,FALSE()),"Invalid ("&amp;Data!J654&amp;")"))</f>
        <v>No</v>
      </c>
      <c r="K654" s="21" t="n">
        <f aca="false">IF(Data!K654="","",Data!K654)</f>
        <v>0</v>
      </c>
      <c r="L654" s="28" t="str">
        <f aca="false">IF(Data!L654="","",IFERROR(VLOOKUP(Data!L654,Codes!$A$34:$B$36,2,FALSE()),"Invalid ("&amp;Data!L654&amp;")"))</f>
        <v>Flat</v>
      </c>
      <c r="M654" s="20" t="str">
        <f aca="false">IF(Data!M654="","",Data!M654)</f>
        <v/>
      </c>
      <c r="N654" s="28" t="str">
        <f aca="false">IF(Data!N654="","",IFERROR(VLOOKUP(Data!N654,Codes!$A$47:$B$49,2,FALSE()),"Invalid ("&amp;Data!N654&amp;")"))</f>
        <v>Reversible defect</v>
      </c>
      <c r="O654" s="28" t="str">
        <f aca="false">IF(Data!O654="","",IFERROR(VLOOKUP(Data!O654,Codes!$A$53:$B$57,2,FALSE()),"Invalid ("&amp;Data!O654&amp;")"))</f>
        <v>No disease</v>
      </c>
      <c r="P654" s="22" t="str">
        <f aca="false">IF(Data!P654="","",IFERROR(VLOOKUP(Data!P654,Codes!$A$61:$B$64,2,FALSE()),"Invalid ("&amp;Data!P654&amp;")"))</f>
        <v>University Hospitals, Zurich &amp; Basel</v>
      </c>
    </row>
    <row r="655" customFormat="false" ht="15" hidden="false" customHeight="false" outlineLevel="0" collapsed="false">
      <c r="A655" s="19" t="n">
        <f aca="false">Data!A655</f>
        <v>654</v>
      </c>
      <c r="B655" s="20" t="n">
        <f aca="false">IF(Data!B655="","",Data!B655)</f>
        <v>56</v>
      </c>
      <c r="C655" s="28" t="str">
        <f aca="false">IF(Data!C655="","",IFERROR(VLOOKUP(Data!C655,Codes!$A$6:$B$7,2,FALSE()),"Invalid ("&amp;Data!C655&amp;")"))</f>
        <v>Male</v>
      </c>
      <c r="D655" s="28" t="str">
        <f aca="false">IF(Data!D655="","",IFERROR(VLOOKUP(Data!D655,Codes!$A$11:$B$14,2,FALSE()),"Invalid ("&amp;Data!D655&amp;")"))</f>
        <v>Non-anginal pain</v>
      </c>
      <c r="E655" s="20" t="n">
        <f aca="false">IF(Data!E655="","",Data!E655)</f>
        <v>125</v>
      </c>
      <c r="F655" s="20" t="n">
        <f aca="false">IF(Data!F655="","",Data!F655)</f>
        <v>0</v>
      </c>
      <c r="G655" s="28" t="str">
        <f aca="false">IF(Data!G655="","",IFERROR(VLOOKUP(Data!G655,Codes!$A$18:$B$19,2,FALSE()),"Invalid ("&amp;Data!G655&amp;")"))</f>
        <v/>
      </c>
      <c r="H655" s="28" t="str">
        <f aca="false">IF(Data!H655="","",IFERROR(VLOOKUP(Data!H655,Codes!$A$23:$B$25,2,FALSE()),"Invalid ("&amp;Data!H655&amp;")"))</f>
        <v>Normal</v>
      </c>
      <c r="I655" s="20" t="n">
        <f aca="false">IF(Data!I655="","",Data!I655)</f>
        <v>98</v>
      </c>
      <c r="J655" s="28" t="str">
        <f aca="false">IF(Data!J655="","",IFERROR(VLOOKUP(Data!J655,Codes!$A$29:$B$30,2,FALSE()),"Invalid ("&amp;Data!J655&amp;")"))</f>
        <v>No</v>
      </c>
      <c r="K655" s="21" t="n">
        <f aca="false">IF(Data!K655="","",Data!K655)</f>
        <v>-2</v>
      </c>
      <c r="L655" s="28" t="str">
        <f aca="false">IF(Data!L655="","",IFERROR(VLOOKUP(Data!L655,Codes!$A$34:$B$36,2,FALSE()),"Invalid ("&amp;Data!L655&amp;")"))</f>
        <v>Flat</v>
      </c>
      <c r="M655" s="20" t="str">
        <f aca="false">IF(Data!M655="","",Data!M655)</f>
        <v/>
      </c>
      <c r="N655" s="28" t="str">
        <f aca="false">IF(Data!N655="","",IFERROR(VLOOKUP(Data!N655,Codes!$A$47:$B$49,2,FALSE()),"Invalid ("&amp;Data!N655&amp;")"))</f>
        <v>Reversible defect</v>
      </c>
      <c r="O655" s="28" t="str">
        <f aca="false">IF(Data!O655="","",IFERROR(VLOOKUP(Data!O655,Codes!$A$53:$B$57,2,FALSE()),"Invalid ("&amp;Data!O655&amp;")"))</f>
        <v>Disease (2)</v>
      </c>
      <c r="P655" s="22" t="str">
        <f aca="false">IF(Data!P655="","",IFERROR(VLOOKUP(Data!P655,Codes!$A$61:$B$64,2,FALSE()),"Invalid ("&amp;Data!P655&amp;")"))</f>
        <v>University Hospitals, Zurich &amp; Basel</v>
      </c>
    </row>
    <row r="656" customFormat="false" ht="15" hidden="false" customHeight="false" outlineLevel="0" collapsed="false">
      <c r="A656" s="19" t="n">
        <f aca="false">Data!A656</f>
        <v>655</v>
      </c>
      <c r="B656" s="20" t="n">
        <f aca="false">IF(Data!B656="","",Data!B656)</f>
        <v>56</v>
      </c>
      <c r="C656" s="28" t="str">
        <f aca="false">IF(Data!C656="","",IFERROR(VLOOKUP(Data!C656,Codes!$A$6:$B$7,2,FALSE()),"Invalid ("&amp;Data!C656&amp;")"))</f>
        <v>Male</v>
      </c>
      <c r="D656" s="28" t="str">
        <f aca="false">IF(Data!D656="","",IFERROR(VLOOKUP(Data!D656,Codes!$A$11:$B$14,2,FALSE()),"Invalid ("&amp;Data!D656&amp;")"))</f>
        <v>Non-anginal pain</v>
      </c>
      <c r="E656" s="20" t="n">
        <f aca="false">IF(Data!E656="","",Data!E656)</f>
        <v>155</v>
      </c>
      <c r="F656" s="20" t="n">
        <f aca="false">IF(Data!F656="","",Data!F656)</f>
        <v>0</v>
      </c>
      <c r="G656" s="28" t="str">
        <f aca="false">IF(Data!G656="","",IFERROR(VLOOKUP(Data!G656,Codes!$A$18:$B$19,2,FALSE()),"Invalid ("&amp;Data!G656&amp;")"))</f>
        <v>No</v>
      </c>
      <c r="H656" s="28" t="str">
        <f aca="false">IF(Data!H656="","",IFERROR(VLOOKUP(Data!H656,Codes!$A$23:$B$25,2,FALSE()),"Invalid ("&amp;Data!H656&amp;")"))</f>
        <v>ST-T wave abnormality</v>
      </c>
      <c r="I656" s="20" t="n">
        <f aca="false">IF(Data!I656="","",Data!I656)</f>
        <v>99</v>
      </c>
      <c r="J656" s="28" t="str">
        <f aca="false">IF(Data!J656="","",IFERROR(VLOOKUP(Data!J656,Codes!$A$29:$B$30,2,FALSE()),"Invalid ("&amp;Data!J656&amp;")"))</f>
        <v>No</v>
      </c>
      <c r="K656" s="21" t="n">
        <f aca="false">IF(Data!K656="","",Data!K656)</f>
        <v>0</v>
      </c>
      <c r="L656" s="28" t="str">
        <f aca="false">IF(Data!L656="","",IFERROR(VLOOKUP(Data!L656,Codes!$A$34:$B$36,2,FALSE()),"Invalid ("&amp;Data!L656&amp;")"))</f>
        <v>Flat</v>
      </c>
      <c r="M656" s="20" t="str">
        <f aca="false">IF(Data!M656="","",Data!M656)</f>
        <v/>
      </c>
      <c r="N656" s="28" t="str">
        <f aca="false">IF(Data!N656="","",IFERROR(VLOOKUP(Data!N656,Codes!$A$47:$B$49,2,FALSE()),"Invalid ("&amp;Data!N656&amp;")"))</f>
        <v>Normal</v>
      </c>
      <c r="O656" s="28" t="str">
        <f aca="false">IF(Data!O656="","",IFERROR(VLOOKUP(Data!O656,Codes!$A$53:$B$57,2,FALSE()),"Invalid ("&amp;Data!O656&amp;")"))</f>
        <v>Disease (2)</v>
      </c>
      <c r="P656" s="22" t="str">
        <f aca="false">IF(Data!P656="","",IFERROR(VLOOKUP(Data!P656,Codes!$A$61:$B$64,2,FALSE()),"Invalid ("&amp;Data!P656&amp;")"))</f>
        <v>University Hospitals, Zurich &amp; Basel</v>
      </c>
    </row>
    <row r="657" customFormat="false" ht="15" hidden="false" customHeight="false" outlineLevel="0" collapsed="false">
      <c r="A657" s="19" t="n">
        <f aca="false">Data!A657</f>
        <v>656</v>
      </c>
      <c r="B657" s="20" t="n">
        <f aca="false">IF(Data!B657="","",Data!B657)</f>
        <v>56</v>
      </c>
      <c r="C657" s="28" t="str">
        <f aca="false">IF(Data!C657="","",IFERROR(VLOOKUP(Data!C657,Codes!$A$6:$B$7,2,FALSE()),"Invalid ("&amp;Data!C657&amp;")"))</f>
        <v>Male</v>
      </c>
      <c r="D657" s="28" t="str">
        <f aca="false">IF(Data!D657="","",IFERROR(VLOOKUP(Data!D657,Codes!$A$11:$B$14,2,FALSE()),"Invalid ("&amp;Data!D657&amp;")"))</f>
        <v>Asymptomatic</v>
      </c>
      <c r="E657" s="20" t="n">
        <f aca="false">IF(Data!E657="","",Data!E657)</f>
        <v>115</v>
      </c>
      <c r="F657" s="20" t="n">
        <f aca="false">IF(Data!F657="","",Data!F657)</f>
        <v>0</v>
      </c>
      <c r="G657" s="28" t="str">
        <f aca="false">IF(Data!G657="","",IFERROR(VLOOKUP(Data!G657,Codes!$A$18:$B$19,2,FALSE()),"Invalid ("&amp;Data!G657&amp;")"))</f>
        <v/>
      </c>
      <c r="H657" s="28" t="str">
        <f aca="false">IF(Data!H657="","",IFERROR(VLOOKUP(Data!H657,Codes!$A$23:$B$25,2,FALSE()),"Invalid ("&amp;Data!H657&amp;")"))</f>
        <v>ST-T wave abnormality</v>
      </c>
      <c r="I657" s="20" t="n">
        <f aca="false">IF(Data!I657="","",Data!I657)</f>
        <v>82</v>
      </c>
      <c r="J657" s="28" t="str">
        <f aca="false">IF(Data!J657="","",IFERROR(VLOOKUP(Data!J657,Codes!$A$29:$B$30,2,FALSE()),"Invalid ("&amp;Data!J657&amp;")"))</f>
        <v>No</v>
      </c>
      <c r="K657" s="21" t="n">
        <f aca="false">IF(Data!K657="","",Data!K657)</f>
        <v>-1</v>
      </c>
      <c r="L657" s="28" t="str">
        <f aca="false">IF(Data!L657="","",IFERROR(VLOOKUP(Data!L657,Codes!$A$34:$B$36,2,FALSE()),"Invalid ("&amp;Data!L657&amp;")"))</f>
        <v>Upsloping</v>
      </c>
      <c r="M657" s="20" t="str">
        <f aca="false">IF(Data!M657="","",Data!M657)</f>
        <v/>
      </c>
      <c r="N657" s="28" t="str">
        <f aca="false">IF(Data!N657="","",IFERROR(VLOOKUP(Data!N657,Codes!$A$47:$B$49,2,FALSE()),"Invalid ("&amp;Data!N657&amp;")"))</f>
        <v/>
      </c>
      <c r="O657" s="28" t="str">
        <f aca="false">IF(Data!O657="","",IFERROR(VLOOKUP(Data!O657,Codes!$A$53:$B$57,2,FALSE()),"Invalid ("&amp;Data!O657&amp;")"))</f>
        <v>Disease (1)</v>
      </c>
      <c r="P657" s="22" t="str">
        <f aca="false">IF(Data!P657="","",IFERROR(VLOOKUP(Data!P657,Codes!$A$61:$B$64,2,FALSE()),"Invalid ("&amp;Data!P657&amp;")"))</f>
        <v>University Hospitals, Zurich &amp; Basel</v>
      </c>
    </row>
    <row r="658" customFormat="false" ht="15" hidden="false" customHeight="false" outlineLevel="0" collapsed="false">
      <c r="A658" s="19" t="n">
        <f aca="false">Data!A658</f>
        <v>657</v>
      </c>
      <c r="B658" s="20" t="n">
        <f aca="false">IF(Data!B658="","",Data!B658)</f>
        <v>56</v>
      </c>
      <c r="C658" s="28" t="str">
        <f aca="false">IF(Data!C658="","",IFERROR(VLOOKUP(Data!C658,Codes!$A$6:$B$7,2,FALSE()),"Invalid ("&amp;Data!C658&amp;")"))</f>
        <v>Male</v>
      </c>
      <c r="D658" s="28" t="str">
        <f aca="false">IF(Data!D658="","",IFERROR(VLOOKUP(Data!D658,Codes!$A$11:$B$14,2,FALSE()),"Invalid ("&amp;Data!D658&amp;")"))</f>
        <v>Asymptomatic</v>
      </c>
      <c r="E658" s="20" t="n">
        <f aca="false">IF(Data!E658="","",Data!E658)</f>
        <v>120</v>
      </c>
      <c r="F658" s="20" t="n">
        <f aca="false">IF(Data!F658="","",Data!F658)</f>
        <v>0</v>
      </c>
      <c r="G658" s="28" t="str">
        <f aca="false">IF(Data!G658="","",IFERROR(VLOOKUP(Data!G658,Codes!$A$18:$B$19,2,FALSE()),"Invalid ("&amp;Data!G658&amp;")"))</f>
        <v>No</v>
      </c>
      <c r="H658" s="28" t="str">
        <f aca="false">IF(Data!H658="","",IFERROR(VLOOKUP(Data!H658,Codes!$A$23:$B$25,2,FALSE()),"Invalid ("&amp;Data!H658&amp;")"))</f>
        <v>ST-T wave abnormality</v>
      </c>
      <c r="I658" s="20" t="n">
        <f aca="false">IF(Data!I658="","",Data!I658)</f>
        <v>100</v>
      </c>
      <c r="J658" s="28" t="str">
        <f aca="false">IF(Data!J658="","",IFERROR(VLOOKUP(Data!J658,Codes!$A$29:$B$30,2,FALSE()),"Invalid ("&amp;Data!J658&amp;")"))</f>
        <v>Yes</v>
      </c>
      <c r="K658" s="21" t="n">
        <f aca="false">IF(Data!K658="","",Data!K658)</f>
        <v>-1</v>
      </c>
      <c r="L658" s="28" t="str">
        <f aca="false">IF(Data!L658="","",IFERROR(VLOOKUP(Data!L658,Codes!$A$34:$B$36,2,FALSE()),"Invalid ("&amp;Data!L658&amp;")"))</f>
        <v>Downsloping</v>
      </c>
      <c r="M658" s="20" t="str">
        <f aca="false">IF(Data!M658="","",Data!M658)</f>
        <v/>
      </c>
      <c r="N658" s="28" t="str">
        <f aca="false">IF(Data!N658="","",IFERROR(VLOOKUP(Data!N658,Codes!$A$47:$B$49,2,FALSE()),"Invalid ("&amp;Data!N658&amp;")"))</f>
        <v>Reversible defect</v>
      </c>
      <c r="O658" s="28" t="str">
        <f aca="false">IF(Data!O658="","",IFERROR(VLOOKUP(Data!O658,Codes!$A$53:$B$57,2,FALSE()),"Invalid ("&amp;Data!O658&amp;")"))</f>
        <v>Disease (2)</v>
      </c>
      <c r="P658" s="22" t="str">
        <f aca="false">IF(Data!P658="","",IFERROR(VLOOKUP(Data!P658,Codes!$A$61:$B$64,2,FALSE()),"Invalid ("&amp;Data!P658&amp;")"))</f>
        <v>University Hospitals, Zurich &amp; Basel</v>
      </c>
    </row>
    <row r="659" customFormat="false" ht="15" hidden="false" customHeight="false" outlineLevel="0" collapsed="false">
      <c r="A659" s="19" t="n">
        <f aca="false">Data!A659</f>
        <v>658</v>
      </c>
      <c r="B659" s="20" t="n">
        <f aca="false">IF(Data!B659="","",Data!B659)</f>
        <v>56</v>
      </c>
      <c r="C659" s="28" t="str">
        <f aca="false">IF(Data!C659="","",IFERROR(VLOOKUP(Data!C659,Codes!$A$6:$B$7,2,FALSE()),"Invalid ("&amp;Data!C659&amp;")"))</f>
        <v>Male</v>
      </c>
      <c r="D659" s="28" t="str">
        <f aca="false">IF(Data!D659="","",IFERROR(VLOOKUP(Data!D659,Codes!$A$11:$B$14,2,FALSE()),"Invalid ("&amp;Data!D659&amp;")"))</f>
        <v>Asymptomatic</v>
      </c>
      <c r="E659" s="20" t="n">
        <f aca="false">IF(Data!E659="","",Data!E659)</f>
        <v>120</v>
      </c>
      <c r="F659" s="20" t="n">
        <f aca="false">IF(Data!F659="","",Data!F659)</f>
        <v>0</v>
      </c>
      <c r="G659" s="28" t="str">
        <f aca="false">IF(Data!G659="","",IFERROR(VLOOKUP(Data!G659,Codes!$A$18:$B$19,2,FALSE()),"Invalid ("&amp;Data!G659&amp;")"))</f>
        <v>No</v>
      </c>
      <c r="H659" s="28" t="str">
        <f aca="false">IF(Data!H659="","",IFERROR(VLOOKUP(Data!H659,Codes!$A$23:$B$25,2,FALSE()),"Invalid ("&amp;Data!H659&amp;")"))</f>
        <v>ST-T wave abnormality</v>
      </c>
      <c r="I659" s="20" t="n">
        <f aca="false">IF(Data!I659="","",Data!I659)</f>
        <v>148</v>
      </c>
      <c r="J659" s="28" t="str">
        <f aca="false">IF(Data!J659="","",IFERROR(VLOOKUP(Data!J659,Codes!$A$29:$B$30,2,FALSE()),"Invalid ("&amp;Data!J659&amp;")"))</f>
        <v>No</v>
      </c>
      <c r="K659" s="21" t="n">
        <f aca="false">IF(Data!K659="","",Data!K659)</f>
        <v>0</v>
      </c>
      <c r="L659" s="28" t="str">
        <f aca="false">IF(Data!L659="","",IFERROR(VLOOKUP(Data!L659,Codes!$A$34:$B$36,2,FALSE()),"Invalid ("&amp;Data!L659&amp;")"))</f>
        <v>Flat</v>
      </c>
      <c r="M659" s="20" t="str">
        <f aca="false">IF(Data!M659="","",Data!M659)</f>
        <v/>
      </c>
      <c r="N659" s="28" t="str">
        <f aca="false">IF(Data!N659="","",IFERROR(VLOOKUP(Data!N659,Codes!$A$47:$B$49,2,FALSE()),"Invalid ("&amp;Data!N659&amp;")"))</f>
        <v/>
      </c>
      <c r="O659" s="28" t="str">
        <f aca="false">IF(Data!O659="","",IFERROR(VLOOKUP(Data!O659,Codes!$A$53:$B$57,2,FALSE()),"Invalid ("&amp;Data!O659&amp;")"))</f>
        <v>Disease (2)</v>
      </c>
      <c r="P659" s="22" t="str">
        <f aca="false">IF(Data!P659="","",IFERROR(VLOOKUP(Data!P659,Codes!$A$61:$B$64,2,FALSE()),"Invalid ("&amp;Data!P659&amp;")"))</f>
        <v>University Hospitals, Zurich &amp; Basel</v>
      </c>
    </row>
    <row r="660" customFormat="false" ht="15" hidden="false" customHeight="false" outlineLevel="0" collapsed="false">
      <c r="A660" s="19" t="n">
        <f aca="false">Data!A660</f>
        <v>659</v>
      </c>
      <c r="B660" s="20" t="n">
        <f aca="false">IF(Data!B660="","",Data!B660)</f>
        <v>56</v>
      </c>
      <c r="C660" s="28" t="str">
        <f aca="false">IF(Data!C660="","",IFERROR(VLOOKUP(Data!C660,Codes!$A$6:$B$7,2,FALSE()),"Invalid ("&amp;Data!C660&amp;")"))</f>
        <v>Male</v>
      </c>
      <c r="D660" s="28" t="str">
        <f aca="false">IF(Data!D660="","",IFERROR(VLOOKUP(Data!D660,Codes!$A$11:$B$14,2,FALSE()),"Invalid ("&amp;Data!D660&amp;")"))</f>
        <v>Asymptomatic</v>
      </c>
      <c r="E660" s="20" t="n">
        <f aca="false">IF(Data!E660="","",Data!E660)</f>
        <v>125</v>
      </c>
      <c r="F660" s="20" t="n">
        <f aca="false">IF(Data!F660="","",Data!F660)</f>
        <v>0</v>
      </c>
      <c r="G660" s="28" t="str">
        <f aca="false">IF(Data!G660="","",IFERROR(VLOOKUP(Data!G660,Codes!$A$18:$B$19,2,FALSE()),"Invalid ("&amp;Data!G660&amp;")"))</f>
        <v>Yes</v>
      </c>
      <c r="H660" s="28" t="str">
        <f aca="false">IF(Data!H660="","",IFERROR(VLOOKUP(Data!H660,Codes!$A$23:$B$25,2,FALSE()),"Invalid ("&amp;Data!H660&amp;")"))</f>
        <v>Normal</v>
      </c>
      <c r="I660" s="20" t="n">
        <f aca="false">IF(Data!I660="","",Data!I660)</f>
        <v>103</v>
      </c>
      <c r="J660" s="28" t="str">
        <f aca="false">IF(Data!J660="","",IFERROR(VLOOKUP(Data!J660,Codes!$A$29:$B$30,2,FALSE()),"Invalid ("&amp;Data!J660&amp;")"))</f>
        <v>Yes</v>
      </c>
      <c r="K660" s="21" t="n">
        <f aca="false">IF(Data!K660="","",Data!K660)</f>
        <v>1</v>
      </c>
      <c r="L660" s="28" t="str">
        <f aca="false">IF(Data!L660="","",IFERROR(VLOOKUP(Data!L660,Codes!$A$34:$B$36,2,FALSE()),"Invalid ("&amp;Data!L660&amp;")"))</f>
        <v>Flat</v>
      </c>
      <c r="M660" s="20" t="str">
        <f aca="false">IF(Data!M660="","",Data!M660)</f>
        <v/>
      </c>
      <c r="N660" s="28" t="str">
        <f aca="false">IF(Data!N660="","",IFERROR(VLOOKUP(Data!N660,Codes!$A$47:$B$49,2,FALSE()),"Invalid ("&amp;Data!N660&amp;")"))</f>
        <v>Reversible defect</v>
      </c>
      <c r="O660" s="28" t="str">
        <f aca="false">IF(Data!O660="","",IFERROR(VLOOKUP(Data!O660,Codes!$A$53:$B$57,2,FALSE()),"Invalid ("&amp;Data!O660&amp;")"))</f>
        <v>Disease (3)</v>
      </c>
      <c r="P660" s="22" t="str">
        <f aca="false">IF(Data!P660="","",IFERROR(VLOOKUP(Data!P660,Codes!$A$61:$B$64,2,FALSE()),"Invalid ("&amp;Data!P660&amp;")"))</f>
        <v>University Hospitals, Zurich &amp; Basel</v>
      </c>
    </row>
    <row r="661" customFormat="false" ht="15" hidden="false" customHeight="false" outlineLevel="0" collapsed="false">
      <c r="A661" s="19" t="n">
        <f aca="false">Data!A661</f>
        <v>660</v>
      </c>
      <c r="B661" s="20" t="n">
        <f aca="false">IF(Data!B661="","",Data!B661)</f>
        <v>56</v>
      </c>
      <c r="C661" s="28" t="str">
        <f aca="false">IF(Data!C661="","",IFERROR(VLOOKUP(Data!C661,Codes!$A$6:$B$7,2,FALSE()),"Invalid ("&amp;Data!C661&amp;")"))</f>
        <v>Male</v>
      </c>
      <c r="D661" s="28" t="str">
        <f aca="false">IF(Data!D661="","",IFERROR(VLOOKUP(Data!D661,Codes!$A$11:$B$14,2,FALSE()),"Invalid ("&amp;Data!D661&amp;")"))</f>
        <v>Asymptomatic</v>
      </c>
      <c r="E661" s="20" t="n">
        <f aca="false">IF(Data!E661="","",Data!E661)</f>
        <v>140</v>
      </c>
      <c r="F661" s="20" t="n">
        <f aca="false">IF(Data!F661="","",Data!F661)</f>
        <v>0</v>
      </c>
      <c r="G661" s="28" t="str">
        <f aca="false">IF(Data!G661="","",IFERROR(VLOOKUP(Data!G661,Codes!$A$18:$B$19,2,FALSE()),"Invalid ("&amp;Data!G661&amp;")"))</f>
        <v/>
      </c>
      <c r="H661" s="28" t="str">
        <f aca="false">IF(Data!H661="","",IFERROR(VLOOKUP(Data!H661,Codes!$A$23:$B$25,2,FALSE()),"Invalid ("&amp;Data!H661&amp;")"))</f>
        <v>Normal</v>
      </c>
      <c r="I661" s="20" t="n">
        <f aca="false">IF(Data!I661="","",Data!I661)</f>
        <v>121</v>
      </c>
      <c r="J661" s="28" t="str">
        <f aca="false">IF(Data!J661="","",IFERROR(VLOOKUP(Data!J661,Codes!$A$29:$B$30,2,FALSE()),"Invalid ("&amp;Data!J661&amp;")"))</f>
        <v>Yes</v>
      </c>
      <c r="K661" s="21" t="n">
        <f aca="false">IF(Data!K661="","",Data!K661)</f>
        <v>1.8</v>
      </c>
      <c r="L661" s="28" t="str">
        <f aca="false">IF(Data!L661="","",IFERROR(VLOOKUP(Data!L661,Codes!$A$34:$B$36,2,FALSE()),"Invalid ("&amp;Data!L661&amp;")"))</f>
        <v>Upsloping</v>
      </c>
      <c r="M661" s="20" t="str">
        <f aca="false">IF(Data!M661="","",Data!M661)</f>
        <v/>
      </c>
      <c r="N661" s="28" t="str">
        <f aca="false">IF(Data!N661="","",IFERROR(VLOOKUP(Data!N661,Codes!$A$47:$B$49,2,FALSE()),"Invalid ("&amp;Data!N661&amp;")"))</f>
        <v/>
      </c>
      <c r="O661" s="28" t="str">
        <f aca="false">IF(Data!O661="","",IFERROR(VLOOKUP(Data!O661,Codes!$A$53:$B$57,2,FALSE()),"Invalid ("&amp;Data!O661&amp;")"))</f>
        <v>Disease (1)</v>
      </c>
      <c r="P661" s="22" t="str">
        <f aca="false">IF(Data!P661="","",IFERROR(VLOOKUP(Data!P661,Codes!$A$61:$B$64,2,FALSE()),"Invalid ("&amp;Data!P661&amp;")"))</f>
        <v>University Hospitals, Zurich &amp; Basel</v>
      </c>
    </row>
    <row r="662" customFormat="false" ht="15" hidden="false" customHeight="false" outlineLevel="0" collapsed="false">
      <c r="A662" s="19" t="n">
        <f aca="false">Data!A662</f>
        <v>661</v>
      </c>
      <c r="B662" s="20" t="n">
        <f aca="false">IF(Data!B662="","",Data!B662)</f>
        <v>57</v>
      </c>
      <c r="C662" s="28" t="str">
        <f aca="false">IF(Data!C662="","",IFERROR(VLOOKUP(Data!C662,Codes!$A$6:$B$7,2,FALSE()),"Invalid ("&amp;Data!C662&amp;")"))</f>
        <v>Male</v>
      </c>
      <c r="D662" s="28" t="str">
        <f aca="false">IF(Data!D662="","",IFERROR(VLOOKUP(Data!D662,Codes!$A$11:$B$14,2,FALSE()),"Invalid ("&amp;Data!D662&amp;")"))</f>
        <v>Non-anginal pain</v>
      </c>
      <c r="E662" s="20" t="n">
        <f aca="false">IF(Data!E662="","",Data!E662)</f>
        <v>105</v>
      </c>
      <c r="F662" s="20" t="n">
        <f aca="false">IF(Data!F662="","",Data!F662)</f>
        <v>0</v>
      </c>
      <c r="G662" s="28" t="str">
        <f aca="false">IF(Data!G662="","",IFERROR(VLOOKUP(Data!G662,Codes!$A$18:$B$19,2,FALSE()),"Invalid ("&amp;Data!G662&amp;")"))</f>
        <v/>
      </c>
      <c r="H662" s="28" t="str">
        <f aca="false">IF(Data!H662="","",IFERROR(VLOOKUP(Data!H662,Codes!$A$23:$B$25,2,FALSE()),"Invalid ("&amp;Data!H662&amp;")"))</f>
        <v>Normal</v>
      </c>
      <c r="I662" s="20" t="n">
        <f aca="false">IF(Data!I662="","",Data!I662)</f>
        <v>148</v>
      </c>
      <c r="J662" s="28" t="str">
        <f aca="false">IF(Data!J662="","",IFERROR(VLOOKUP(Data!J662,Codes!$A$29:$B$30,2,FALSE()),"Invalid ("&amp;Data!J662&amp;")"))</f>
        <v>No</v>
      </c>
      <c r="K662" s="21" t="n">
        <f aca="false">IF(Data!K662="","",Data!K662)</f>
        <v>0.3</v>
      </c>
      <c r="L662" s="28" t="str">
        <f aca="false">IF(Data!L662="","",IFERROR(VLOOKUP(Data!L662,Codes!$A$34:$B$36,2,FALSE()),"Invalid ("&amp;Data!L662&amp;")"))</f>
        <v>Flat</v>
      </c>
      <c r="M662" s="20" t="str">
        <f aca="false">IF(Data!M662="","",Data!M662)</f>
        <v/>
      </c>
      <c r="N662" s="28" t="str">
        <f aca="false">IF(Data!N662="","",IFERROR(VLOOKUP(Data!N662,Codes!$A$47:$B$49,2,FALSE()),"Invalid ("&amp;Data!N662&amp;")"))</f>
        <v/>
      </c>
      <c r="O662" s="28" t="str">
        <f aca="false">IF(Data!O662="","",IFERROR(VLOOKUP(Data!O662,Codes!$A$53:$B$57,2,FALSE()),"Invalid ("&amp;Data!O662&amp;")"))</f>
        <v>Disease (1)</v>
      </c>
      <c r="P662" s="22" t="str">
        <f aca="false">IF(Data!P662="","",IFERROR(VLOOKUP(Data!P662,Codes!$A$61:$B$64,2,FALSE()),"Invalid ("&amp;Data!P662&amp;")"))</f>
        <v>University Hospitals, Zurich &amp; Basel</v>
      </c>
    </row>
    <row r="663" customFormat="false" ht="15" hidden="false" customHeight="false" outlineLevel="0" collapsed="false">
      <c r="A663" s="19" t="n">
        <f aca="false">Data!A663</f>
        <v>662</v>
      </c>
      <c r="B663" s="20" t="n">
        <f aca="false">IF(Data!B663="","",Data!B663)</f>
        <v>57</v>
      </c>
      <c r="C663" s="28" t="str">
        <f aca="false">IF(Data!C663="","",IFERROR(VLOOKUP(Data!C663,Codes!$A$6:$B$7,2,FALSE()),"Invalid ("&amp;Data!C663&amp;")"))</f>
        <v>Male</v>
      </c>
      <c r="D663" s="28" t="str">
        <f aca="false">IF(Data!D663="","",IFERROR(VLOOKUP(Data!D663,Codes!$A$11:$B$14,2,FALSE()),"Invalid ("&amp;Data!D663&amp;")"))</f>
        <v>Asymptomatic</v>
      </c>
      <c r="E663" s="20" t="n">
        <f aca="false">IF(Data!E663="","",Data!E663)</f>
        <v>110</v>
      </c>
      <c r="F663" s="20" t="n">
        <f aca="false">IF(Data!F663="","",Data!F663)</f>
        <v>0</v>
      </c>
      <c r="G663" s="28" t="str">
        <f aca="false">IF(Data!G663="","",IFERROR(VLOOKUP(Data!G663,Codes!$A$18:$B$19,2,FALSE()),"Invalid ("&amp;Data!G663&amp;")"))</f>
        <v/>
      </c>
      <c r="H663" s="28" t="str">
        <f aca="false">IF(Data!H663="","",IFERROR(VLOOKUP(Data!H663,Codes!$A$23:$B$25,2,FALSE()),"Invalid ("&amp;Data!H663&amp;")"))</f>
        <v>ST-T wave abnormality</v>
      </c>
      <c r="I663" s="20" t="n">
        <f aca="false">IF(Data!I663="","",Data!I663)</f>
        <v>131</v>
      </c>
      <c r="J663" s="28" t="str">
        <f aca="false">IF(Data!J663="","",IFERROR(VLOOKUP(Data!J663,Codes!$A$29:$B$30,2,FALSE()),"Invalid ("&amp;Data!J663&amp;")"))</f>
        <v>Yes</v>
      </c>
      <c r="K663" s="21" t="n">
        <f aca="false">IF(Data!K663="","",Data!K663)</f>
        <v>1.4</v>
      </c>
      <c r="L663" s="28" t="str">
        <f aca="false">IF(Data!L663="","",IFERROR(VLOOKUP(Data!L663,Codes!$A$34:$B$36,2,FALSE()),"Invalid ("&amp;Data!L663&amp;")"))</f>
        <v>Upsloping</v>
      </c>
      <c r="M663" s="20" t="n">
        <f aca="false">IF(Data!M663="","",Data!M663)</f>
        <v>1</v>
      </c>
      <c r="N663" s="28" t="str">
        <f aca="false">IF(Data!N663="","",IFERROR(VLOOKUP(Data!N663,Codes!$A$47:$B$49,2,FALSE()),"Invalid ("&amp;Data!N663&amp;")"))</f>
        <v/>
      </c>
      <c r="O663" s="28" t="str">
        <f aca="false">IF(Data!O663="","",IFERROR(VLOOKUP(Data!O663,Codes!$A$53:$B$57,2,FALSE()),"Invalid ("&amp;Data!O663&amp;")"))</f>
        <v>Disease (3)</v>
      </c>
      <c r="P663" s="22" t="str">
        <f aca="false">IF(Data!P663="","",IFERROR(VLOOKUP(Data!P663,Codes!$A$61:$B$64,2,FALSE()),"Invalid ("&amp;Data!P663&amp;")"))</f>
        <v>University Hospitals, Zurich &amp; Basel</v>
      </c>
    </row>
    <row r="664" customFormat="false" ht="15" hidden="false" customHeight="false" outlineLevel="0" collapsed="false">
      <c r="A664" s="19" t="n">
        <f aca="false">Data!A664</f>
        <v>663</v>
      </c>
      <c r="B664" s="20" t="n">
        <f aca="false">IF(Data!B664="","",Data!B664)</f>
        <v>57</v>
      </c>
      <c r="C664" s="28" t="str">
        <f aca="false">IF(Data!C664="","",IFERROR(VLOOKUP(Data!C664,Codes!$A$6:$B$7,2,FALSE()),"Invalid ("&amp;Data!C664&amp;")"))</f>
        <v>Male</v>
      </c>
      <c r="D664" s="28" t="str">
        <f aca="false">IF(Data!D664="","",IFERROR(VLOOKUP(Data!D664,Codes!$A$11:$B$14,2,FALSE()),"Invalid ("&amp;Data!D664&amp;")"))</f>
        <v>Asymptomatic</v>
      </c>
      <c r="E664" s="20" t="n">
        <f aca="false">IF(Data!E664="","",Data!E664)</f>
        <v>140</v>
      </c>
      <c r="F664" s="20" t="n">
        <f aca="false">IF(Data!F664="","",Data!F664)</f>
        <v>0</v>
      </c>
      <c r="G664" s="28" t="str">
        <f aca="false">IF(Data!G664="","",IFERROR(VLOOKUP(Data!G664,Codes!$A$18:$B$19,2,FALSE()),"Invalid ("&amp;Data!G664&amp;")"))</f>
        <v>No</v>
      </c>
      <c r="H664" s="28" t="str">
        <f aca="false">IF(Data!H664="","",IFERROR(VLOOKUP(Data!H664,Codes!$A$23:$B$25,2,FALSE()),"Invalid ("&amp;Data!H664&amp;")"))</f>
        <v>Normal</v>
      </c>
      <c r="I664" s="20" t="n">
        <f aca="false">IF(Data!I664="","",Data!I664)</f>
        <v>120</v>
      </c>
      <c r="J664" s="28" t="str">
        <f aca="false">IF(Data!J664="","",IFERROR(VLOOKUP(Data!J664,Codes!$A$29:$B$30,2,FALSE()),"Invalid ("&amp;Data!J664&amp;")"))</f>
        <v>Yes</v>
      </c>
      <c r="K664" s="21" t="n">
        <f aca="false">IF(Data!K664="","",Data!K664)</f>
        <v>2</v>
      </c>
      <c r="L664" s="28" t="str">
        <f aca="false">IF(Data!L664="","",IFERROR(VLOOKUP(Data!L664,Codes!$A$34:$B$36,2,FALSE()),"Invalid ("&amp;Data!L664&amp;")"))</f>
        <v>Flat</v>
      </c>
      <c r="M664" s="20" t="str">
        <f aca="false">IF(Data!M664="","",Data!M664)</f>
        <v/>
      </c>
      <c r="N664" s="28" t="str">
        <f aca="false">IF(Data!N664="","",IFERROR(VLOOKUP(Data!N664,Codes!$A$47:$B$49,2,FALSE()),"Invalid ("&amp;Data!N664&amp;")"))</f>
        <v>Fixed defect</v>
      </c>
      <c r="O664" s="28" t="str">
        <f aca="false">IF(Data!O664="","",IFERROR(VLOOKUP(Data!O664,Codes!$A$53:$B$57,2,FALSE()),"Invalid ("&amp;Data!O664&amp;")"))</f>
        <v>Disease (2)</v>
      </c>
      <c r="P664" s="22" t="str">
        <f aca="false">IF(Data!P664="","",IFERROR(VLOOKUP(Data!P664,Codes!$A$61:$B$64,2,FALSE()),"Invalid ("&amp;Data!P664&amp;")"))</f>
        <v>University Hospitals, Zurich &amp; Basel</v>
      </c>
    </row>
    <row r="665" customFormat="false" ht="15" hidden="false" customHeight="false" outlineLevel="0" collapsed="false">
      <c r="A665" s="19" t="n">
        <f aca="false">Data!A665</f>
        <v>664</v>
      </c>
      <c r="B665" s="20" t="n">
        <f aca="false">IF(Data!B665="","",Data!B665)</f>
        <v>57</v>
      </c>
      <c r="C665" s="28" t="str">
        <f aca="false">IF(Data!C665="","",IFERROR(VLOOKUP(Data!C665,Codes!$A$6:$B$7,2,FALSE()),"Invalid ("&amp;Data!C665&amp;")"))</f>
        <v>Male</v>
      </c>
      <c r="D665" s="28" t="str">
        <f aca="false">IF(Data!D665="","",IFERROR(VLOOKUP(Data!D665,Codes!$A$11:$B$14,2,FALSE()),"Invalid ("&amp;Data!D665&amp;")"))</f>
        <v>Asymptomatic</v>
      </c>
      <c r="E665" s="20" t="n">
        <f aca="false">IF(Data!E665="","",Data!E665)</f>
        <v>140</v>
      </c>
      <c r="F665" s="20" t="n">
        <f aca="false">IF(Data!F665="","",Data!F665)</f>
        <v>0</v>
      </c>
      <c r="G665" s="28" t="str">
        <f aca="false">IF(Data!G665="","",IFERROR(VLOOKUP(Data!G665,Codes!$A$18:$B$19,2,FALSE()),"Invalid ("&amp;Data!G665&amp;")"))</f>
        <v/>
      </c>
      <c r="H665" s="28" t="str">
        <f aca="false">IF(Data!H665="","",IFERROR(VLOOKUP(Data!H665,Codes!$A$23:$B$25,2,FALSE()),"Invalid ("&amp;Data!H665&amp;")"))</f>
        <v>Normal</v>
      </c>
      <c r="I665" s="20" t="n">
        <f aca="false">IF(Data!I665="","",Data!I665)</f>
        <v>100</v>
      </c>
      <c r="J665" s="28" t="str">
        <f aca="false">IF(Data!J665="","",IFERROR(VLOOKUP(Data!J665,Codes!$A$29:$B$30,2,FALSE()),"Invalid ("&amp;Data!J665&amp;")"))</f>
        <v>Yes</v>
      </c>
      <c r="K665" s="21" t="n">
        <f aca="false">IF(Data!K665="","",Data!K665)</f>
        <v>0</v>
      </c>
      <c r="L665" s="28" t="str">
        <f aca="false">IF(Data!L665="","",IFERROR(VLOOKUP(Data!L665,Codes!$A$34:$B$36,2,FALSE()),"Invalid ("&amp;Data!L665&amp;")"))</f>
        <v/>
      </c>
      <c r="M665" s="20" t="str">
        <f aca="false">IF(Data!M665="","",Data!M665)</f>
        <v/>
      </c>
      <c r="N665" s="28" t="str">
        <f aca="false">IF(Data!N665="","",IFERROR(VLOOKUP(Data!N665,Codes!$A$47:$B$49,2,FALSE()),"Invalid ("&amp;Data!N665&amp;")"))</f>
        <v>Fixed defect</v>
      </c>
      <c r="O665" s="28" t="str">
        <f aca="false">IF(Data!O665="","",IFERROR(VLOOKUP(Data!O665,Codes!$A$53:$B$57,2,FALSE()),"Invalid ("&amp;Data!O665&amp;")"))</f>
        <v>Disease (3)</v>
      </c>
      <c r="P665" s="22" t="str">
        <f aca="false">IF(Data!P665="","",IFERROR(VLOOKUP(Data!P665,Codes!$A$61:$B$64,2,FALSE()),"Invalid ("&amp;Data!P665&amp;")"))</f>
        <v>University Hospitals, Zurich &amp; Basel</v>
      </c>
    </row>
    <row r="666" customFormat="false" ht="15" hidden="false" customHeight="false" outlineLevel="0" collapsed="false">
      <c r="A666" s="19" t="n">
        <f aca="false">Data!A666</f>
        <v>665</v>
      </c>
      <c r="B666" s="20" t="n">
        <f aca="false">IF(Data!B666="","",Data!B666)</f>
        <v>57</v>
      </c>
      <c r="C666" s="28" t="str">
        <f aca="false">IF(Data!C666="","",IFERROR(VLOOKUP(Data!C666,Codes!$A$6:$B$7,2,FALSE()),"Invalid ("&amp;Data!C666&amp;")"))</f>
        <v>Male</v>
      </c>
      <c r="D666" s="28" t="str">
        <f aca="false">IF(Data!D666="","",IFERROR(VLOOKUP(Data!D666,Codes!$A$11:$B$14,2,FALSE()),"Invalid ("&amp;Data!D666&amp;")"))</f>
        <v>Asymptomatic</v>
      </c>
      <c r="E666" s="20" t="n">
        <f aca="false">IF(Data!E666="","",Data!E666)</f>
        <v>160</v>
      </c>
      <c r="F666" s="20" t="n">
        <f aca="false">IF(Data!F666="","",Data!F666)</f>
        <v>0</v>
      </c>
      <c r="G666" s="28" t="str">
        <f aca="false">IF(Data!G666="","",IFERROR(VLOOKUP(Data!G666,Codes!$A$18:$B$19,2,FALSE()),"Invalid ("&amp;Data!G666&amp;")"))</f>
        <v/>
      </c>
      <c r="H666" s="28" t="str">
        <f aca="false">IF(Data!H666="","",IFERROR(VLOOKUP(Data!H666,Codes!$A$23:$B$25,2,FALSE()),"Invalid ("&amp;Data!H666&amp;")"))</f>
        <v>Normal</v>
      </c>
      <c r="I666" s="20" t="n">
        <f aca="false">IF(Data!I666="","",Data!I666)</f>
        <v>98</v>
      </c>
      <c r="J666" s="28" t="str">
        <f aca="false">IF(Data!J666="","",IFERROR(VLOOKUP(Data!J666,Codes!$A$29:$B$30,2,FALSE()),"Invalid ("&amp;Data!J666&amp;")"))</f>
        <v>Yes</v>
      </c>
      <c r="K666" s="21" t="n">
        <f aca="false">IF(Data!K666="","",Data!K666)</f>
        <v>2</v>
      </c>
      <c r="L666" s="28" t="str">
        <f aca="false">IF(Data!L666="","",IFERROR(VLOOKUP(Data!L666,Codes!$A$34:$B$36,2,FALSE()),"Invalid ("&amp;Data!L666&amp;")"))</f>
        <v>Flat</v>
      </c>
      <c r="M666" s="20" t="str">
        <f aca="false">IF(Data!M666="","",Data!M666)</f>
        <v/>
      </c>
      <c r="N666" s="28" t="str">
        <f aca="false">IF(Data!N666="","",IFERROR(VLOOKUP(Data!N666,Codes!$A$47:$B$49,2,FALSE()),"Invalid ("&amp;Data!N666&amp;")"))</f>
        <v>Reversible defect</v>
      </c>
      <c r="O666" s="28" t="str">
        <f aca="false">IF(Data!O666="","",IFERROR(VLOOKUP(Data!O666,Codes!$A$53:$B$57,2,FALSE()),"Invalid ("&amp;Data!O666&amp;")"))</f>
        <v>Disease (2)</v>
      </c>
      <c r="P666" s="22" t="str">
        <f aca="false">IF(Data!P666="","",IFERROR(VLOOKUP(Data!P666,Codes!$A$61:$B$64,2,FALSE()),"Invalid ("&amp;Data!P666&amp;")"))</f>
        <v>University Hospitals, Zurich &amp; Basel</v>
      </c>
    </row>
    <row r="667" customFormat="false" ht="15" hidden="false" customHeight="false" outlineLevel="0" collapsed="false">
      <c r="A667" s="19" t="n">
        <f aca="false">Data!A667</f>
        <v>666</v>
      </c>
      <c r="B667" s="20" t="n">
        <f aca="false">IF(Data!B667="","",Data!B667)</f>
        <v>57</v>
      </c>
      <c r="C667" s="28" t="str">
        <f aca="false">IF(Data!C667="","",IFERROR(VLOOKUP(Data!C667,Codes!$A$6:$B$7,2,FALSE()),"Invalid ("&amp;Data!C667&amp;")"))</f>
        <v>Male</v>
      </c>
      <c r="D667" s="28" t="str">
        <f aca="false">IF(Data!D667="","",IFERROR(VLOOKUP(Data!D667,Codes!$A$11:$B$14,2,FALSE()),"Invalid ("&amp;Data!D667&amp;")"))</f>
        <v>Asymptomatic</v>
      </c>
      <c r="E667" s="20" t="n">
        <f aca="false">IF(Data!E667="","",Data!E667)</f>
        <v>95</v>
      </c>
      <c r="F667" s="20" t="n">
        <f aca="false">IF(Data!F667="","",Data!F667)</f>
        <v>0</v>
      </c>
      <c r="G667" s="28" t="str">
        <f aca="false">IF(Data!G667="","",IFERROR(VLOOKUP(Data!G667,Codes!$A$18:$B$19,2,FALSE()),"Invalid ("&amp;Data!G667&amp;")"))</f>
        <v/>
      </c>
      <c r="H667" s="28" t="str">
        <f aca="false">IF(Data!H667="","",IFERROR(VLOOKUP(Data!H667,Codes!$A$23:$B$25,2,FALSE()),"Invalid ("&amp;Data!H667&amp;")"))</f>
        <v>Normal</v>
      </c>
      <c r="I667" s="20" t="n">
        <f aca="false">IF(Data!I667="","",Data!I667)</f>
        <v>182</v>
      </c>
      <c r="J667" s="28" t="str">
        <f aca="false">IF(Data!J667="","",IFERROR(VLOOKUP(Data!J667,Codes!$A$29:$B$30,2,FALSE()),"Invalid ("&amp;Data!J667&amp;")"))</f>
        <v>No</v>
      </c>
      <c r="K667" s="21" t="n">
        <f aca="false">IF(Data!K667="","",Data!K667)</f>
        <v>0.7</v>
      </c>
      <c r="L667" s="28" t="str">
        <f aca="false">IF(Data!L667="","",IFERROR(VLOOKUP(Data!L667,Codes!$A$34:$B$36,2,FALSE()),"Invalid ("&amp;Data!L667&amp;")"))</f>
        <v>Downsloping</v>
      </c>
      <c r="M667" s="20" t="str">
        <f aca="false">IF(Data!M667="","",Data!M667)</f>
        <v/>
      </c>
      <c r="N667" s="28" t="str">
        <f aca="false">IF(Data!N667="","",IFERROR(VLOOKUP(Data!N667,Codes!$A$47:$B$49,2,FALSE()),"Invalid ("&amp;Data!N667&amp;")"))</f>
        <v/>
      </c>
      <c r="O667" s="28" t="str">
        <f aca="false">IF(Data!O667="","",IFERROR(VLOOKUP(Data!O667,Codes!$A$53:$B$57,2,FALSE()),"Invalid ("&amp;Data!O667&amp;")"))</f>
        <v>Disease (1)</v>
      </c>
      <c r="P667" s="22" t="str">
        <f aca="false">IF(Data!P667="","",IFERROR(VLOOKUP(Data!P667,Codes!$A$61:$B$64,2,FALSE()),"Invalid ("&amp;Data!P667&amp;")"))</f>
        <v>University Hospitals, Zurich &amp; Basel</v>
      </c>
    </row>
    <row r="668" customFormat="false" ht="15" hidden="false" customHeight="false" outlineLevel="0" collapsed="false">
      <c r="A668" s="19" t="n">
        <f aca="false">Data!A668</f>
        <v>667</v>
      </c>
      <c r="B668" s="20" t="n">
        <f aca="false">IF(Data!B668="","",Data!B668)</f>
        <v>58</v>
      </c>
      <c r="C668" s="28" t="str">
        <f aca="false">IF(Data!C668="","",IFERROR(VLOOKUP(Data!C668,Codes!$A$6:$B$7,2,FALSE()),"Invalid ("&amp;Data!C668&amp;")"))</f>
        <v>Male</v>
      </c>
      <c r="D668" s="28" t="str">
        <f aca="false">IF(Data!D668="","",IFERROR(VLOOKUP(Data!D668,Codes!$A$11:$B$14,2,FALSE()),"Invalid ("&amp;Data!D668&amp;")"))</f>
        <v>Asymptomatic</v>
      </c>
      <c r="E668" s="20" t="n">
        <f aca="false">IF(Data!E668="","",Data!E668)</f>
        <v>115</v>
      </c>
      <c r="F668" s="20" t="n">
        <f aca="false">IF(Data!F668="","",Data!F668)</f>
        <v>0</v>
      </c>
      <c r="G668" s="28" t="str">
        <f aca="false">IF(Data!G668="","",IFERROR(VLOOKUP(Data!G668,Codes!$A$18:$B$19,2,FALSE()),"Invalid ("&amp;Data!G668&amp;")"))</f>
        <v/>
      </c>
      <c r="H668" s="28" t="str">
        <f aca="false">IF(Data!H668="","",IFERROR(VLOOKUP(Data!H668,Codes!$A$23:$B$25,2,FALSE()),"Invalid ("&amp;Data!H668&amp;")"))</f>
        <v>Normal</v>
      </c>
      <c r="I668" s="20" t="n">
        <f aca="false">IF(Data!I668="","",Data!I668)</f>
        <v>138</v>
      </c>
      <c r="J668" s="28" t="str">
        <f aca="false">IF(Data!J668="","",IFERROR(VLOOKUP(Data!J668,Codes!$A$29:$B$30,2,FALSE()),"Invalid ("&amp;Data!J668&amp;")"))</f>
        <v>No</v>
      </c>
      <c r="K668" s="21" t="n">
        <f aca="false">IF(Data!K668="","",Data!K668)</f>
        <v>0.5</v>
      </c>
      <c r="L668" s="28" t="str">
        <f aca="false">IF(Data!L668="","",IFERROR(VLOOKUP(Data!L668,Codes!$A$34:$B$36,2,FALSE()),"Invalid ("&amp;Data!L668&amp;")"))</f>
        <v>Upsloping</v>
      </c>
      <c r="M668" s="20" t="str">
        <f aca="false">IF(Data!M668="","",Data!M668)</f>
        <v/>
      </c>
      <c r="N668" s="28" t="str">
        <f aca="false">IF(Data!N668="","",IFERROR(VLOOKUP(Data!N668,Codes!$A$47:$B$49,2,FALSE()),"Invalid ("&amp;Data!N668&amp;")"))</f>
        <v/>
      </c>
      <c r="O668" s="28" t="str">
        <f aca="false">IF(Data!O668="","",IFERROR(VLOOKUP(Data!O668,Codes!$A$53:$B$57,2,FALSE()),"Invalid ("&amp;Data!O668&amp;")"))</f>
        <v>Disease (1)</v>
      </c>
      <c r="P668" s="22" t="str">
        <f aca="false">IF(Data!P668="","",IFERROR(VLOOKUP(Data!P668,Codes!$A$61:$B$64,2,FALSE()),"Invalid ("&amp;Data!P668&amp;")"))</f>
        <v>University Hospitals, Zurich &amp; Basel</v>
      </c>
    </row>
    <row r="669" customFormat="false" ht="15" hidden="false" customHeight="false" outlineLevel="0" collapsed="false">
      <c r="A669" s="19" t="n">
        <f aca="false">Data!A669</f>
        <v>668</v>
      </c>
      <c r="B669" s="20" t="n">
        <f aca="false">IF(Data!B669="","",Data!B669)</f>
        <v>58</v>
      </c>
      <c r="C669" s="28" t="str">
        <f aca="false">IF(Data!C669="","",IFERROR(VLOOKUP(Data!C669,Codes!$A$6:$B$7,2,FALSE()),"Invalid ("&amp;Data!C669&amp;")"))</f>
        <v>Male</v>
      </c>
      <c r="D669" s="28" t="str">
        <f aca="false">IF(Data!D669="","",IFERROR(VLOOKUP(Data!D669,Codes!$A$11:$B$14,2,FALSE()),"Invalid ("&amp;Data!D669&amp;")"))</f>
        <v>Asymptomatic</v>
      </c>
      <c r="E669" s="20" t="n">
        <f aca="false">IF(Data!E669="","",Data!E669)</f>
        <v>130</v>
      </c>
      <c r="F669" s="20" t="n">
        <f aca="false">IF(Data!F669="","",Data!F669)</f>
        <v>0</v>
      </c>
      <c r="G669" s="28" t="str">
        <f aca="false">IF(Data!G669="","",IFERROR(VLOOKUP(Data!G669,Codes!$A$18:$B$19,2,FALSE()),"Invalid ("&amp;Data!G669&amp;")"))</f>
        <v>No</v>
      </c>
      <c r="H669" s="28" t="str">
        <f aca="false">IF(Data!H669="","",IFERROR(VLOOKUP(Data!H669,Codes!$A$23:$B$25,2,FALSE()),"Invalid ("&amp;Data!H669&amp;")"))</f>
        <v>ST-T wave abnormality</v>
      </c>
      <c r="I669" s="20" t="n">
        <f aca="false">IF(Data!I669="","",Data!I669)</f>
        <v>100</v>
      </c>
      <c r="J669" s="28" t="str">
        <f aca="false">IF(Data!J669="","",IFERROR(VLOOKUP(Data!J669,Codes!$A$29:$B$30,2,FALSE()),"Invalid ("&amp;Data!J669&amp;")"))</f>
        <v>Yes</v>
      </c>
      <c r="K669" s="21" t="n">
        <f aca="false">IF(Data!K669="","",Data!K669)</f>
        <v>1</v>
      </c>
      <c r="L669" s="28" t="str">
        <f aca="false">IF(Data!L669="","",IFERROR(VLOOKUP(Data!L669,Codes!$A$34:$B$36,2,FALSE()),"Invalid ("&amp;Data!L669&amp;")"))</f>
        <v>Flat</v>
      </c>
      <c r="M669" s="20" t="str">
        <f aca="false">IF(Data!M669="","",Data!M669)</f>
        <v/>
      </c>
      <c r="N669" s="28" t="str">
        <f aca="false">IF(Data!N669="","",IFERROR(VLOOKUP(Data!N669,Codes!$A$47:$B$49,2,FALSE()),"Invalid ("&amp;Data!N669&amp;")"))</f>
        <v>Fixed defect</v>
      </c>
      <c r="O669" s="28" t="str">
        <f aca="false">IF(Data!O669="","",IFERROR(VLOOKUP(Data!O669,Codes!$A$53:$B$57,2,FALSE()),"Invalid ("&amp;Data!O669&amp;")"))</f>
        <v>Disease (4)</v>
      </c>
      <c r="P669" s="22" t="str">
        <f aca="false">IF(Data!P669="","",IFERROR(VLOOKUP(Data!P669,Codes!$A$61:$B$64,2,FALSE()),"Invalid ("&amp;Data!P669&amp;")"))</f>
        <v>University Hospitals, Zurich &amp; Basel</v>
      </c>
    </row>
    <row r="670" customFormat="false" ht="15" hidden="false" customHeight="false" outlineLevel="0" collapsed="false">
      <c r="A670" s="19" t="n">
        <f aca="false">Data!A670</f>
        <v>669</v>
      </c>
      <c r="B670" s="20" t="n">
        <f aca="false">IF(Data!B670="","",Data!B670)</f>
        <v>58</v>
      </c>
      <c r="C670" s="28" t="str">
        <f aca="false">IF(Data!C670="","",IFERROR(VLOOKUP(Data!C670,Codes!$A$6:$B$7,2,FALSE()),"Invalid ("&amp;Data!C670&amp;")"))</f>
        <v>Male</v>
      </c>
      <c r="D670" s="28" t="str">
        <f aca="false">IF(Data!D670="","",IFERROR(VLOOKUP(Data!D670,Codes!$A$11:$B$14,2,FALSE()),"Invalid ("&amp;Data!D670&amp;")"))</f>
        <v>Asymptomatic</v>
      </c>
      <c r="E670" s="20" t="n">
        <f aca="false">IF(Data!E670="","",Data!E670)</f>
        <v>170</v>
      </c>
      <c r="F670" s="20" t="n">
        <f aca="false">IF(Data!F670="","",Data!F670)</f>
        <v>0</v>
      </c>
      <c r="G670" s="28" t="str">
        <f aca="false">IF(Data!G670="","",IFERROR(VLOOKUP(Data!G670,Codes!$A$18:$B$19,2,FALSE()),"Invalid ("&amp;Data!G670&amp;")"))</f>
        <v/>
      </c>
      <c r="H670" s="28" t="str">
        <f aca="false">IF(Data!H670="","",IFERROR(VLOOKUP(Data!H670,Codes!$A$23:$B$25,2,FALSE()),"Invalid ("&amp;Data!H670&amp;")"))</f>
        <v>ST-T wave abnormality</v>
      </c>
      <c r="I670" s="20" t="n">
        <f aca="false">IF(Data!I670="","",Data!I670)</f>
        <v>105</v>
      </c>
      <c r="J670" s="28" t="str">
        <f aca="false">IF(Data!J670="","",IFERROR(VLOOKUP(Data!J670,Codes!$A$29:$B$30,2,FALSE()),"Invalid ("&amp;Data!J670&amp;")"))</f>
        <v>Yes</v>
      </c>
      <c r="K670" s="21" t="n">
        <f aca="false">IF(Data!K670="","",Data!K670)</f>
        <v>0</v>
      </c>
      <c r="L670" s="28" t="str">
        <f aca="false">IF(Data!L670="","",IFERROR(VLOOKUP(Data!L670,Codes!$A$34:$B$36,2,FALSE()),"Invalid ("&amp;Data!L670&amp;")"))</f>
        <v/>
      </c>
      <c r="M670" s="20" t="str">
        <f aca="false">IF(Data!M670="","",Data!M670)</f>
        <v/>
      </c>
      <c r="N670" s="28" t="str">
        <f aca="false">IF(Data!N670="","",IFERROR(VLOOKUP(Data!N670,Codes!$A$47:$B$49,2,FALSE()),"Invalid ("&amp;Data!N670&amp;")"))</f>
        <v>Normal</v>
      </c>
      <c r="O670" s="28" t="str">
        <f aca="false">IF(Data!O670="","",IFERROR(VLOOKUP(Data!O670,Codes!$A$53:$B$57,2,FALSE()),"Invalid ("&amp;Data!O670&amp;")"))</f>
        <v>Disease (1)</v>
      </c>
      <c r="P670" s="22" t="str">
        <f aca="false">IF(Data!P670="","",IFERROR(VLOOKUP(Data!P670,Codes!$A$61:$B$64,2,FALSE()),"Invalid ("&amp;Data!P670&amp;")"))</f>
        <v>University Hospitals, Zurich &amp; Basel</v>
      </c>
    </row>
    <row r="671" customFormat="false" ht="15" hidden="false" customHeight="false" outlineLevel="0" collapsed="false">
      <c r="A671" s="19" t="n">
        <f aca="false">Data!A671</f>
        <v>670</v>
      </c>
      <c r="B671" s="20" t="n">
        <f aca="false">IF(Data!B671="","",Data!B671)</f>
        <v>59</v>
      </c>
      <c r="C671" s="28" t="str">
        <f aca="false">IF(Data!C671="","",IFERROR(VLOOKUP(Data!C671,Codes!$A$6:$B$7,2,FALSE()),"Invalid ("&amp;Data!C671&amp;")"))</f>
        <v>Male</v>
      </c>
      <c r="D671" s="28" t="str">
        <f aca="false">IF(Data!D671="","",IFERROR(VLOOKUP(Data!D671,Codes!$A$11:$B$14,2,FALSE()),"Invalid ("&amp;Data!D671&amp;")"))</f>
        <v>Non-anginal pain</v>
      </c>
      <c r="E671" s="20" t="n">
        <f aca="false">IF(Data!E671="","",Data!E671)</f>
        <v>125</v>
      </c>
      <c r="F671" s="20" t="n">
        <f aca="false">IF(Data!F671="","",Data!F671)</f>
        <v>0</v>
      </c>
      <c r="G671" s="28" t="str">
        <f aca="false">IF(Data!G671="","",IFERROR(VLOOKUP(Data!G671,Codes!$A$18:$B$19,2,FALSE()),"Invalid ("&amp;Data!G671&amp;")"))</f>
        <v/>
      </c>
      <c r="H671" s="28" t="str">
        <f aca="false">IF(Data!H671="","",IFERROR(VLOOKUP(Data!H671,Codes!$A$23:$B$25,2,FALSE()),"Invalid ("&amp;Data!H671&amp;")"))</f>
        <v>Normal</v>
      </c>
      <c r="I671" s="20" t="n">
        <f aca="false">IF(Data!I671="","",Data!I671)</f>
        <v>175</v>
      </c>
      <c r="J671" s="28" t="str">
        <f aca="false">IF(Data!J671="","",IFERROR(VLOOKUP(Data!J671,Codes!$A$29:$B$30,2,FALSE()),"Invalid ("&amp;Data!J671&amp;")"))</f>
        <v>No</v>
      </c>
      <c r="K671" s="21" t="n">
        <f aca="false">IF(Data!K671="","",Data!K671)</f>
        <v>2.6</v>
      </c>
      <c r="L671" s="28" t="str">
        <f aca="false">IF(Data!L671="","",IFERROR(VLOOKUP(Data!L671,Codes!$A$34:$B$36,2,FALSE()),"Invalid ("&amp;Data!L671&amp;")"))</f>
        <v>Flat</v>
      </c>
      <c r="M671" s="20" t="str">
        <f aca="false">IF(Data!M671="","",Data!M671)</f>
        <v/>
      </c>
      <c r="N671" s="28" t="str">
        <f aca="false">IF(Data!N671="","",IFERROR(VLOOKUP(Data!N671,Codes!$A$47:$B$49,2,FALSE()),"Invalid ("&amp;Data!N671&amp;")"))</f>
        <v/>
      </c>
      <c r="O671" s="28" t="str">
        <f aca="false">IF(Data!O671="","",IFERROR(VLOOKUP(Data!O671,Codes!$A$53:$B$57,2,FALSE()),"Invalid ("&amp;Data!O671&amp;")"))</f>
        <v>Disease (1)</v>
      </c>
      <c r="P671" s="22" t="str">
        <f aca="false">IF(Data!P671="","",IFERROR(VLOOKUP(Data!P671,Codes!$A$61:$B$64,2,FALSE()),"Invalid ("&amp;Data!P671&amp;")"))</f>
        <v>University Hospitals, Zurich &amp; Basel</v>
      </c>
    </row>
    <row r="672" customFormat="false" ht="15" hidden="false" customHeight="false" outlineLevel="0" collapsed="false">
      <c r="A672" s="19" t="n">
        <f aca="false">Data!A672</f>
        <v>671</v>
      </c>
      <c r="B672" s="20" t="n">
        <f aca="false">IF(Data!B672="","",Data!B672)</f>
        <v>59</v>
      </c>
      <c r="C672" s="28" t="str">
        <f aca="false">IF(Data!C672="","",IFERROR(VLOOKUP(Data!C672,Codes!$A$6:$B$7,2,FALSE()),"Invalid ("&amp;Data!C672&amp;")"))</f>
        <v>Male</v>
      </c>
      <c r="D672" s="28" t="str">
        <f aca="false">IF(Data!D672="","",IFERROR(VLOOKUP(Data!D672,Codes!$A$11:$B$14,2,FALSE()),"Invalid ("&amp;Data!D672&amp;")"))</f>
        <v>Asymptomatic</v>
      </c>
      <c r="E672" s="20" t="n">
        <f aca="false">IF(Data!E672="","",Data!E672)</f>
        <v>110</v>
      </c>
      <c r="F672" s="20" t="n">
        <f aca="false">IF(Data!F672="","",Data!F672)</f>
        <v>0</v>
      </c>
      <c r="G672" s="28" t="str">
        <f aca="false">IF(Data!G672="","",IFERROR(VLOOKUP(Data!G672,Codes!$A$18:$B$19,2,FALSE()),"Invalid ("&amp;Data!G672&amp;")"))</f>
        <v/>
      </c>
      <c r="H672" s="28" t="str">
        <f aca="false">IF(Data!H672="","",IFERROR(VLOOKUP(Data!H672,Codes!$A$23:$B$25,2,FALSE()),"Invalid ("&amp;Data!H672&amp;")"))</f>
        <v>Normal</v>
      </c>
      <c r="I672" s="20" t="n">
        <f aca="false">IF(Data!I672="","",Data!I672)</f>
        <v>94</v>
      </c>
      <c r="J672" s="28" t="str">
        <f aca="false">IF(Data!J672="","",IFERROR(VLOOKUP(Data!J672,Codes!$A$29:$B$30,2,FALSE()),"Invalid ("&amp;Data!J672&amp;")"))</f>
        <v>No</v>
      </c>
      <c r="K672" s="21" t="n">
        <f aca="false">IF(Data!K672="","",Data!K672)</f>
        <v>0</v>
      </c>
      <c r="L672" s="28" t="str">
        <f aca="false">IF(Data!L672="","",IFERROR(VLOOKUP(Data!L672,Codes!$A$34:$B$36,2,FALSE()),"Invalid ("&amp;Data!L672&amp;")"))</f>
        <v/>
      </c>
      <c r="M672" s="20" t="str">
        <f aca="false">IF(Data!M672="","",Data!M672)</f>
        <v/>
      </c>
      <c r="N672" s="28" t="str">
        <f aca="false">IF(Data!N672="","",IFERROR(VLOOKUP(Data!N672,Codes!$A$47:$B$49,2,FALSE()),"Invalid ("&amp;Data!N672&amp;")"))</f>
        <v>Fixed defect</v>
      </c>
      <c r="O672" s="28" t="str">
        <f aca="false">IF(Data!O672="","",IFERROR(VLOOKUP(Data!O672,Codes!$A$53:$B$57,2,FALSE()),"Invalid ("&amp;Data!O672&amp;")"))</f>
        <v>Disease (3)</v>
      </c>
      <c r="P672" s="22" t="str">
        <f aca="false">IF(Data!P672="","",IFERROR(VLOOKUP(Data!P672,Codes!$A$61:$B$64,2,FALSE()),"Invalid ("&amp;Data!P672&amp;")"))</f>
        <v>University Hospitals, Zurich &amp; Basel</v>
      </c>
    </row>
    <row r="673" customFormat="false" ht="15" hidden="false" customHeight="false" outlineLevel="0" collapsed="false">
      <c r="A673" s="19" t="n">
        <f aca="false">Data!A673</f>
        <v>672</v>
      </c>
      <c r="B673" s="20" t="n">
        <f aca="false">IF(Data!B673="","",Data!B673)</f>
        <v>59</v>
      </c>
      <c r="C673" s="28" t="str">
        <f aca="false">IF(Data!C673="","",IFERROR(VLOOKUP(Data!C673,Codes!$A$6:$B$7,2,FALSE()),"Invalid ("&amp;Data!C673&amp;")"))</f>
        <v>Male</v>
      </c>
      <c r="D673" s="28" t="str">
        <f aca="false">IF(Data!D673="","",IFERROR(VLOOKUP(Data!D673,Codes!$A$11:$B$14,2,FALSE()),"Invalid ("&amp;Data!D673&amp;")"))</f>
        <v>Asymptomatic</v>
      </c>
      <c r="E673" s="20" t="n">
        <f aca="false">IF(Data!E673="","",Data!E673)</f>
        <v>120</v>
      </c>
      <c r="F673" s="20" t="n">
        <f aca="false">IF(Data!F673="","",Data!F673)</f>
        <v>0</v>
      </c>
      <c r="G673" s="28" t="str">
        <f aca="false">IF(Data!G673="","",IFERROR(VLOOKUP(Data!G673,Codes!$A$18:$B$19,2,FALSE()),"Invalid ("&amp;Data!G673&amp;")"))</f>
        <v>No</v>
      </c>
      <c r="H673" s="28" t="str">
        <f aca="false">IF(Data!H673="","",IFERROR(VLOOKUP(Data!H673,Codes!$A$23:$B$25,2,FALSE()),"Invalid ("&amp;Data!H673&amp;")"))</f>
        <v>Normal</v>
      </c>
      <c r="I673" s="20" t="n">
        <f aca="false">IF(Data!I673="","",Data!I673)</f>
        <v>115</v>
      </c>
      <c r="J673" s="28" t="str">
        <f aca="false">IF(Data!J673="","",IFERROR(VLOOKUP(Data!J673,Codes!$A$29:$B$30,2,FALSE()),"Invalid ("&amp;Data!J673&amp;")"))</f>
        <v>No</v>
      </c>
      <c r="K673" s="21" t="n">
        <f aca="false">IF(Data!K673="","",Data!K673)</f>
        <v>0</v>
      </c>
      <c r="L673" s="28" t="str">
        <f aca="false">IF(Data!L673="","",IFERROR(VLOOKUP(Data!L673,Codes!$A$34:$B$36,2,FALSE()),"Invalid ("&amp;Data!L673&amp;")"))</f>
        <v>Flat</v>
      </c>
      <c r="M673" s="20" t="str">
        <f aca="false">IF(Data!M673="","",Data!M673)</f>
        <v/>
      </c>
      <c r="N673" s="28" t="str">
        <f aca="false">IF(Data!N673="","",IFERROR(VLOOKUP(Data!N673,Codes!$A$47:$B$49,2,FALSE()),"Invalid ("&amp;Data!N673&amp;")"))</f>
        <v>Normal</v>
      </c>
      <c r="O673" s="28" t="str">
        <f aca="false">IF(Data!O673="","",IFERROR(VLOOKUP(Data!O673,Codes!$A$53:$B$57,2,FALSE()),"Invalid ("&amp;Data!O673&amp;")"))</f>
        <v>Disease (2)</v>
      </c>
      <c r="P673" s="22" t="str">
        <f aca="false">IF(Data!P673="","",IFERROR(VLOOKUP(Data!P673,Codes!$A$61:$B$64,2,FALSE()),"Invalid ("&amp;Data!P673&amp;")"))</f>
        <v>University Hospitals, Zurich &amp; Basel</v>
      </c>
    </row>
    <row r="674" customFormat="false" ht="15" hidden="false" customHeight="false" outlineLevel="0" collapsed="false">
      <c r="A674" s="19" t="n">
        <f aca="false">Data!A674</f>
        <v>673</v>
      </c>
      <c r="B674" s="20" t="n">
        <f aca="false">IF(Data!B674="","",Data!B674)</f>
        <v>59</v>
      </c>
      <c r="C674" s="28" t="str">
        <f aca="false">IF(Data!C674="","",IFERROR(VLOOKUP(Data!C674,Codes!$A$6:$B$7,2,FALSE()),"Invalid ("&amp;Data!C674&amp;")"))</f>
        <v>Male</v>
      </c>
      <c r="D674" s="28" t="str">
        <f aca="false">IF(Data!D674="","",IFERROR(VLOOKUP(Data!D674,Codes!$A$11:$B$14,2,FALSE()),"Invalid ("&amp;Data!D674&amp;")"))</f>
        <v>Asymptomatic</v>
      </c>
      <c r="E674" s="20" t="n">
        <f aca="false">IF(Data!E674="","",Data!E674)</f>
        <v>125</v>
      </c>
      <c r="F674" s="20" t="n">
        <f aca="false">IF(Data!F674="","",Data!F674)</f>
        <v>0</v>
      </c>
      <c r="G674" s="28" t="str">
        <f aca="false">IF(Data!G674="","",IFERROR(VLOOKUP(Data!G674,Codes!$A$18:$B$19,2,FALSE()),"Invalid ("&amp;Data!G674&amp;")"))</f>
        <v/>
      </c>
      <c r="H674" s="28" t="str">
        <f aca="false">IF(Data!H674="","",IFERROR(VLOOKUP(Data!H674,Codes!$A$23:$B$25,2,FALSE()),"Invalid ("&amp;Data!H674&amp;")"))</f>
        <v>Normal</v>
      </c>
      <c r="I674" s="20" t="n">
        <f aca="false">IF(Data!I674="","",Data!I674)</f>
        <v>119</v>
      </c>
      <c r="J674" s="28" t="str">
        <f aca="false">IF(Data!J674="","",IFERROR(VLOOKUP(Data!J674,Codes!$A$29:$B$30,2,FALSE()),"Invalid ("&amp;Data!J674&amp;")"))</f>
        <v>Yes</v>
      </c>
      <c r="K674" s="21" t="n">
        <f aca="false">IF(Data!K674="","",Data!K674)</f>
        <v>0.9</v>
      </c>
      <c r="L674" s="28" t="str">
        <f aca="false">IF(Data!L674="","",IFERROR(VLOOKUP(Data!L674,Codes!$A$34:$B$36,2,FALSE()),"Invalid ("&amp;Data!L674&amp;")"))</f>
        <v>Upsloping</v>
      </c>
      <c r="M674" s="20" t="str">
        <f aca="false">IF(Data!M674="","",Data!M674)</f>
        <v/>
      </c>
      <c r="N674" s="28" t="str">
        <f aca="false">IF(Data!N674="","",IFERROR(VLOOKUP(Data!N674,Codes!$A$47:$B$49,2,FALSE()),"Invalid ("&amp;Data!N674&amp;")"))</f>
        <v/>
      </c>
      <c r="O674" s="28" t="str">
        <f aca="false">IF(Data!O674="","",IFERROR(VLOOKUP(Data!O674,Codes!$A$53:$B$57,2,FALSE()),"Invalid ("&amp;Data!O674&amp;")"))</f>
        <v>Disease (1)</v>
      </c>
      <c r="P674" s="22" t="str">
        <f aca="false">IF(Data!P674="","",IFERROR(VLOOKUP(Data!P674,Codes!$A$61:$B$64,2,FALSE()),"Invalid ("&amp;Data!P674&amp;")"))</f>
        <v>University Hospitals, Zurich &amp; Basel</v>
      </c>
    </row>
    <row r="675" customFormat="false" ht="15" hidden="false" customHeight="false" outlineLevel="0" collapsed="false">
      <c r="A675" s="19" t="n">
        <f aca="false">Data!A675</f>
        <v>674</v>
      </c>
      <c r="B675" s="20" t="n">
        <f aca="false">IF(Data!B675="","",Data!B675)</f>
        <v>59</v>
      </c>
      <c r="C675" s="28" t="str">
        <f aca="false">IF(Data!C675="","",IFERROR(VLOOKUP(Data!C675,Codes!$A$6:$B$7,2,FALSE()),"Invalid ("&amp;Data!C675&amp;")"))</f>
        <v>Male</v>
      </c>
      <c r="D675" s="28" t="str">
        <f aca="false">IF(Data!D675="","",IFERROR(VLOOKUP(Data!D675,Codes!$A$11:$B$14,2,FALSE()),"Invalid ("&amp;Data!D675&amp;")"))</f>
        <v>Asymptomatic</v>
      </c>
      <c r="E675" s="20" t="n">
        <f aca="false">IF(Data!E675="","",Data!E675)</f>
        <v>135</v>
      </c>
      <c r="F675" s="20" t="n">
        <f aca="false">IF(Data!F675="","",Data!F675)</f>
        <v>0</v>
      </c>
      <c r="G675" s="28" t="str">
        <f aca="false">IF(Data!G675="","",IFERROR(VLOOKUP(Data!G675,Codes!$A$18:$B$19,2,FALSE()),"Invalid ("&amp;Data!G675&amp;")"))</f>
        <v>No</v>
      </c>
      <c r="H675" s="28" t="str">
        <f aca="false">IF(Data!H675="","",IFERROR(VLOOKUP(Data!H675,Codes!$A$23:$B$25,2,FALSE()),"Invalid ("&amp;Data!H675&amp;")"))</f>
        <v>Normal</v>
      </c>
      <c r="I675" s="20" t="n">
        <f aca="false">IF(Data!I675="","",Data!I675)</f>
        <v>115</v>
      </c>
      <c r="J675" s="28" t="str">
        <f aca="false">IF(Data!J675="","",IFERROR(VLOOKUP(Data!J675,Codes!$A$29:$B$30,2,FALSE()),"Invalid ("&amp;Data!J675&amp;")"))</f>
        <v>Yes</v>
      </c>
      <c r="K675" s="21" t="n">
        <f aca="false">IF(Data!K675="","",Data!K675)</f>
        <v>1</v>
      </c>
      <c r="L675" s="28" t="str">
        <f aca="false">IF(Data!L675="","",IFERROR(VLOOKUP(Data!L675,Codes!$A$34:$B$36,2,FALSE()),"Invalid ("&amp;Data!L675&amp;")"))</f>
        <v>Flat</v>
      </c>
      <c r="M675" s="20" t="str">
        <f aca="false">IF(Data!M675="","",Data!M675)</f>
        <v/>
      </c>
      <c r="N675" s="28" t="str">
        <f aca="false">IF(Data!N675="","",IFERROR(VLOOKUP(Data!N675,Codes!$A$47:$B$49,2,FALSE()),"Invalid ("&amp;Data!N675&amp;")"))</f>
        <v>Reversible defect</v>
      </c>
      <c r="O675" s="28" t="str">
        <f aca="false">IF(Data!O675="","",IFERROR(VLOOKUP(Data!O675,Codes!$A$53:$B$57,2,FALSE()),"Invalid ("&amp;Data!O675&amp;")"))</f>
        <v>Disease (1)</v>
      </c>
      <c r="P675" s="22" t="str">
        <f aca="false">IF(Data!P675="","",IFERROR(VLOOKUP(Data!P675,Codes!$A$61:$B$64,2,FALSE()),"Invalid ("&amp;Data!P675&amp;")"))</f>
        <v>University Hospitals, Zurich &amp; Basel</v>
      </c>
    </row>
    <row r="676" customFormat="false" ht="15" hidden="false" customHeight="false" outlineLevel="0" collapsed="false">
      <c r="A676" s="19" t="n">
        <f aca="false">Data!A676</f>
        <v>675</v>
      </c>
      <c r="B676" s="20" t="n">
        <f aca="false">IF(Data!B676="","",Data!B676)</f>
        <v>60</v>
      </c>
      <c r="C676" s="28" t="str">
        <f aca="false">IF(Data!C676="","",IFERROR(VLOOKUP(Data!C676,Codes!$A$6:$B$7,2,FALSE()),"Invalid ("&amp;Data!C676&amp;")"))</f>
        <v>Male</v>
      </c>
      <c r="D676" s="28" t="str">
        <f aca="false">IF(Data!D676="","",IFERROR(VLOOKUP(Data!D676,Codes!$A$11:$B$14,2,FALSE()),"Invalid ("&amp;Data!D676&amp;")"))</f>
        <v>Non-anginal pain</v>
      </c>
      <c r="E676" s="20" t="n">
        <f aca="false">IF(Data!E676="","",Data!E676)</f>
        <v>115</v>
      </c>
      <c r="F676" s="20" t="n">
        <f aca="false">IF(Data!F676="","",Data!F676)</f>
        <v>0</v>
      </c>
      <c r="G676" s="28" t="str">
        <f aca="false">IF(Data!G676="","",IFERROR(VLOOKUP(Data!G676,Codes!$A$18:$B$19,2,FALSE()),"Invalid ("&amp;Data!G676&amp;")"))</f>
        <v/>
      </c>
      <c r="H676" s="28" t="str">
        <f aca="false">IF(Data!H676="","",IFERROR(VLOOKUP(Data!H676,Codes!$A$23:$B$25,2,FALSE()),"Invalid ("&amp;Data!H676&amp;")"))</f>
        <v>Normal</v>
      </c>
      <c r="I676" s="20" t="n">
        <f aca="false">IF(Data!I676="","",Data!I676)</f>
        <v>143</v>
      </c>
      <c r="J676" s="28" t="str">
        <f aca="false">IF(Data!J676="","",IFERROR(VLOOKUP(Data!J676,Codes!$A$29:$B$30,2,FALSE()),"Invalid ("&amp;Data!J676&amp;")"))</f>
        <v>No</v>
      </c>
      <c r="K676" s="21" t="n">
        <f aca="false">IF(Data!K676="","",Data!K676)</f>
        <v>2.4</v>
      </c>
      <c r="L676" s="28" t="str">
        <f aca="false">IF(Data!L676="","",IFERROR(VLOOKUP(Data!L676,Codes!$A$34:$B$36,2,FALSE()),"Invalid ("&amp;Data!L676&amp;")"))</f>
        <v>Upsloping</v>
      </c>
      <c r="M676" s="20" t="str">
        <f aca="false">IF(Data!M676="","",Data!M676)</f>
        <v/>
      </c>
      <c r="N676" s="28" t="str">
        <f aca="false">IF(Data!N676="","",IFERROR(VLOOKUP(Data!N676,Codes!$A$47:$B$49,2,FALSE()),"Invalid ("&amp;Data!N676&amp;")"))</f>
        <v/>
      </c>
      <c r="O676" s="28" t="str">
        <f aca="false">IF(Data!O676="","",IFERROR(VLOOKUP(Data!O676,Codes!$A$53:$B$57,2,FALSE()),"Invalid ("&amp;Data!O676&amp;")"))</f>
        <v>Disease (1)</v>
      </c>
      <c r="P676" s="22" t="str">
        <f aca="false">IF(Data!P676="","",IFERROR(VLOOKUP(Data!P676,Codes!$A$61:$B$64,2,FALSE()),"Invalid ("&amp;Data!P676&amp;")"))</f>
        <v>University Hospitals, Zurich &amp; Basel</v>
      </c>
    </row>
    <row r="677" customFormat="false" ht="15" hidden="false" customHeight="false" outlineLevel="0" collapsed="false">
      <c r="A677" s="19" t="n">
        <f aca="false">Data!A677</f>
        <v>676</v>
      </c>
      <c r="B677" s="20" t="n">
        <f aca="false">IF(Data!B677="","",Data!B677)</f>
        <v>60</v>
      </c>
      <c r="C677" s="28" t="str">
        <f aca="false">IF(Data!C677="","",IFERROR(VLOOKUP(Data!C677,Codes!$A$6:$B$7,2,FALSE()),"Invalid ("&amp;Data!C677&amp;")"))</f>
        <v>Male</v>
      </c>
      <c r="D677" s="28" t="str">
        <f aca="false">IF(Data!D677="","",IFERROR(VLOOKUP(Data!D677,Codes!$A$11:$B$14,2,FALSE()),"Invalid ("&amp;Data!D677&amp;")"))</f>
        <v>Asymptomatic</v>
      </c>
      <c r="E677" s="20" t="n">
        <f aca="false">IF(Data!E677="","",Data!E677)</f>
        <v>125</v>
      </c>
      <c r="F677" s="20" t="n">
        <f aca="false">IF(Data!F677="","",Data!F677)</f>
        <v>0</v>
      </c>
      <c r="G677" s="28" t="str">
        <f aca="false">IF(Data!G677="","",IFERROR(VLOOKUP(Data!G677,Codes!$A$18:$B$19,2,FALSE()),"Invalid ("&amp;Data!G677&amp;")"))</f>
        <v/>
      </c>
      <c r="H677" s="28" t="str">
        <f aca="false">IF(Data!H677="","",IFERROR(VLOOKUP(Data!H677,Codes!$A$23:$B$25,2,FALSE()),"Invalid ("&amp;Data!H677&amp;")"))</f>
        <v>Normal</v>
      </c>
      <c r="I677" s="20" t="n">
        <f aca="false">IF(Data!I677="","",Data!I677)</f>
        <v>110</v>
      </c>
      <c r="J677" s="28" t="str">
        <f aca="false">IF(Data!J677="","",IFERROR(VLOOKUP(Data!J677,Codes!$A$29:$B$30,2,FALSE()),"Invalid ("&amp;Data!J677&amp;")"))</f>
        <v>No</v>
      </c>
      <c r="K677" s="21" t="n">
        <f aca="false">IF(Data!K677="","",Data!K677)</f>
        <v>0.1</v>
      </c>
      <c r="L677" s="28" t="str">
        <f aca="false">IF(Data!L677="","",IFERROR(VLOOKUP(Data!L677,Codes!$A$34:$B$36,2,FALSE()),"Invalid ("&amp;Data!L677&amp;")"))</f>
        <v>Upsloping</v>
      </c>
      <c r="M677" s="20" t="n">
        <f aca="false">IF(Data!M677="","",Data!M677)</f>
        <v>2</v>
      </c>
      <c r="N677" s="28" t="str">
        <f aca="false">IF(Data!N677="","",IFERROR(VLOOKUP(Data!N677,Codes!$A$47:$B$49,2,FALSE()),"Invalid ("&amp;Data!N677&amp;")"))</f>
        <v/>
      </c>
      <c r="O677" s="28" t="str">
        <f aca="false">IF(Data!O677="","",IFERROR(VLOOKUP(Data!O677,Codes!$A$53:$B$57,2,FALSE()),"Invalid ("&amp;Data!O677&amp;")"))</f>
        <v>Disease (3)</v>
      </c>
      <c r="P677" s="22" t="str">
        <f aca="false">IF(Data!P677="","",IFERROR(VLOOKUP(Data!P677,Codes!$A$61:$B$64,2,FALSE()),"Invalid ("&amp;Data!P677&amp;")"))</f>
        <v>University Hospitals, Zurich &amp; Basel</v>
      </c>
    </row>
    <row r="678" customFormat="false" ht="15" hidden="false" customHeight="false" outlineLevel="0" collapsed="false">
      <c r="A678" s="19" t="n">
        <f aca="false">Data!A678</f>
        <v>677</v>
      </c>
      <c r="B678" s="20" t="n">
        <f aca="false">IF(Data!B678="","",Data!B678)</f>
        <v>60</v>
      </c>
      <c r="C678" s="28" t="str">
        <f aca="false">IF(Data!C678="","",IFERROR(VLOOKUP(Data!C678,Codes!$A$6:$B$7,2,FALSE()),"Invalid ("&amp;Data!C678&amp;")"))</f>
        <v>Male</v>
      </c>
      <c r="D678" s="28" t="str">
        <f aca="false">IF(Data!D678="","",IFERROR(VLOOKUP(Data!D678,Codes!$A$11:$B$14,2,FALSE()),"Invalid ("&amp;Data!D678&amp;")"))</f>
        <v>Asymptomatic</v>
      </c>
      <c r="E678" s="20" t="n">
        <f aca="false">IF(Data!E678="","",Data!E678)</f>
        <v>130</v>
      </c>
      <c r="F678" s="20" t="n">
        <f aca="false">IF(Data!F678="","",Data!F678)</f>
        <v>0</v>
      </c>
      <c r="G678" s="28" t="str">
        <f aca="false">IF(Data!G678="","",IFERROR(VLOOKUP(Data!G678,Codes!$A$18:$B$19,2,FALSE()),"Invalid ("&amp;Data!G678&amp;")"))</f>
        <v/>
      </c>
      <c r="H678" s="28" t="str">
        <f aca="false">IF(Data!H678="","",IFERROR(VLOOKUP(Data!H678,Codes!$A$23:$B$25,2,FALSE()),"Invalid ("&amp;Data!H678&amp;")"))</f>
        <v>ST-T wave abnormality</v>
      </c>
      <c r="I678" s="20" t="n">
        <f aca="false">IF(Data!I678="","",Data!I678)</f>
        <v>130</v>
      </c>
      <c r="J678" s="28" t="str">
        <f aca="false">IF(Data!J678="","",IFERROR(VLOOKUP(Data!J678,Codes!$A$29:$B$30,2,FALSE()),"Invalid ("&amp;Data!J678&amp;")"))</f>
        <v>Yes</v>
      </c>
      <c r="K678" s="21" t="n">
        <f aca="false">IF(Data!K678="","",Data!K678)</f>
        <v>1.1</v>
      </c>
      <c r="L678" s="28" t="str">
        <f aca="false">IF(Data!L678="","",IFERROR(VLOOKUP(Data!L678,Codes!$A$34:$B$36,2,FALSE()),"Invalid ("&amp;Data!L678&amp;")"))</f>
        <v>Downsloping</v>
      </c>
      <c r="M678" s="20" t="n">
        <f aca="false">IF(Data!M678="","",Data!M678)</f>
        <v>1</v>
      </c>
      <c r="N678" s="28" t="str">
        <f aca="false">IF(Data!N678="","",IFERROR(VLOOKUP(Data!N678,Codes!$A$47:$B$49,2,FALSE()),"Invalid ("&amp;Data!N678&amp;")"))</f>
        <v/>
      </c>
      <c r="O678" s="28" t="str">
        <f aca="false">IF(Data!O678="","",IFERROR(VLOOKUP(Data!O678,Codes!$A$53:$B$57,2,FALSE()),"Invalid ("&amp;Data!O678&amp;")"))</f>
        <v>Disease (1)</v>
      </c>
      <c r="P678" s="22" t="str">
        <f aca="false">IF(Data!P678="","",IFERROR(VLOOKUP(Data!P678,Codes!$A$61:$B$64,2,FALSE()),"Invalid ("&amp;Data!P678&amp;")"))</f>
        <v>University Hospitals, Zurich &amp; Basel</v>
      </c>
    </row>
    <row r="679" customFormat="false" ht="15" hidden="false" customHeight="false" outlineLevel="0" collapsed="false">
      <c r="A679" s="19" t="n">
        <f aca="false">Data!A679</f>
        <v>678</v>
      </c>
      <c r="B679" s="20" t="n">
        <f aca="false">IF(Data!B679="","",Data!B679)</f>
        <v>60</v>
      </c>
      <c r="C679" s="28" t="str">
        <f aca="false">IF(Data!C679="","",IFERROR(VLOOKUP(Data!C679,Codes!$A$6:$B$7,2,FALSE()),"Invalid ("&amp;Data!C679&amp;")"))</f>
        <v>Male</v>
      </c>
      <c r="D679" s="28" t="str">
        <f aca="false">IF(Data!D679="","",IFERROR(VLOOKUP(Data!D679,Codes!$A$11:$B$14,2,FALSE()),"Invalid ("&amp;Data!D679&amp;")"))</f>
        <v>Asymptomatic</v>
      </c>
      <c r="E679" s="20" t="n">
        <f aca="false">IF(Data!E679="","",Data!E679)</f>
        <v>135</v>
      </c>
      <c r="F679" s="20" t="n">
        <f aca="false">IF(Data!F679="","",Data!F679)</f>
        <v>0</v>
      </c>
      <c r="G679" s="28" t="str">
        <f aca="false">IF(Data!G679="","",IFERROR(VLOOKUP(Data!G679,Codes!$A$18:$B$19,2,FALSE()),"Invalid ("&amp;Data!G679&amp;")"))</f>
        <v>No</v>
      </c>
      <c r="H679" s="28" t="str">
        <f aca="false">IF(Data!H679="","",IFERROR(VLOOKUP(Data!H679,Codes!$A$23:$B$25,2,FALSE()),"Invalid ("&amp;Data!H679&amp;")"))</f>
        <v>Normal</v>
      </c>
      <c r="I679" s="20" t="n">
        <f aca="false">IF(Data!I679="","",Data!I679)</f>
        <v>63</v>
      </c>
      <c r="J679" s="28" t="str">
        <f aca="false">IF(Data!J679="","",IFERROR(VLOOKUP(Data!J679,Codes!$A$29:$B$30,2,FALSE()),"Invalid ("&amp;Data!J679&amp;")"))</f>
        <v>Yes</v>
      </c>
      <c r="K679" s="21" t="n">
        <f aca="false">IF(Data!K679="","",Data!K679)</f>
        <v>0.5</v>
      </c>
      <c r="L679" s="28" t="str">
        <f aca="false">IF(Data!L679="","",IFERROR(VLOOKUP(Data!L679,Codes!$A$34:$B$36,2,FALSE()),"Invalid ("&amp;Data!L679&amp;")"))</f>
        <v>Upsloping</v>
      </c>
      <c r="M679" s="20" t="str">
        <f aca="false">IF(Data!M679="","",Data!M679)</f>
        <v/>
      </c>
      <c r="N679" s="28" t="str">
        <f aca="false">IF(Data!N679="","",IFERROR(VLOOKUP(Data!N679,Codes!$A$47:$B$49,2,FALSE()),"Invalid ("&amp;Data!N679&amp;")"))</f>
        <v>Reversible defect</v>
      </c>
      <c r="O679" s="28" t="str">
        <f aca="false">IF(Data!O679="","",IFERROR(VLOOKUP(Data!O679,Codes!$A$53:$B$57,2,FALSE()),"Invalid ("&amp;Data!O679&amp;")"))</f>
        <v>Disease (3)</v>
      </c>
      <c r="P679" s="22" t="str">
        <f aca="false">IF(Data!P679="","",IFERROR(VLOOKUP(Data!P679,Codes!$A$61:$B$64,2,FALSE()),"Invalid ("&amp;Data!P679&amp;")"))</f>
        <v>University Hospitals, Zurich &amp; Basel</v>
      </c>
    </row>
    <row r="680" customFormat="false" ht="15" hidden="false" customHeight="false" outlineLevel="0" collapsed="false">
      <c r="A680" s="19" t="n">
        <f aca="false">Data!A680</f>
        <v>679</v>
      </c>
      <c r="B680" s="20" t="n">
        <f aca="false">IF(Data!B680="","",Data!B680)</f>
        <v>60</v>
      </c>
      <c r="C680" s="28" t="str">
        <f aca="false">IF(Data!C680="","",IFERROR(VLOOKUP(Data!C680,Codes!$A$6:$B$7,2,FALSE()),"Invalid ("&amp;Data!C680&amp;")"))</f>
        <v>Male</v>
      </c>
      <c r="D680" s="28" t="str">
        <f aca="false">IF(Data!D680="","",IFERROR(VLOOKUP(Data!D680,Codes!$A$11:$B$14,2,FALSE()),"Invalid ("&amp;Data!D680&amp;")"))</f>
        <v>Asymptomatic</v>
      </c>
      <c r="E680" s="20" t="n">
        <f aca="false">IF(Data!E680="","",Data!E680)</f>
        <v>160</v>
      </c>
      <c r="F680" s="20" t="n">
        <f aca="false">IF(Data!F680="","",Data!F680)</f>
        <v>0</v>
      </c>
      <c r="G680" s="28" t="str">
        <f aca="false">IF(Data!G680="","",IFERROR(VLOOKUP(Data!G680,Codes!$A$18:$B$19,2,FALSE()),"Invalid ("&amp;Data!G680&amp;")"))</f>
        <v>No</v>
      </c>
      <c r="H680" s="28" t="str">
        <f aca="false">IF(Data!H680="","",IFERROR(VLOOKUP(Data!H680,Codes!$A$23:$B$25,2,FALSE()),"Invalid ("&amp;Data!H680&amp;")"))</f>
        <v>ST-T wave abnormality</v>
      </c>
      <c r="I680" s="20" t="n">
        <f aca="false">IF(Data!I680="","",Data!I680)</f>
        <v>99</v>
      </c>
      <c r="J680" s="28" t="str">
        <f aca="false">IF(Data!J680="","",IFERROR(VLOOKUP(Data!J680,Codes!$A$29:$B$30,2,FALSE()),"Invalid ("&amp;Data!J680&amp;")"))</f>
        <v>Yes</v>
      </c>
      <c r="K680" s="21" t="n">
        <f aca="false">IF(Data!K680="","",Data!K680)</f>
        <v>0.5</v>
      </c>
      <c r="L680" s="28" t="str">
        <f aca="false">IF(Data!L680="","",IFERROR(VLOOKUP(Data!L680,Codes!$A$34:$B$36,2,FALSE()),"Invalid ("&amp;Data!L680&amp;")"))</f>
        <v>Flat</v>
      </c>
      <c r="M680" s="20" t="str">
        <f aca="false">IF(Data!M680="","",Data!M680)</f>
        <v/>
      </c>
      <c r="N680" s="28" t="str">
        <f aca="false">IF(Data!N680="","",IFERROR(VLOOKUP(Data!N680,Codes!$A$47:$B$49,2,FALSE()),"Invalid ("&amp;Data!N680&amp;")"))</f>
        <v>Reversible defect</v>
      </c>
      <c r="O680" s="28" t="str">
        <f aca="false">IF(Data!O680="","",IFERROR(VLOOKUP(Data!O680,Codes!$A$53:$B$57,2,FALSE()),"Invalid ("&amp;Data!O680&amp;")"))</f>
        <v>Disease (3)</v>
      </c>
      <c r="P680" s="22" t="str">
        <f aca="false">IF(Data!P680="","",IFERROR(VLOOKUP(Data!P680,Codes!$A$61:$B$64,2,FALSE()),"Invalid ("&amp;Data!P680&amp;")"))</f>
        <v>University Hospitals, Zurich &amp; Basel</v>
      </c>
    </row>
    <row r="681" customFormat="false" ht="15" hidden="false" customHeight="false" outlineLevel="0" collapsed="false">
      <c r="A681" s="19" t="n">
        <f aca="false">Data!A681</f>
        <v>680</v>
      </c>
      <c r="B681" s="20" t="n">
        <f aca="false">IF(Data!B681="","",Data!B681)</f>
        <v>60</v>
      </c>
      <c r="C681" s="28" t="str">
        <f aca="false">IF(Data!C681="","",IFERROR(VLOOKUP(Data!C681,Codes!$A$6:$B$7,2,FALSE()),"Invalid ("&amp;Data!C681&amp;")"))</f>
        <v>Male</v>
      </c>
      <c r="D681" s="28" t="str">
        <f aca="false">IF(Data!D681="","",IFERROR(VLOOKUP(Data!D681,Codes!$A$11:$B$14,2,FALSE()),"Invalid ("&amp;Data!D681&amp;")"))</f>
        <v>Asymptomatic</v>
      </c>
      <c r="E681" s="20" t="n">
        <f aca="false">IF(Data!E681="","",Data!E681)</f>
        <v>160</v>
      </c>
      <c r="F681" s="20" t="n">
        <f aca="false">IF(Data!F681="","",Data!F681)</f>
        <v>0</v>
      </c>
      <c r="G681" s="28" t="str">
        <f aca="false">IF(Data!G681="","",IFERROR(VLOOKUP(Data!G681,Codes!$A$18:$B$19,2,FALSE()),"Invalid ("&amp;Data!G681&amp;")"))</f>
        <v/>
      </c>
      <c r="H681" s="28" t="str">
        <f aca="false">IF(Data!H681="","",IFERROR(VLOOKUP(Data!H681,Codes!$A$23:$B$25,2,FALSE()),"Invalid ("&amp;Data!H681&amp;")"))</f>
        <v>Normal</v>
      </c>
      <c r="I681" s="20" t="n">
        <f aca="false">IF(Data!I681="","",Data!I681)</f>
        <v>149</v>
      </c>
      <c r="J681" s="28" t="str">
        <f aca="false">IF(Data!J681="","",IFERROR(VLOOKUP(Data!J681,Codes!$A$29:$B$30,2,FALSE()),"Invalid ("&amp;Data!J681&amp;")"))</f>
        <v>No</v>
      </c>
      <c r="K681" s="21" t="n">
        <f aca="false">IF(Data!K681="","",Data!K681)</f>
        <v>0.4</v>
      </c>
      <c r="L681" s="28" t="str">
        <f aca="false">IF(Data!L681="","",IFERROR(VLOOKUP(Data!L681,Codes!$A$34:$B$36,2,FALSE()),"Invalid ("&amp;Data!L681&amp;")"))</f>
        <v>Flat</v>
      </c>
      <c r="M681" s="20" t="str">
        <f aca="false">IF(Data!M681="","",Data!M681)</f>
        <v/>
      </c>
      <c r="N681" s="28" t="str">
        <f aca="false">IF(Data!N681="","",IFERROR(VLOOKUP(Data!N681,Codes!$A$47:$B$49,2,FALSE()),"Invalid ("&amp;Data!N681&amp;")"))</f>
        <v/>
      </c>
      <c r="O681" s="28" t="str">
        <f aca="false">IF(Data!O681="","",IFERROR(VLOOKUP(Data!O681,Codes!$A$53:$B$57,2,FALSE()),"Invalid ("&amp;Data!O681&amp;")"))</f>
        <v>Disease (1)</v>
      </c>
      <c r="P681" s="22" t="str">
        <f aca="false">IF(Data!P681="","",IFERROR(VLOOKUP(Data!P681,Codes!$A$61:$B$64,2,FALSE()),"Invalid ("&amp;Data!P681&amp;")"))</f>
        <v>University Hospitals, Zurich &amp; Basel</v>
      </c>
    </row>
    <row r="682" customFormat="false" ht="15" hidden="false" customHeight="false" outlineLevel="0" collapsed="false">
      <c r="A682" s="19" t="n">
        <f aca="false">Data!A682</f>
        <v>681</v>
      </c>
      <c r="B682" s="20" t="n">
        <f aca="false">IF(Data!B682="","",Data!B682)</f>
        <v>61</v>
      </c>
      <c r="C682" s="28" t="str">
        <f aca="false">IF(Data!C682="","",IFERROR(VLOOKUP(Data!C682,Codes!$A$6:$B$7,2,FALSE()),"Invalid ("&amp;Data!C682&amp;")"))</f>
        <v>Male</v>
      </c>
      <c r="D682" s="28" t="str">
        <f aca="false">IF(Data!D682="","",IFERROR(VLOOKUP(Data!D682,Codes!$A$11:$B$14,2,FALSE()),"Invalid ("&amp;Data!D682&amp;")"))</f>
        <v>Non-anginal pain</v>
      </c>
      <c r="E682" s="20" t="n">
        <f aca="false">IF(Data!E682="","",Data!E682)</f>
        <v>200</v>
      </c>
      <c r="F682" s="20" t="n">
        <f aca="false">IF(Data!F682="","",Data!F682)</f>
        <v>0</v>
      </c>
      <c r="G682" s="28" t="str">
        <f aca="false">IF(Data!G682="","",IFERROR(VLOOKUP(Data!G682,Codes!$A$18:$B$19,2,FALSE()),"Invalid ("&amp;Data!G682&amp;")"))</f>
        <v/>
      </c>
      <c r="H682" s="28" t="str">
        <f aca="false">IF(Data!H682="","",IFERROR(VLOOKUP(Data!H682,Codes!$A$23:$B$25,2,FALSE()),"Invalid ("&amp;Data!H682&amp;")"))</f>
        <v>ST-T wave abnormality</v>
      </c>
      <c r="I682" s="20" t="n">
        <f aca="false">IF(Data!I682="","",Data!I682)</f>
        <v>70</v>
      </c>
      <c r="J682" s="28" t="str">
        <f aca="false">IF(Data!J682="","",IFERROR(VLOOKUP(Data!J682,Codes!$A$29:$B$30,2,FALSE()),"Invalid ("&amp;Data!J682&amp;")"))</f>
        <v>No</v>
      </c>
      <c r="K682" s="21" t="n">
        <f aca="false">IF(Data!K682="","",Data!K682)</f>
        <v>0</v>
      </c>
      <c r="L682" s="28" t="str">
        <f aca="false">IF(Data!L682="","",IFERROR(VLOOKUP(Data!L682,Codes!$A$34:$B$36,2,FALSE()),"Invalid ("&amp;Data!L682&amp;")"))</f>
        <v/>
      </c>
      <c r="M682" s="20" t="str">
        <f aca="false">IF(Data!M682="","",Data!M682)</f>
        <v/>
      </c>
      <c r="N682" s="28" t="str">
        <f aca="false">IF(Data!N682="","",IFERROR(VLOOKUP(Data!N682,Codes!$A$47:$B$49,2,FALSE()),"Invalid ("&amp;Data!N682&amp;")"))</f>
        <v>Normal</v>
      </c>
      <c r="O682" s="28" t="str">
        <f aca="false">IF(Data!O682="","",IFERROR(VLOOKUP(Data!O682,Codes!$A$53:$B$57,2,FALSE()),"Invalid ("&amp;Data!O682&amp;")"))</f>
        <v>Disease (3)</v>
      </c>
      <c r="P682" s="22" t="str">
        <f aca="false">IF(Data!P682="","",IFERROR(VLOOKUP(Data!P682,Codes!$A$61:$B$64,2,FALSE()),"Invalid ("&amp;Data!P682&amp;")"))</f>
        <v>University Hospitals, Zurich &amp; Basel</v>
      </c>
    </row>
    <row r="683" customFormat="false" ht="15" hidden="false" customHeight="false" outlineLevel="0" collapsed="false">
      <c r="A683" s="19" t="n">
        <f aca="false">Data!A683</f>
        <v>682</v>
      </c>
      <c r="B683" s="20" t="n">
        <f aca="false">IF(Data!B683="","",Data!B683)</f>
        <v>61</v>
      </c>
      <c r="C683" s="28" t="str">
        <f aca="false">IF(Data!C683="","",IFERROR(VLOOKUP(Data!C683,Codes!$A$6:$B$7,2,FALSE()),"Invalid ("&amp;Data!C683&amp;")"))</f>
        <v>Male</v>
      </c>
      <c r="D683" s="28" t="str">
        <f aca="false">IF(Data!D683="","",IFERROR(VLOOKUP(Data!D683,Codes!$A$11:$B$14,2,FALSE()),"Invalid ("&amp;Data!D683&amp;")"))</f>
        <v>Asymptomatic</v>
      </c>
      <c r="E683" s="20" t="n">
        <f aca="false">IF(Data!E683="","",Data!E683)</f>
        <v>105</v>
      </c>
      <c r="F683" s="20" t="n">
        <f aca="false">IF(Data!F683="","",Data!F683)</f>
        <v>0</v>
      </c>
      <c r="G683" s="28" t="str">
        <f aca="false">IF(Data!G683="","",IFERROR(VLOOKUP(Data!G683,Codes!$A$18:$B$19,2,FALSE()),"Invalid ("&amp;Data!G683&amp;")"))</f>
        <v/>
      </c>
      <c r="H683" s="28" t="str">
        <f aca="false">IF(Data!H683="","",IFERROR(VLOOKUP(Data!H683,Codes!$A$23:$B$25,2,FALSE()),"Invalid ("&amp;Data!H683&amp;")"))</f>
        <v>Normal</v>
      </c>
      <c r="I683" s="20" t="n">
        <f aca="false">IF(Data!I683="","",Data!I683)</f>
        <v>110</v>
      </c>
      <c r="J683" s="28" t="str">
        <f aca="false">IF(Data!J683="","",IFERROR(VLOOKUP(Data!J683,Codes!$A$29:$B$30,2,FALSE()),"Invalid ("&amp;Data!J683&amp;")"))</f>
        <v>Yes</v>
      </c>
      <c r="K683" s="21" t="n">
        <f aca="false">IF(Data!K683="","",Data!K683)</f>
        <v>1.5</v>
      </c>
      <c r="L683" s="28" t="str">
        <f aca="false">IF(Data!L683="","",IFERROR(VLOOKUP(Data!L683,Codes!$A$34:$B$36,2,FALSE()),"Invalid ("&amp;Data!L683&amp;")"))</f>
        <v>Upsloping</v>
      </c>
      <c r="M683" s="20" t="str">
        <f aca="false">IF(Data!M683="","",Data!M683)</f>
        <v/>
      </c>
      <c r="N683" s="28" t="str">
        <f aca="false">IF(Data!N683="","",IFERROR(VLOOKUP(Data!N683,Codes!$A$47:$B$49,2,FALSE()),"Invalid ("&amp;Data!N683&amp;")"))</f>
        <v/>
      </c>
      <c r="O683" s="28" t="str">
        <f aca="false">IF(Data!O683="","",IFERROR(VLOOKUP(Data!O683,Codes!$A$53:$B$57,2,FALSE()),"Invalid ("&amp;Data!O683&amp;")"))</f>
        <v>Disease (1)</v>
      </c>
      <c r="P683" s="22" t="str">
        <f aca="false">IF(Data!P683="","",IFERROR(VLOOKUP(Data!P683,Codes!$A$61:$B$64,2,FALSE()),"Invalid ("&amp;Data!P683&amp;")"))</f>
        <v>University Hospitals, Zurich &amp; Basel</v>
      </c>
    </row>
    <row r="684" customFormat="false" ht="15" hidden="false" customHeight="false" outlineLevel="0" collapsed="false">
      <c r="A684" s="19" t="n">
        <f aca="false">Data!A684</f>
        <v>683</v>
      </c>
      <c r="B684" s="20" t="n">
        <f aca="false">IF(Data!B684="","",Data!B684)</f>
        <v>61</v>
      </c>
      <c r="C684" s="28" t="str">
        <f aca="false">IF(Data!C684="","",IFERROR(VLOOKUP(Data!C684,Codes!$A$6:$B$7,2,FALSE()),"Invalid ("&amp;Data!C684&amp;")"))</f>
        <v>Male</v>
      </c>
      <c r="D684" s="28" t="str">
        <f aca="false">IF(Data!D684="","",IFERROR(VLOOKUP(Data!D684,Codes!$A$11:$B$14,2,FALSE()),"Invalid ("&amp;Data!D684&amp;")"))</f>
        <v>Asymptomatic</v>
      </c>
      <c r="E684" s="20" t="n">
        <f aca="false">IF(Data!E684="","",Data!E684)</f>
        <v>110</v>
      </c>
      <c r="F684" s="20" t="n">
        <f aca="false">IF(Data!F684="","",Data!F684)</f>
        <v>0</v>
      </c>
      <c r="G684" s="28" t="str">
        <f aca="false">IF(Data!G684="","",IFERROR(VLOOKUP(Data!G684,Codes!$A$18:$B$19,2,FALSE()),"Invalid ("&amp;Data!G684&amp;")"))</f>
        <v/>
      </c>
      <c r="H684" s="28" t="str">
        <f aca="false">IF(Data!H684="","",IFERROR(VLOOKUP(Data!H684,Codes!$A$23:$B$25,2,FALSE()),"Invalid ("&amp;Data!H684&amp;")"))</f>
        <v>Normal</v>
      </c>
      <c r="I684" s="20" t="n">
        <f aca="false">IF(Data!I684="","",Data!I684)</f>
        <v>113</v>
      </c>
      <c r="J684" s="28" t="str">
        <f aca="false">IF(Data!J684="","",IFERROR(VLOOKUP(Data!J684,Codes!$A$29:$B$30,2,FALSE()),"Invalid ("&amp;Data!J684&amp;")"))</f>
        <v>No</v>
      </c>
      <c r="K684" s="21" t="n">
        <f aca="false">IF(Data!K684="","",Data!K684)</f>
        <v>1.4</v>
      </c>
      <c r="L684" s="28" t="str">
        <f aca="false">IF(Data!L684="","",IFERROR(VLOOKUP(Data!L684,Codes!$A$34:$B$36,2,FALSE()),"Invalid ("&amp;Data!L684&amp;")"))</f>
        <v>Flat</v>
      </c>
      <c r="M684" s="20" t="str">
        <f aca="false">IF(Data!M684="","",Data!M684)</f>
        <v/>
      </c>
      <c r="N684" s="28" t="str">
        <f aca="false">IF(Data!N684="","",IFERROR(VLOOKUP(Data!N684,Codes!$A$47:$B$49,2,FALSE()),"Invalid ("&amp;Data!N684&amp;")"))</f>
        <v/>
      </c>
      <c r="O684" s="28" t="str">
        <f aca="false">IF(Data!O684="","",IFERROR(VLOOKUP(Data!O684,Codes!$A$53:$B$57,2,FALSE()),"Invalid ("&amp;Data!O684&amp;")"))</f>
        <v>Disease (1)</v>
      </c>
      <c r="P684" s="22" t="str">
        <f aca="false">IF(Data!P684="","",IFERROR(VLOOKUP(Data!P684,Codes!$A$61:$B$64,2,FALSE()),"Invalid ("&amp;Data!P684&amp;")"))</f>
        <v>University Hospitals, Zurich &amp; Basel</v>
      </c>
    </row>
    <row r="685" customFormat="false" ht="15" hidden="false" customHeight="false" outlineLevel="0" collapsed="false">
      <c r="A685" s="19" t="n">
        <f aca="false">Data!A685</f>
        <v>684</v>
      </c>
      <c r="B685" s="20" t="n">
        <f aca="false">IF(Data!B685="","",Data!B685)</f>
        <v>61</v>
      </c>
      <c r="C685" s="28" t="str">
        <f aca="false">IF(Data!C685="","",IFERROR(VLOOKUP(Data!C685,Codes!$A$6:$B$7,2,FALSE()),"Invalid ("&amp;Data!C685&amp;")"))</f>
        <v>Male</v>
      </c>
      <c r="D685" s="28" t="str">
        <f aca="false">IF(Data!D685="","",IFERROR(VLOOKUP(Data!D685,Codes!$A$11:$B$14,2,FALSE()),"Invalid ("&amp;Data!D685&amp;")"))</f>
        <v>Asymptomatic</v>
      </c>
      <c r="E685" s="20" t="n">
        <f aca="false">IF(Data!E685="","",Data!E685)</f>
        <v>125</v>
      </c>
      <c r="F685" s="20" t="n">
        <f aca="false">IF(Data!F685="","",Data!F685)</f>
        <v>0</v>
      </c>
      <c r="G685" s="28" t="str">
        <f aca="false">IF(Data!G685="","",IFERROR(VLOOKUP(Data!G685,Codes!$A$18:$B$19,2,FALSE()),"Invalid ("&amp;Data!G685&amp;")"))</f>
        <v>No</v>
      </c>
      <c r="H685" s="28" t="str">
        <f aca="false">IF(Data!H685="","",IFERROR(VLOOKUP(Data!H685,Codes!$A$23:$B$25,2,FALSE()),"Invalid ("&amp;Data!H685&amp;")"))</f>
        <v>Normal</v>
      </c>
      <c r="I685" s="20" t="n">
        <f aca="false">IF(Data!I685="","",Data!I685)</f>
        <v>105</v>
      </c>
      <c r="J685" s="28" t="str">
        <f aca="false">IF(Data!J685="","",IFERROR(VLOOKUP(Data!J685,Codes!$A$29:$B$30,2,FALSE()),"Invalid ("&amp;Data!J685&amp;")"))</f>
        <v>Yes</v>
      </c>
      <c r="K685" s="21" t="n">
        <f aca="false">IF(Data!K685="","",Data!K685)</f>
        <v>0</v>
      </c>
      <c r="L685" s="28" t="str">
        <f aca="false">IF(Data!L685="","",IFERROR(VLOOKUP(Data!L685,Codes!$A$34:$B$36,2,FALSE()),"Invalid ("&amp;Data!L685&amp;")"))</f>
        <v>Downsloping</v>
      </c>
      <c r="M685" s="20" t="str">
        <f aca="false">IF(Data!M685="","",Data!M685)</f>
        <v/>
      </c>
      <c r="N685" s="28" t="str">
        <f aca="false">IF(Data!N685="","",IFERROR(VLOOKUP(Data!N685,Codes!$A$47:$B$49,2,FALSE()),"Invalid ("&amp;Data!N685&amp;")"))</f>
        <v>Reversible defect</v>
      </c>
      <c r="O685" s="28" t="str">
        <f aca="false">IF(Data!O685="","",IFERROR(VLOOKUP(Data!O685,Codes!$A$53:$B$57,2,FALSE()),"Invalid ("&amp;Data!O685&amp;")"))</f>
        <v>Disease (3)</v>
      </c>
      <c r="P685" s="22" t="str">
        <f aca="false">IF(Data!P685="","",IFERROR(VLOOKUP(Data!P685,Codes!$A$61:$B$64,2,FALSE()),"Invalid ("&amp;Data!P685&amp;")"))</f>
        <v>University Hospitals, Zurich &amp; Basel</v>
      </c>
    </row>
    <row r="686" customFormat="false" ht="15" hidden="false" customHeight="false" outlineLevel="0" collapsed="false">
      <c r="A686" s="19" t="n">
        <f aca="false">Data!A686</f>
        <v>685</v>
      </c>
      <c r="B686" s="20" t="n">
        <f aca="false">IF(Data!B686="","",Data!B686)</f>
        <v>61</v>
      </c>
      <c r="C686" s="28" t="str">
        <f aca="false">IF(Data!C686="","",IFERROR(VLOOKUP(Data!C686,Codes!$A$6:$B$7,2,FALSE()),"Invalid ("&amp;Data!C686&amp;")"))</f>
        <v>Male</v>
      </c>
      <c r="D686" s="28" t="str">
        <f aca="false">IF(Data!D686="","",IFERROR(VLOOKUP(Data!D686,Codes!$A$11:$B$14,2,FALSE()),"Invalid ("&amp;Data!D686&amp;")"))</f>
        <v>Asymptomatic</v>
      </c>
      <c r="E686" s="20" t="n">
        <f aca="false">IF(Data!E686="","",Data!E686)</f>
        <v>130</v>
      </c>
      <c r="F686" s="20" t="n">
        <f aca="false">IF(Data!F686="","",Data!F686)</f>
        <v>0</v>
      </c>
      <c r="G686" s="28" t="str">
        <f aca="false">IF(Data!G686="","",IFERROR(VLOOKUP(Data!G686,Codes!$A$18:$B$19,2,FALSE()),"Invalid ("&amp;Data!G686&amp;")"))</f>
        <v>No</v>
      </c>
      <c r="H686" s="28" t="str">
        <f aca="false">IF(Data!H686="","",IFERROR(VLOOKUP(Data!H686,Codes!$A$23:$B$25,2,FALSE()),"Invalid ("&amp;Data!H686&amp;")"))</f>
        <v>Left ventricular hypertrophy</v>
      </c>
      <c r="I686" s="20" t="n">
        <f aca="false">IF(Data!I686="","",Data!I686)</f>
        <v>115</v>
      </c>
      <c r="J686" s="28" t="str">
        <f aca="false">IF(Data!J686="","",IFERROR(VLOOKUP(Data!J686,Codes!$A$29:$B$30,2,FALSE()),"Invalid ("&amp;Data!J686&amp;")"))</f>
        <v>No</v>
      </c>
      <c r="K686" s="21" t="n">
        <f aca="false">IF(Data!K686="","",Data!K686)</f>
        <v>0</v>
      </c>
      <c r="L686" s="28" t="str">
        <f aca="false">IF(Data!L686="","",IFERROR(VLOOKUP(Data!L686,Codes!$A$34:$B$36,2,FALSE()),"Invalid ("&amp;Data!L686&amp;")"))</f>
        <v>Flat</v>
      </c>
      <c r="M686" s="20" t="str">
        <f aca="false">IF(Data!M686="","",Data!M686)</f>
        <v/>
      </c>
      <c r="N686" s="28" t="str">
        <f aca="false">IF(Data!N686="","",IFERROR(VLOOKUP(Data!N686,Codes!$A$47:$B$49,2,FALSE()),"Invalid ("&amp;Data!N686&amp;")"))</f>
        <v>Reversible defect</v>
      </c>
      <c r="O686" s="28" t="str">
        <f aca="false">IF(Data!O686="","",IFERROR(VLOOKUP(Data!O686,Codes!$A$53:$B$57,2,FALSE()),"Invalid ("&amp;Data!O686&amp;")"))</f>
        <v>Disease (3)</v>
      </c>
      <c r="P686" s="22" t="str">
        <f aca="false">IF(Data!P686="","",IFERROR(VLOOKUP(Data!P686,Codes!$A$61:$B$64,2,FALSE()),"Invalid ("&amp;Data!P686&amp;")"))</f>
        <v>University Hospitals, Zurich &amp; Basel</v>
      </c>
    </row>
    <row r="687" customFormat="false" ht="15" hidden="false" customHeight="false" outlineLevel="0" collapsed="false">
      <c r="A687" s="19" t="n">
        <f aca="false">Data!A687</f>
        <v>686</v>
      </c>
      <c r="B687" s="20" t="n">
        <f aca="false">IF(Data!B687="","",Data!B687)</f>
        <v>61</v>
      </c>
      <c r="C687" s="28" t="str">
        <f aca="false">IF(Data!C687="","",IFERROR(VLOOKUP(Data!C687,Codes!$A$6:$B$7,2,FALSE()),"Invalid ("&amp;Data!C687&amp;")"))</f>
        <v>Male</v>
      </c>
      <c r="D687" s="28" t="str">
        <f aca="false">IF(Data!D687="","",IFERROR(VLOOKUP(Data!D687,Codes!$A$11:$B$14,2,FALSE()),"Invalid ("&amp;Data!D687&amp;")"))</f>
        <v>Asymptomatic</v>
      </c>
      <c r="E687" s="20" t="n">
        <f aca="false">IF(Data!E687="","",Data!E687)</f>
        <v>130</v>
      </c>
      <c r="F687" s="20" t="n">
        <f aca="false">IF(Data!F687="","",Data!F687)</f>
        <v>0</v>
      </c>
      <c r="G687" s="28" t="str">
        <f aca="false">IF(Data!G687="","",IFERROR(VLOOKUP(Data!G687,Codes!$A$18:$B$19,2,FALSE()),"Invalid ("&amp;Data!G687&amp;")"))</f>
        <v/>
      </c>
      <c r="H687" s="28" t="str">
        <f aca="false">IF(Data!H687="","",IFERROR(VLOOKUP(Data!H687,Codes!$A$23:$B$25,2,FALSE()),"Invalid ("&amp;Data!H687&amp;")"))</f>
        <v>Normal</v>
      </c>
      <c r="I687" s="20" t="n">
        <f aca="false">IF(Data!I687="","",Data!I687)</f>
        <v>77</v>
      </c>
      <c r="J687" s="28" t="str">
        <f aca="false">IF(Data!J687="","",IFERROR(VLOOKUP(Data!J687,Codes!$A$29:$B$30,2,FALSE()),"Invalid ("&amp;Data!J687&amp;")"))</f>
        <v>No</v>
      </c>
      <c r="K687" s="21" t="n">
        <f aca="false">IF(Data!K687="","",Data!K687)</f>
        <v>2.5</v>
      </c>
      <c r="L687" s="28" t="str">
        <f aca="false">IF(Data!L687="","",IFERROR(VLOOKUP(Data!L687,Codes!$A$34:$B$36,2,FALSE()),"Invalid ("&amp;Data!L687&amp;")"))</f>
        <v>Flat</v>
      </c>
      <c r="M687" s="20" t="str">
        <f aca="false">IF(Data!M687="","",Data!M687)</f>
        <v/>
      </c>
      <c r="N687" s="28" t="str">
        <f aca="false">IF(Data!N687="","",IFERROR(VLOOKUP(Data!N687,Codes!$A$47:$B$49,2,FALSE()),"Invalid ("&amp;Data!N687&amp;")"))</f>
        <v/>
      </c>
      <c r="O687" s="28" t="str">
        <f aca="false">IF(Data!O687="","",IFERROR(VLOOKUP(Data!O687,Codes!$A$53:$B$57,2,FALSE()),"Invalid ("&amp;Data!O687&amp;")"))</f>
        <v>Disease (3)</v>
      </c>
      <c r="P687" s="22" t="str">
        <f aca="false">IF(Data!P687="","",IFERROR(VLOOKUP(Data!P687,Codes!$A$61:$B$64,2,FALSE()),"Invalid ("&amp;Data!P687&amp;")"))</f>
        <v>University Hospitals, Zurich &amp; Basel</v>
      </c>
    </row>
    <row r="688" customFormat="false" ht="15" hidden="false" customHeight="false" outlineLevel="0" collapsed="false">
      <c r="A688" s="19" t="n">
        <f aca="false">Data!A688</f>
        <v>687</v>
      </c>
      <c r="B688" s="20" t="n">
        <f aca="false">IF(Data!B688="","",Data!B688)</f>
        <v>61</v>
      </c>
      <c r="C688" s="28" t="str">
        <f aca="false">IF(Data!C688="","",IFERROR(VLOOKUP(Data!C688,Codes!$A$6:$B$7,2,FALSE()),"Invalid ("&amp;Data!C688&amp;")"))</f>
        <v>Male</v>
      </c>
      <c r="D688" s="28" t="str">
        <f aca="false">IF(Data!D688="","",IFERROR(VLOOKUP(Data!D688,Codes!$A$11:$B$14,2,FALSE()),"Invalid ("&amp;Data!D688&amp;")"))</f>
        <v>Asymptomatic</v>
      </c>
      <c r="E688" s="20" t="n">
        <f aca="false">IF(Data!E688="","",Data!E688)</f>
        <v>150</v>
      </c>
      <c r="F688" s="20" t="n">
        <f aca="false">IF(Data!F688="","",Data!F688)</f>
        <v>0</v>
      </c>
      <c r="G688" s="28" t="str">
        <f aca="false">IF(Data!G688="","",IFERROR(VLOOKUP(Data!G688,Codes!$A$18:$B$19,2,FALSE()),"Invalid ("&amp;Data!G688&amp;")"))</f>
        <v>No</v>
      </c>
      <c r="H688" s="28" t="str">
        <f aca="false">IF(Data!H688="","",IFERROR(VLOOKUP(Data!H688,Codes!$A$23:$B$25,2,FALSE()),"Invalid ("&amp;Data!H688&amp;")"))</f>
        <v>Normal</v>
      </c>
      <c r="I688" s="20" t="n">
        <f aca="false">IF(Data!I688="","",Data!I688)</f>
        <v>105</v>
      </c>
      <c r="J688" s="28" t="str">
        <f aca="false">IF(Data!J688="","",IFERROR(VLOOKUP(Data!J688,Codes!$A$29:$B$30,2,FALSE()),"Invalid ("&amp;Data!J688&amp;")"))</f>
        <v>Yes</v>
      </c>
      <c r="K688" s="21" t="n">
        <f aca="false">IF(Data!K688="","",Data!K688)</f>
        <v>0</v>
      </c>
      <c r="L688" s="28" t="str">
        <f aca="false">IF(Data!L688="","",IFERROR(VLOOKUP(Data!L688,Codes!$A$34:$B$36,2,FALSE()),"Invalid ("&amp;Data!L688&amp;")"))</f>
        <v>Flat</v>
      </c>
      <c r="M688" s="20" t="str">
        <f aca="false">IF(Data!M688="","",Data!M688)</f>
        <v/>
      </c>
      <c r="N688" s="28" t="str">
        <f aca="false">IF(Data!N688="","",IFERROR(VLOOKUP(Data!N688,Codes!$A$47:$B$49,2,FALSE()),"Invalid ("&amp;Data!N688&amp;")"))</f>
        <v>Reversible defect</v>
      </c>
      <c r="O688" s="28" t="str">
        <f aca="false">IF(Data!O688="","",IFERROR(VLOOKUP(Data!O688,Codes!$A$53:$B$57,2,FALSE()),"Invalid ("&amp;Data!O688&amp;")"))</f>
        <v>Disease (1)</v>
      </c>
      <c r="P688" s="22" t="str">
        <f aca="false">IF(Data!P688="","",IFERROR(VLOOKUP(Data!P688,Codes!$A$61:$B$64,2,FALSE()),"Invalid ("&amp;Data!P688&amp;")"))</f>
        <v>University Hospitals, Zurich &amp; Basel</v>
      </c>
    </row>
    <row r="689" customFormat="false" ht="15" hidden="false" customHeight="false" outlineLevel="0" collapsed="false">
      <c r="A689" s="19" t="n">
        <f aca="false">Data!A689</f>
        <v>688</v>
      </c>
      <c r="B689" s="20" t="n">
        <f aca="false">IF(Data!B689="","",Data!B689)</f>
        <v>61</v>
      </c>
      <c r="C689" s="28" t="str">
        <f aca="false">IF(Data!C689="","",IFERROR(VLOOKUP(Data!C689,Codes!$A$6:$B$7,2,FALSE()),"Invalid ("&amp;Data!C689&amp;")"))</f>
        <v>Male</v>
      </c>
      <c r="D689" s="28" t="str">
        <f aca="false">IF(Data!D689="","",IFERROR(VLOOKUP(Data!D689,Codes!$A$11:$B$14,2,FALSE()),"Invalid ("&amp;Data!D689&amp;")"))</f>
        <v>Asymptomatic</v>
      </c>
      <c r="E689" s="20" t="n">
        <f aca="false">IF(Data!E689="","",Data!E689)</f>
        <v>150</v>
      </c>
      <c r="F689" s="20" t="n">
        <f aca="false">IF(Data!F689="","",Data!F689)</f>
        <v>0</v>
      </c>
      <c r="G689" s="28" t="str">
        <f aca="false">IF(Data!G689="","",IFERROR(VLOOKUP(Data!G689,Codes!$A$18:$B$19,2,FALSE()),"Invalid ("&amp;Data!G689&amp;")"))</f>
        <v>No</v>
      </c>
      <c r="H689" s="28" t="str">
        <f aca="false">IF(Data!H689="","",IFERROR(VLOOKUP(Data!H689,Codes!$A$23:$B$25,2,FALSE()),"Invalid ("&amp;Data!H689&amp;")"))</f>
        <v>Normal</v>
      </c>
      <c r="I689" s="20" t="n">
        <f aca="false">IF(Data!I689="","",Data!I689)</f>
        <v>117</v>
      </c>
      <c r="J689" s="28" t="str">
        <f aca="false">IF(Data!J689="","",IFERROR(VLOOKUP(Data!J689,Codes!$A$29:$B$30,2,FALSE()),"Invalid ("&amp;Data!J689&amp;")"))</f>
        <v>Yes</v>
      </c>
      <c r="K689" s="21" t="n">
        <f aca="false">IF(Data!K689="","",Data!K689)</f>
        <v>2</v>
      </c>
      <c r="L689" s="28" t="str">
        <f aca="false">IF(Data!L689="","",IFERROR(VLOOKUP(Data!L689,Codes!$A$34:$B$36,2,FALSE()),"Invalid ("&amp;Data!L689&amp;")"))</f>
        <v>Flat</v>
      </c>
      <c r="M689" s="20" t="str">
        <f aca="false">IF(Data!M689="","",Data!M689)</f>
        <v/>
      </c>
      <c r="N689" s="28" t="str">
        <f aca="false">IF(Data!N689="","",IFERROR(VLOOKUP(Data!N689,Codes!$A$47:$B$49,2,FALSE()),"Invalid ("&amp;Data!N689&amp;")"))</f>
        <v>Reversible defect</v>
      </c>
      <c r="O689" s="28" t="str">
        <f aca="false">IF(Data!O689="","",IFERROR(VLOOKUP(Data!O689,Codes!$A$53:$B$57,2,FALSE()),"Invalid ("&amp;Data!O689&amp;")"))</f>
        <v>Disease (2)</v>
      </c>
      <c r="P689" s="22" t="str">
        <f aca="false">IF(Data!P689="","",IFERROR(VLOOKUP(Data!P689,Codes!$A$61:$B$64,2,FALSE()),"Invalid ("&amp;Data!P689&amp;")"))</f>
        <v>University Hospitals, Zurich &amp; Basel</v>
      </c>
    </row>
    <row r="690" customFormat="false" ht="15" hidden="false" customHeight="false" outlineLevel="0" collapsed="false">
      <c r="A690" s="19" t="n">
        <f aca="false">Data!A690</f>
        <v>689</v>
      </c>
      <c r="B690" s="20" t="n">
        <f aca="false">IF(Data!B690="","",Data!B690)</f>
        <v>61</v>
      </c>
      <c r="C690" s="28" t="str">
        <f aca="false">IF(Data!C690="","",IFERROR(VLOOKUP(Data!C690,Codes!$A$6:$B$7,2,FALSE()),"Invalid ("&amp;Data!C690&amp;")"))</f>
        <v>Male</v>
      </c>
      <c r="D690" s="28" t="str">
        <f aca="false">IF(Data!D690="","",IFERROR(VLOOKUP(Data!D690,Codes!$A$11:$B$14,2,FALSE()),"Invalid ("&amp;Data!D690&amp;")"))</f>
        <v>Asymptomatic</v>
      </c>
      <c r="E690" s="20" t="n">
        <f aca="false">IF(Data!E690="","",Data!E690)</f>
        <v>160</v>
      </c>
      <c r="F690" s="20" t="n">
        <f aca="false">IF(Data!F690="","",Data!F690)</f>
        <v>0</v>
      </c>
      <c r="G690" s="28" t="str">
        <f aca="false">IF(Data!G690="","",IFERROR(VLOOKUP(Data!G690,Codes!$A$18:$B$19,2,FALSE()),"Invalid ("&amp;Data!G690&amp;")"))</f>
        <v>Yes</v>
      </c>
      <c r="H690" s="28" t="str">
        <f aca="false">IF(Data!H690="","",IFERROR(VLOOKUP(Data!H690,Codes!$A$23:$B$25,2,FALSE()),"Invalid ("&amp;Data!H690&amp;")"))</f>
        <v>ST-T wave abnormality</v>
      </c>
      <c r="I690" s="20" t="n">
        <f aca="false">IF(Data!I690="","",Data!I690)</f>
        <v>145</v>
      </c>
      <c r="J690" s="28" t="str">
        <f aca="false">IF(Data!J690="","",IFERROR(VLOOKUP(Data!J690,Codes!$A$29:$B$30,2,FALSE()),"Invalid ("&amp;Data!J690&amp;")"))</f>
        <v>No</v>
      </c>
      <c r="K690" s="21" t="n">
        <f aca="false">IF(Data!K690="","",Data!K690)</f>
        <v>1</v>
      </c>
      <c r="L690" s="28" t="str">
        <f aca="false">IF(Data!L690="","",IFERROR(VLOOKUP(Data!L690,Codes!$A$34:$B$36,2,FALSE()),"Invalid ("&amp;Data!L690&amp;")"))</f>
        <v>Flat</v>
      </c>
      <c r="M690" s="20" t="str">
        <f aca="false">IF(Data!M690="","",Data!M690)</f>
        <v/>
      </c>
      <c r="N690" s="28" t="str">
        <f aca="false">IF(Data!N690="","",IFERROR(VLOOKUP(Data!N690,Codes!$A$47:$B$49,2,FALSE()),"Invalid ("&amp;Data!N690&amp;")"))</f>
        <v>Reversible defect</v>
      </c>
      <c r="O690" s="28" t="str">
        <f aca="false">IF(Data!O690="","",IFERROR(VLOOKUP(Data!O690,Codes!$A$53:$B$57,2,FALSE()),"Invalid ("&amp;Data!O690&amp;")"))</f>
        <v>Disease (2)</v>
      </c>
      <c r="P690" s="22" t="str">
        <f aca="false">IF(Data!P690="","",IFERROR(VLOOKUP(Data!P690,Codes!$A$61:$B$64,2,FALSE()),"Invalid ("&amp;Data!P690&amp;")"))</f>
        <v>University Hospitals, Zurich &amp; Basel</v>
      </c>
    </row>
    <row r="691" customFormat="false" ht="15" hidden="false" customHeight="false" outlineLevel="0" collapsed="false">
      <c r="A691" s="19" t="n">
        <f aca="false">Data!A691</f>
        <v>690</v>
      </c>
      <c r="B691" s="20" t="n">
        <f aca="false">IF(Data!B691="","",Data!B691)</f>
        <v>62</v>
      </c>
      <c r="C691" s="28" t="str">
        <f aca="false">IF(Data!C691="","",IFERROR(VLOOKUP(Data!C691,Codes!$A$6:$B$7,2,FALSE()),"Invalid ("&amp;Data!C691&amp;")"))</f>
        <v>Female</v>
      </c>
      <c r="D691" s="28" t="str">
        <f aca="false">IF(Data!D691="","",IFERROR(VLOOKUP(Data!D691,Codes!$A$11:$B$14,2,FALSE()),"Invalid ("&amp;Data!D691&amp;")"))</f>
        <v>Typical angina</v>
      </c>
      <c r="E691" s="20" t="n">
        <f aca="false">IF(Data!E691="","",Data!E691)</f>
        <v>140</v>
      </c>
      <c r="F691" s="20" t="n">
        <f aca="false">IF(Data!F691="","",Data!F691)</f>
        <v>0</v>
      </c>
      <c r="G691" s="28" t="str">
        <f aca="false">IF(Data!G691="","",IFERROR(VLOOKUP(Data!G691,Codes!$A$18:$B$19,2,FALSE()),"Invalid ("&amp;Data!G691&amp;")"))</f>
        <v/>
      </c>
      <c r="H691" s="28" t="str">
        <f aca="false">IF(Data!H691="","",IFERROR(VLOOKUP(Data!H691,Codes!$A$23:$B$25,2,FALSE()),"Invalid ("&amp;Data!H691&amp;")"))</f>
        <v>Normal</v>
      </c>
      <c r="I691" s="20" t="n">
        <f aca="false">IF(Data!I691="","",Data!I691)</f>
        <v>143</v>
      </c>
      <c r="J691" s="28" t="str">
        <f aca="false">IF(Data!J691="","",IFERROR(VLOOKUP(Data!J691,Codes!$A$29:$B$30,2,FALSE()),"Invalid ("&amp;Data!J691&amp;")"))</f>
        <v>No</v>
      </c>
      <c r="K691" s="21" t="n">
        <f aca="false">IF(Data!K691="","",Data!K691)</f>
        <v>0</v>
      </c>
      <c r="L691" s="28" t="str">
        <f aca="false">IF(Data!L691="","",IFERROR(VLOOKUP(Data!L691,Codes!$A$34:$B$36,2,FALSE()),"Invalid ("&amp;Data!L691&amp;")"))</f>
        <v/>
      </c>
      <c r="M691" s="20" t="str">
        <f aca="false">IF(Data!M691="","",Data!M691)</f>
        <v/>
      </c>
      <c r="N691" s="28" t="str">
        <f aca="false">IF(Data!N691="","",IFERROR(VLOOKUP(Data!N691,Codes!$A$47:$B$49,2,FALSE()),"Invalid ("&amp;Data!N691&amp;")"))</f>
        <v>Normal</v>
      </c>
      <c r="O691" s="28" t="str">
        <f aca="false">IF(Data!O691="","",IFERROR(VLOOKUP(Data!O691,Codes!$A$53:$B$57,2,FALSE()),"Invalid ("&amp;Data!O691&amp;")"))</f>
        <v>Disease (2)</v>
      </c>
      <c r="P691" s="22" t="str">
        <f aca="false">IF(Data!P691="","",IFERROR(VLOOKUP(Data!P691,Codes!$A$61:$B$64,2,FALSE()),"Invalid ("&amp;Data!P691&amp;")"))</f>
        <v>University Hospitals, Zurich &amp; Basel</v>
      </c>
    </row>
    <row r="692" customFormat="false" ht="15" hidden="false" customHeight="false" outlineLevel="0" collapsed="false">
      <c r="A692" s="19" t="n">
        <f aca="false">Data!A692</f>
        <v>691</v>
      </c>
      <c r="B692" s="20" t="n">
        <f aca="false">IF(Data!B692="","",Data!B692)</f>
        <v>62</v>
      </c>
      <c r="C692" s="28" t="str">
        <f aca="false">IF(Data!C692="","",IFERROR(VLOOKUP(Data!C692,Codes!$A$6:$B$7,2,FALSE()),"Invalid ("&amp;Data!C692&amp;")"))</f>
        <v>Female</v>
      </c>
      <c r="D692" s="28" t="str">
        <f aca="false">IF(Data!D692="","",IFERROR(VLOOKUP(Data!D692,Codes!$A$11:$B$14,2,FALSE()),"Invalid ("&amp;Data!D692&amp;")"))</f>
        <v>Asymptomatic</v>
      </c>
      <c r="E692" s="20" t="n">
        <f aca="false">IF(Data!E692="","",Data!E692)</f>
        <v>120</v>
      </c>
      <c r="F692" s="20" t="n">
        <f aca="false">IF(Data!F692="","",Data!F692)</f>
        <v>0</v>
      </c>
      <c r="G692" s="28" t="str">
        <f aca="false">IF(Data!G692="","",IFERROR(VLOOKUP(Data!G692,Codes!$A$18:$B$19,2,FALSE()),"Invalid ("&amp;Data!G692&amp;")"))</f>
        <v/>
      </c>
      <c r="H692" s="28" t="str">
        <f aca="false">IF(Data!H692="","",IFERROR(VLOOKUP(Data!H692,Codes!$A$23:$B$25,2,FALSE()),"Invalid ("&amp;Data!H692&amp;")"))</f>
        <v>ST-T wave abnormality</v>
      </c>
      <c r="I692" s="20" t="n">
        <f aca="false">IF(Data!I692="","",Data!I692)</f>
        <v>123</v>
      </c>
      <c r="J692" s="28" t="str">
        <f aca="false">IF(Data!J692="","",IFERROR(VLOOKUP(Data!J692,Codes!$A$29:$B$30,2,FALSE()),"Invalid ("&amp;Data!J692&amp;")"))</f>
        <v>Yes</v>
      </c>
      <c r="K692" s="21" t="n">
        <f aca="false">IF(Data!K692="","",Data!K692)</f>
        <v>1.7</v>
      </c>
      <c r="L692" s="28" t="str">
        <f aca="false">IF(Data!L692="","",IFERROR(VLOOKUP(Data!L692,Codes!$A$34:$B$36,2,FALSE()),"Invalid ("&amp;Data!L692&amp;")"))</f>
        <v>Downsloping</v>
      </c>
      <c r="M692" s="20" t="str">
        <f aca="false">IF(Data!M692="","",Data!M692)</f>
        <v/>
      </c>
      <c r="N692" s="28" t="str">
        <f aca="false">IF(Data!N692="","",IFERROR(VLOOKUP(Data!N692,Codes!$A$47:$B$49,2,FALSE()),"Invalid ("&amp;Data!N692&amp;")"))</f>
        <v/>
      </c>
      <c r="O692" s="28" t="str">
        <f aca="false">IF(Data!O692="","",IFERROR(VLOOKUP(Data!O692,Codes!$A$53:$B$57,2,FALSE()),"Invalid ("&amp;Data!O692&amp;")"))</f>
        <v>Disease (1)</v>
      </c>
      <c r="P692" s="22" t="str">
        <f aca="false">IF(Data!P692="","",IFERROR(VLOOKUP(Data!P692,Codes!$A$61:$B$64,2,FALSE()),"Invalid ("&amp;Data!P692&amp;")"))</f>
        <v>University Hospitals, Zurich &amp; Basel</v>
      </c>
    </row>
    <row r="693" customFormat="false" ht="15" hidden="false" customHeight="false" outlineLevel="0" collapsed="false">
      <c r="A693" s="19" t="n">
        <f aca="false">Data!A693</f>
        <v>692</v>
      </c>
      <c r="B693" s="20" t="n">
        <f aca="false">IF(Data!B693="","",Data!B693)</f>
        <v>62</v>
      </c>
      <c r="C693" s="28" t="str">
        <f aca="false">IF(Data!C693="","",IFERROR(VLOOKUP(Data!C693,Codes!$A$6:$B$7,2,FALSE()),"Invalid ("&amp;Data!C693&amp;")"))</f>
        <v>Male</v>
      </c>
      <c r="D693" s="28" t="str">
        <f aca="false">IF(Data!D693="","",IFERROR(VLOOKUP(Data!D693,Codes!$A$11:$B$14,2,FALSE()),"Invalid ("&amp;Data!D693&amp;")"))</f>
        <v>Typical angina</v>
      </c>
      <c r="E693" s="20" t="n">
        <f aca="false">IF(Data!E693="","",Data!E693)</f>
        <v>120</v>
      </c>
      <c r="F693" s="20" t="n">
        <f aca="false">IF(Data!F693="","",Data!F693)</f>
        <v>0</v>
      </c>
      <c r="G693" s="28" t="str">
        <f aca="false">IF(Data!G693="","",IFERROR(VLOOKUP(Data!G693,Codes!$A$18:$B$19,2,FALSE()),"Invalid ("&amp;Data!G693&amp;")"))</f>
        <v/>
      </c>
      <c r="H693" s="28" t="str">
        <f aca="false">IF(Data!H693="","",IFERROR(VLOOKUP(Data!H693,Codes!$A$23:$B$25,2,FALSE()),"Invalid ("&amp;Data!H693&amp;")"))</f>
        <v>Left ventricular hypertrophy</v>
      </c>
      <c r="I693" s="20" t="n">
        <f aca="false">IF(Data!I693="","",Data!I693)</f>
        <v>134</v>
      </c>
      <c r="J693" s="28" t="str">
        <f aca="false">IF(Data!J693="","",IFERROR(VLOOKUP(Data!J693,Codes!$A$29:$B$30,2,FALSE()),"Invalid ("&amp;Data!J693&amp;")"))</f>
        <v>No</v>
      </c>
      <c r="K693" s="21" t="n">
        <f aca="false">IF(Data!K693="","",Data!K693)</f>
        <v>-0.8</v>
      </c>
      <c r="L693" s="28" t="str">
        <f aca="false">IF(Data!L693="","",IFERROR(VLOOKUP(Data!L693,Codes!$A$34:$B$36,2,FALSE()),"Invalid ("&amp;Data!L693&amp;")"))</f>
        <v>Flat</v>
      </c>
      <c r="M693" s="20" t="n">
        <f aca="false">IF(Data!M693="","",Data!M693)</f>
        <v>2</v>
      </c>
      <c r="N693" s="28" t="str">
        <f aca="false">IF(Data!N693="","",IFERROR(VLOOKUP(Data!N693,Codes!$A$47:$B$49,2,FALSE()),"Invalid ("&amp;Data!N693&amp;")"))</f>
        <v/>
      </c>
      <c r="O693" s="28" t="str">
        <f aca="false">IF(Data!O693="","",IFERROR(VLOOKUP(Data!O693,Codes!$A$53:$B$57,2,FALSE()),"Invalid ("&amp;Data!O693&amp;")"))</f>
        <v>Disease (1)</v>
      </c>
      <c r="P693" s="22" t="str">
        <f aca="false">IF(Data!P693="","",IFERROR(VLOOKUP(Data!P693,Codes!$A$61:$B$64,2,FALSE()),"Invalid ("&amp;Data!P693&amp;")"))</f>
        <v>University Hospitals, Zurich &amp; Basel</v>
      </c>
    </row>
    <row r="694" customFormat="false" ht="15" hidden="false" customHeight="false" outlineLevel="0" collapsed="false">
      <c r="A694" s="19" t="n">
        <f aca="false">Data!A694</f>
        <v>693</v>
      </c>
      <c r="B694" s="20" t="n">
        <f aca="false">IF(Data!B694="","",Data!B694)</f>
        <v>62</v>
      </c>
      <c r="C694" s="28" t="str">
        <f aca="false">IF(Data!C694="","",IFERROR(VLOOKUP(Data!C694,Codes!$A$6:$B$7,2,FALSE()),"Invalid ("&amp;Data!C694&amp;")"))</f>
        <v>Male</v>
      </c>
      <c r="D694" s="28" t="str">
        <f aca="false">IF(Data!D694="","",IFERROR(VLOOKUP(Data!D694,Codes!$A$11:$B$14,2,FALSE()),"Invalid ("&amp;Data!D694&amp;")"))</f>
        <v>Non-anginal pain</v>
      </c>
      <c r="E694" s="20" t="n">
        <f aca="false">IF(Data!E694="","",Data!E694)</f>
        <v>160</v>
      </c>
      <c r="F694" s="20" t="n">
        <f aca="false">IF(Data!F694="","",Data!F694)</f>
        <v>0</v>
      </c>
      <c r="G694" s="28" t="str">
        <f aca="false">IF(Data!G694="","",IFERROR(VLOOKUP(Data!G694,Codes!$A$18:$B$19,2,FALSE()),"Invalid ("&amp;Data!G694&amp;")"))</f>
        <v>No</v>
      </c>
      <c r="H694" s="28" t="str">
        <f aca="false">IF(Data!H694="","",IFERROR(VLOOKUP(Data!H694,Codes!$A$23:$B$25,2,FALSE()),"Invalid ("&amp;Data!H694&amp;")"))</f>
        <v>Normal</v>
      </c>
      <c r="I694" s="20" t="n">
        <f aca="false">IF(Data!I694="","",Data!I694)</f>
        <v>72</v>
      </c>
      <c r="J694" s="28" t="str">
        <f aca="false">IF(Data!J694="","",IFERROR(VLOOKUP(Data!J694,Codes!$A$29:$B$30,2,FALSE()),"Invalid ("&amp;Data!J694&amp;")"))</f>
        <v>Yes</v>
      </c>
      <c r="K694" s="21" t="n">
        <f aca="false">IF(Data!K694="","",Data!K694)</f>
        <v>0</v>
      </c>
      <c r="L694" s="28" t="str">
        <f aca="false">IF(Data!L694="","",IFERROR(VLOOKUP(Data!L694,Codes!$A$34:$B$36,2,FALSE()),"Invalid ("&amp;Data!L694&amp;")"))</f>
        <v>Flat</v>
      </c>
      <c r="M694" s="20" t="str">
        <f aca="false">IF(Data!M694="","",Data!M694)</f>
        <v/>
      </c>
      <c r="N694" s="28" t="str">
        <f aca="false">IF(Data!N694="","",IFERROR(VLOOKUP(Data!N694,Codes!$A$47:$B$49,2,FALSE()),"Invalid ("&amp;Data!N694&amp;")"))</f>
        <v>Normal</v>
      </c>
      <c r="O694" s="28" t="str">
        <f aca="false">IF(Data!O694="","",IFERROR(VLOOKUP(Data!O694,Codes!$A$53:$B$57,2,FALSE()),"Invalid ("&amp;Data!O694&amp;")"))</f>
        <v>Disease (3)</v>
      </c>
      <c r="P694" s="22" t="str">
        <f aca="false">IF(Data!P694="","",IFERROR(VLOOKUP(Data!P694,Codes!$A$61:$B$64,2,FALSE()),"Invalid ("&amp;Data!P694&amp;")"))</f>
        <v>University Hospitals, Zurich &amp; Basel</v>
      </c>
    </row>
    <row r="695" customFormat="false" ht="15" hidden="false" customHeight="false" outlineLevel="0" collapsed="false">
      <c r="A695" s="19" t="n">
        <f aca="false">Data!A695</f>
        <v>694</v>
      </c>
      <c r="B695" s="20" t="n">
        <f aca="false">IF(Data!B695="","",Data!B695)</f>
        <v>62</v>
      </c>
      <c r="C695" s="28" t="str">
        <f aca="false">IF(Data!C695="","",IFERROR(VLOOKUP(Data!C695,Codes!$A$6:$B$7,2,FALSE()),"Invalid ("&amp;Data!C695&amp;")"))</f>
        <v>Male</v>
      </c>
      <c r="D695" s="28" t="str">
        <f aca="false">IF(Data!D695="","",IFERROR(VLOOKUP(Data!D695,Codes!$A$11:$B$14,2,FALSE()),"Invalid ("&amp;Data!D695&amp;")"))</f>
        <v>Asymptomatic</v>
      </c>
      <c r="E695" s="20" t="n">
        <f aca="false">IF(Data!E695="","",Data!E695)</f>
        <v>115</v>
      </c>
      <c r="F695" s="20" t="n">
        <f aca="false">IF(Data!F695="","",Data!F695)</f>
        <v>0</v>
      </c>
      <c r="G695" s="28" t="str">
        <f aca="false">IF(Data!G695="","",IFERROR(VLOOKUP(Data!G695,Codes!$A$18:$B$19,2,FALSE()),"Invalid ("&amp;Data!G695&amp;")"))</f>
        <v/>
      </c>
      <c r="H695" s="28" t="str">
        <f aca="false">IF(Data!H695="","",IFERROR(VLOOKUP(Data!H695,Codes!$A$23:$B$25,2,FALSE()),"Invalid ("&amp;Data!H695&amp;")"))</f>
        <v>Normal</v>
      </c>
      <c r="I695" s="20" t="n">
        <f aca="false">IF(Data!I695="","",Data!I695)</f>
        <v>128</v>
      </c>
      <c r="J695" s="28" t="str">
        <f aca="false">IF(Data!J695="","",IFERROR(VLOOKUP(Data!J695,Codes!$A$29:$B$30,2,FALSE()),"Invalid ("&amp;Data!J695&amp;")"))</f>
        <v>Yes</v>
      </c>
      <c r="K695" s="21" t="n">
        <f aca="false">IF(Data!K695="","",Data!K695)</f>
        <v>2.5</v>
      </c>
      <c r="L695" s="28" t="str">
        <f aca="false">IF(Data!L695="","",IFERROR(VLOOKUP(Data!L695,Codes!$A$34:$B$36,2,FALSE()),"Invalid ("&amp;Data!L695&amp;")"))</f>
        <v>Downsloping</v>
      </c>
      <c r="M695" s="20" t="str">
        <f aca="false">IF(Data!M695="","",Data!M695)</f>
        <v/>
      </c>
      <c r="N695" s="28" t="str">
        <f aca="false">IF(Data!N695="","",IFERROR(VLOOKUP(Data!N695,Codes!$A$47:$B$49,2,FALSE()),"Invalid ("&amp;Data!N695&amp;")"))</f>
        <v/>
      </c>
      <c r="O695" s="28" t="str">
        <f aca="false">IF(Data!O695="","",IFERROR(VLOOKUP(Data!O695,Codes!$A$53:$B$57,2,FALSE()),"Invalid ("&amp;Data!O695&amp;")"))</f>
        <v>Disease (2)</v>
      </c>
      <c r="P695" s="22" t="str">
        <f aca="false">IF(Data!P695="","",IFERROR(VLOOKUP(Data!P695,Codes!$A$61:$B$64,2,FALSE()),"Invalid ("&amp;Data!P695&amp;")"))</f>
        <v>University Hospitals, Zurich &amp; Basel</v>
      </c>
    </row>
    <row r="696" customFormat="false" ht="15" hidden="false" customHeight="false" outlineLevel="0" collapsed="false">
      <c r="A696" s="19" t="n">
        <f aca="false">Data!A696</f>
        <v>695</v>
      </c>
      <c r="B696" s="20" t="n">
        <f aca="false">IF(Data!B696="","",Data!B696)</f>
        <v>62</v>
      </c>
      <c r="C696" s="28" t="str">
        <f aca="false">IF(Data!C696="","",IFERROR(VLOOKUP(Data!C696,Codes!$A$6:$B$7,2,FALSE()),"Invalid ("&amp;Data!C696&amp;")"))</f>
        <v>Male</v>
      </c>
      <c r="D696" s="28" t="str">
        <f aca="false">IF(Data!D696="","",IFERROR(VLOOKUP(Data!D696,Codes!$A$11:$B$14,2,FALSE()),"Invalid ("&amp;Data!D696&amp;")"))</f>
        <v>Asymptomatic</v>
      </c>
      <c r="E696" s="20" t="n">
        <f aca="false">IF(Data!E696="","",Data!E696)</f>
        <v>115</v>
      </c>
      <c r="F696" s="20" t="n">
        <f aca="false">IF(Data!F696="","",Data!F696)</f>
        <v>0</v>
      </c>
      <c r="G696" s="28" t="str">
        <f aca="false">IF(Data!G696="","",IFERROR(VLOOKUP(Data!G696,Codes!$A$18:$B$19,2,FALSE()),"Invalid ("&amp;Data!G696&amp;")"))</f>
        <v/>
      </c>
      <c r="H696" s="28" t="str">
        <f aca="false">IF(Data!H696="","",IFERROR(VLOOKUP(Data!H696,Codes!$A$23:$B$25,2,FALSE()),"Invalid ("&amp;Data!H696&amp;")"))</f>
        <v>Normal</v>
      </c>
      <c r="I696" s="20" t="n">
        <f aca="false">IF(Data!I696="","",Data!I696)</f>
        <v>72</v>
      </c>
      <c r="J696" s="28" t="str">
        <f aca="false">IF(Data!J696="","",IFERROR(VLOOKUP(Data!J696,Codes!$A$29:$B$30,2,FALSE()),"Invalid ("&amp;Data!J696&amp;")"))</f>
        <v>Yes</v>
      </c>
      <c r="K696" s="21" t="n">
        <f aca="false">IF(Data!K696="","",Data!K696)</f>
        <v>-0.5</v>
      </c>
      <c r="L696" s="28" t="str">
        <f aca="false">IF(Data!L696="","",IFERROR(VLOOKUP(Data!L696,Codes!$A$34:$B$36,2,FALSE()),"Invalid ("&amp;Data!L696&amp;")"))</f>
        <v>Flat</v>
      </c>
      <c r="M696" s="20" t="str">
        <f aca="false">IF(Data!M696="","",Data!M696)</f>
        <v/>
      </c>
      <c r="N696" s="28" t="str">
        <f aca="false">IF(Data!N696="","",IFERROR(VLOOKUP(Data!N696,Codes!$A$47:$B$49,2,FALSE()),"Invalid ("&amp;Data!N696&amp;")"))</f>
        <v>Normal</v>
      </c>
      <c r="O696" s="28" t="str">
        <f aca="false">IF(Data!O696="","",IFERROR(VLOOKUP(Data!O696,Codes!$A$53:$B$57,2,FALSE()),"Invalid ("&amp;Data!O696&amp;")"))</f>
        <v>Disease (1)</v>
      </c>
      <c r="P696" s="22" t="str">
        <f aca="false">IF(Data!P696="","",IFERROR(VLOOKUP(Data!P696,Codes!$A$61:$B$64,2,FALSE()),"Invalid ("&amp;Data!P696&amp;")"))</f>
        <v>University Hospitals, Zurich &amp; Basel</v>
      </c>
    </row>
    <row r="697" customFormat="false" ht="15" hidden="false" customHeight="false" outlineLevel="0" collapsed="false">
      <c r="A697" s="19" t="n">
        <f aca="false">Data!A697</f>
        <v>696</v>
      </c>
      <c r="B697" s="20" t="n">
        <f aca="false">IF(Data!B697="","",Data!B697)</f>
        <v>62</v>
      </c>
      <c r="C697" s="28" t="str">
        <f aca="false">IF(Data!C697="","",IFERROR(VLOOKUP(Data!C697,Codes!$A$6:$B$7,2,FALSE()),"Invalid ("&amp;Data!C697&amp;")"))</f>
        <v>Male</v>
      </c>
      <c r="D697" s="28" t="str">
        <f aca="false">IF(Data!D697="","",IFERROR(VLOOKUP(Data!D697,Codes!$A$11:$B$14,2,FALSE()),"Invalid ("&amp;Data!D697&amp;")"))</f>
        <v>Asymptomatic</v>
      </c>
      <c r="E697" s="20" t="n">
        <f aca="false">IF(Data!E697="","",Data!E697)</f>
        <v>150</v>
      </c>
      <c r="F697" s="20" t="n">
        <f aca="false">IF(Data!F697="","",Data!F697)</f>
        <v>0</v>
      </c>
      <c r="G697" s="28" t="str">
        <f aca="false">IF(Data!G697="","",IFERROR(VLOOKUP(Data!G697,Codes!$A$18:$B$19,2,FALSE()),"Invalid ("&amp;Data!G697&amp;")"))</f>
        <v/>
      </c>
      <c r="H697" s="28" t="str">
        <f aca="false">IF(Data!H697="","",IFERROR(VLOOKUP(Data!H697,Codes!$A$23:$B$25,2,FALSE()),"Invalid ("&amp;Data!H697&amp;")"))</f>
        <v>ST-T wave abnormality</v>
      </c>
      <c r="I697" s="20" t="n">
        <f aca="false">IF(Data!I697="","",Data!I697)</f>
        <v>78</v>
      </c>
      <c r="J697" s="28" t="str">
        <f aca="false">IF(Data!J697="","",IFERROR(VLOOKUP(Data!J697,Codes!$A$29:$B$30,2,FALSE()),"Invalid ("&amp;Data!J697&amp;")"))</f>
        <v>No</v>
      </c>
      <c r="K697" s="21" t="n">
        <f aca="false">IF(Data!K697="","",Data!K697)</f>
        <v>2</v>
      </c>
      <c r="L697" s="28" t="str">
        <f aca="false">IF(Data!L697="","",IFERROR(VLOOKUP(Data!L697,Codes!$A$34:$B$36,2,FALSE()),"Invalid ("&amp;Data!L697&amp;")"))</f>
        <v>Flat</v>
      </c>
      <c r="M697" s="20" t="str">
        <f aca="false">IF(Data!M697="","",Data!M697)</f>
        <v/>
      </c>
      <c r="N697" s="28" t="str">
        <f aca="false">IF(Data!N697="","",IFERROR(VLOOKUP(Data!N697,Codes!$A$47:$B$49,2,FALSE()),"Invalid ("&amp;Data!N697&amp;")"))</f>
        <v>Reversible defect</v>
      </c>
      <c r="O697" s="28" t="str">
        <f aca="false">IF(Data!O697="","",IFERROR(VLOOKUP(Data!O697,Codes!$A$53:$B$57,2,FALSE()),"Invalid ("&amp;Data!O697&amp;")"))</f>
        <v>Disease (3)</v>
      </c>
      <c r="P697" s="22" t="str">
        <f aca="false">IF(Data!P697="","",IFERROR(VLOOKUP(Data!P697,Codes!$A$61:$B$64,2,FALSE()),"Invalid ("&amp;Data!P697&amp;")"))</f>
        <v>University Hospitals, Zurich &amp; Basel</v>
      </c>
    </row>
    <row r="698" customFormat="false" ht="15" hidden="false" customHeight="false" outlineLevel="0" collapsed="false">
      <c r="A698" s="19" t="n">
        <f aca="false">Data!A698</f>
        <v>697</v>
      </c>
      <c r="B698" s="20" t="n">
        <f aca="false">IF(Data!B698="","",Data!B698)</f>
        <v>63</v>
      </c>
      <c r="C698" s="28" t="str">
        <f aca="false">IF(Data!C698="","",IFERROR(VLOOKUP(Data!C698,Codes!$A$6:$B$7,2,FALSE()),"Invalid ("&amp;Data!C698&amp;")"))</f>
        <v>Male</v>
      </c>
      <c r="D698" s="28" t="str">
        <f aca="false">IF(Data!D698="","",IFERROR(VLOOKUP(Data!D698,Codes!$A$11:$B$14,2,FALSE()),"Invalid ("&amp;Data!D698&amp;")"))</f>
        <v>Asymptomatic</v>
      </c>
      <c r="E698" s="20" t="n">
        <f aca="false">IF(Data!E698="","",Data!E698)</f>
        <v>100</v>
      </c>
      <c r="F698" s="20" t="n">
        <f aca="false">IF(Data!F698="","",Data!F698)</f>
        <v>0</v>
      </c>
      <c r="G698" s="28" t="str">
        <f aca="false">IF(Data!G698="","",IFERROR(VLOOKUP(Data!G698,Codes!$A$18:$B$19,2,FALSE()),"Invalid ("&amp;Data!G698&amp;")"))</f>
        <v/>
      </c>
      <c r="H698" s="28" t="str">
        <f aca="false">IF(Data!H698="","",IFERROR(VLOOKUP(Data!H698,Codes!$A$23:$B$25,2,FALSE()),"Invalid ("&amp;Data!H698&amp;")"))</f>
        <v>Normal</v>
      </c>
      <c r="I698" s="20" t="n">
        <f aca="false">IF(Data!I698="","",Data!I698)</f>
        <v>109</v>
      </c>
      <c r="J698" s="28" t="str">
        <f aca="false">IF(Data!J698="","",IFERROR(VLOOKUP(Data!J698,Codes!$A$29:$B$30,2,FALSE()),"Invalid ("&amp;Data!J698&amp;")"))</f>
        <v>No</v>
      </c>
      <c r="K698" s="21" t="n">
        <f aca="false">IF(Data!K698="","",Data!K698)</f>
        <v>-0.9</v>
      </c>
      <c r="L698" s="28" t="str">
        <f aca="false">IF(Data!L698="","",IFERROR(VLOOKUP(Data!L698,Codes!$A$34:$B$36,2,FALSE()),"Invalid ("&amp;Data!L698&amp;")"))</f>
        <v>Flat</v>
      </c>
      <c r="M698" s="20" t="str">
        <f aca="false">IF(Data!M698="","",Data!M698)</f>
        <v/>
      </c>
      <c r="N698" s="28" t="str">
        <f aca="false">IF(Data!N698="","",IFERROR(VLOOKUP(Data!N698,Codes!$A$47:$B$49,2,FALSE()),"Invalid ("&amp;Data!N698&amp;")"))</f>
        <v/>
      </c>
      <c r="O698" s="28" t="str">
        <f aca="false">IF(Data!O698="","",IFERROR(VLOOKUP(Data!O698,Codes!$A$53:$B$57,2,FALSE()),"Invalid ("&amp;Data!O698&amp;")"))</f>
        <v>Disease (1)</v>
      </c>
      <c r="P698" s="22" t="str">
        <f aca="false">IF(Data!P698="","",IFERROR(VLOOKUP(Data!P698,Codes!$A$61:$B$64,2,FALSE()),"Invalid ("&amp;Data!P698&amp;")"))</f>
        <v>University Hospitals, Zurich &amp; Basel</v>
      </c>
    </row>
    <row r="699" customFormat="false" ht="15" hidden="false" customHeight="false" outlineLevel="0" collapsed="false">
      <c r="A699" s="19" t="n">
        <f aca="false">Data!A699</f>
        <v>698</v>
      </c>
      <c r="B699" s="20" t="n">
        <f aca="false">IF(Data!B699="","",Data!B699)</f>
        <v>63</v>
      </c>
      <c r="C699" s="28" t="str">
        <f aca="false">IF(Data!C699="","",IFERROR(VLOOKUP(Data!C699,Codes!$A$6:$B$7,2,FALSE()),"Invalid ("&amp;Data!C699&amp;")"))</f>
        <v>Male</v>
      </c>
      <c r="D699" s="28" t="str">
        <f aca="false">IF(Data!D699="","",IFERROR(VLOOKUP(Data!D699,Codes!$A$11:$B$14,2,FALSE()),"Invalid ("&amp;Data!D699&amp;")"))</f>
        <v>Asymptomatic</v>
      </c>
      <c r="E699" s="20" t="n">
        <f aca="false">IF(Data!E699="","",Data!E699)</f>
        <v>140</v>
      </c>
      <c r="F699" s="20" t="n">
        <f aca="false">IF(Data!F699="","",Data!F699)</f>
        <v>0</v>
      </c>
      <c r="G699" s="28" t="str">
        <f aca="false">IF(Data!G699="","",IFERROR(VLOOKUP(Data!G699,Codes!$A$18:$B$19,2,FALSE()),"Invalid ("&amp;Data!G699&amp;")"))</f>
        <v/>
      </c>
      <c r="H699" s="28" t="str">
        <f aca="false">IF(Data!H699="","",IFERROR(VLOOKUP(Data!H699,Codes!$A$23:$B$25,2,FALSE()),"Invalid ("&amp;Data!H699&amp;")"))</f>
        <v>Left ventricular hypertrophy</v>
      </c>
      <c r="I699" s="20" t="n">
        <f aca="false">IF(Data!I699="","",Data!I699)</f>
        <v>149</v>
      </c>
      <c r="J699" s="28" t="str">
        <f aca="false">IF(Data!J699="","",IFERROR(VLOOKUP(Data!J699,Codes!$A$29:$B$30,2,FALSE()),"Invalid ("&amp;Data!J699&amp;")"))</f>
        <v>No</v>
      </c>
      <c r="K699" s="21" t="n">
        <f aca="false">IF(Data!K699="","",Data!K699)</f>
        <v>2</v>
      </c>
      <c r="L699" s="28" t="str">
        <f aca="false">IF(Data!L699="","",IFERROR(VLOOKUP(Data!L699,Codes!$A$34:$B$36,2,FALSE()),"Invalid ("&amp;Data!L699&amp;")"))</f>
        <v>Upsloping</v>
      </c>
      <c r="M699" s="20" t="str">
        <f aca="false">IF(Data!M699="","",Data!M699)</f>
        <v/>
      </c>
      <c r="N699" s="28" t="str">
        <f aca="false">IF(Data!N699="","",IFERROR(VLOOKUP(Data!N699,Codes!$A$47:$B$49,2,FALSE()),"Invalid ("&amp;Data!N699&amp;")"))</f>
        <v/>
      </c>
      <c r="O699" s="28" t="str">
        <f aca="false">IF(Data!O699="","",IFERROR(VLOOKUP(Data!O699,Codes!$A$53:$B$57,2,FALSE()),"Invalid ("&amp;Data!O699&amp;")"))</f>
        <v>Disease (2)</v>
      </c>
      <c r="P699" s="22" t="str">
        <f aca="false">IF(Data!P699="","",IFERROR(VLOOKUP(Data!P699,Codes!$A$61:$B$64,2,FALSE()),"Invalid ("&amp;Data!P699&amp;")"))</f>
        <v>University Hospitals, Zurich &amp; Basel</v>
      </c>
    </row>
    <row r="700" customFormat="false" ht="15" hidden="false" customHeight="false" outlineLevel="0" collapsed="false">
      <c r="A700" s="19" t="n">
        <f aca="false">Data!A700</f>
        <v>699</v>
      </c>
      <c r="B700" s="20" t="n">
        <f aca="false">IF(Data!B700="","",Data!B700)</f>
        <v>63</v>
      </c>
      <c r="C700" s="28" t="str">
        <f aca="false">IF(Data!C700="","",IFERROR(VLOOKUP(Data!C700,Codes!$A$6:$B$7,2,FALSE()),"Invalid ("&amp;Data!C700&amp;")"))</f>
        <v>Male</v>
      </c>
      <c r="D700" s="28" t="str">
        <f aca="false">IF(Data!D700="","",IFERROR(VLOOKUP(Data!D700,Codes!$A$11:$B$14,2,FALSE()),"Invalid ("&amp;Data!D700&amp;")"))</f>
        <v>Asymptomatic</v>
      </c>
      <c r="E700" s="20" t="n">
        <f aca="false">IF(Data!E700="","",Data!E700)</f>
        <v>150</v>
      </c>
      <c r="F700" s="20" t="n">
        <f aca="false">IF(Data!F700="","",Data!F700)</f>
        <v>0</v>
      </c>
      <c r="G700" s="28" t="str">
        <f aca="false">IF(Data!G700="","",IFERROR(VLOOKUP(Data!G700,Codes!$A$18:$B$19,2,FALSE()),"Invalid ("&amp;Data!G700&amp;")"))</f>
        <v>No</v>
      </c>
      <c r="H700" s="28" t="str">
        <f aca="false">IF(Data!H700="","",IFERROR(VLOOKUP(Data!H700,Codes!$A$23:$B$25,2,FALSE()),"Invalid ("&amp;Data!H700&amp;")"))</f>
        <v>Normal</v>
      </c>
      <c r="I700" s="20" t="n">
        <f aca="false">IF(Data!I700="","",Data!I700)</f>
        <v>86</v>
      </c>
      <c r="J700" s="28" t="str">
        <f aca="false">IF(Data!J700="","",IFERROR(VLOOKUP(Data!J700,Codes!$A$29:$B$30,2,FALSE()),"Invalid ("&amp;Data!J700&amp;")"))</f>
        <v>Yes</v>
      </c>
      <c r="K700" s="21" t="n">
        <f aca="false">IF(Data!K700="","",Data!K700)</f>
        <v>2</v>
      </c>
      <c r="L700" s="28" t="str">
        <f aca="false">IF(Data!L700="","",IFERROR(VLOOKUP(Data!L700,Codes!$A$34:$B$36,2,FALSE()),"Invalid ("&amp;Data!L700&amp;")"))</f>
        <v>Flat</v>
      </c>
      <c r="M700" s="20" t="str">
        <f aca="false">IF(Data!M700="","",Data!M700)</f>
        <v/>
      </c>
      <c r="N700" s="28" t="str">
        <f aca="false">IF(Data!N700="","",IFERROR(VLOOKUP(Data!N700,Codes!$A$47:$B$49,2,FALSE()),"Invalid ("&amp;Data!N700&amp;")"))</f>
        <v/>
      </c>
      <c r="O700" s="28" t="str">
        <f aca="false">IF(Data!O700="","",IFERROR(VLOOKUP(Data!O700,Codes!$A$53:$B$57,2,FALSE()),"Invalid ("&amp;Data!O700&amp;")"))</f>
        <v>Disease (3)</v>
      </c>
      <c r="P700" s="22" t="str">
        <f aca="false">IF(Data!P700="","",IFERROR(VLOOKUP(Data!P700,Codes!$A$61:$B$64,2,FALSE()),"Invalid ("&amp;Data!P700&amp;")"))</f>
        <v>University Hospitals, Zurich &amp; Basel</v>
      </c>
    </row>
    <row r="701" customFormat="false" ht="15" hidden="false" customHeight="false" outlineLevel="0" collapsed="false">
      <c r="A701" s="19" t="n">
        <f aca="false">Data!A701</f>
        <v>700</v>
      </c>
      <c r="B701" s="20" t="n">
        <f aca="false">IF(Data!B701="","",Data!B701)</f>
        <v>63</v>
      </c>
      <c r="C701" s="28" t="str">
        <f aca="false">IF(Data!C701="","",IFERROR(VLOOKUP(Data!C701,Codes!$A$6:$B$7,2,FALSE()),"Invalid ("&amp;Data!C701&amp;")"))</f>
        <v>Male</v>
      </c>
      <c r="D701" s="28" t="str">
        <f aca="false">IF(Data!D701="","",IFERROR(VLOOKUP(Data!D701,Codes!$A$11:$B$14,2,FALSE()),"Invalid ("&amp;Data!D701&amp;")"))</f>
        <v>Asymptomatic</v>
      </c>
      <c r="E701" s="20" t="n">
        <f aca="false">IF(Data!E701="","",Data!E701)</f>
        <v>150</v>
      </c>
      <c r="F701" s="20" t="n">
        <f aca="false">IF(Data!F701="","",Data!F701)</f>
        <v>0</v>
      </c>
      <c r="G701" s="28" t="str">
        <f aca="false">IF(Data!G701="","",IFERROR(VLOOKUP(Data!G701,Codes!$A$18:$B$19,2,FALSE()),"Invalid ("&amp;Data!G701&amp;")"))</f>
        <v/>
      </c>
      <c r="H701" s="28" t="str">
        <f aca="false">IF(Data!H701="","",IFERROR(VLOOKUP(Data!H701,Codes!$A$23:$B$25,2,FALSE()),"Invalid ("&amp;Data!H701&amp;")"))</f>
        <v>ST-T wave abnormality</v>
      </c>
      <c r="I701" s="20" t="n">
        <f aca="false">IF(Data!I701="","",Data!I701)</f>
        <v>154</v>
      </c>
      <c r="J701" s="28" t="str">
        <f aca="false">IF(Data!J701="","",IFERROR(VLOOKUP(Data!J701,Codes!$A$29:$B$30,2,FALSE()),"Invalid ("&amp;Data!J701&amp;")"))</f>
        <v>No</v>
      </c>
      <c r="K701" s="21" t="n">
        <f aca="false">IF(Data!K701="","",Data!K701)</f>
        <v>3.7</v>
      </c>
      <c r="L701" s="28" t="str">
        <f aca="false">IF(Data!L701="","",IFERROR(VLOOKUP(Data!L701,Codes!$A$34:$B$36,2,FALSE()),"Invalid ("&amp;Data!L701&amp;")"))</f>
        <v>Upsloping</v>
      </c>
      <c r="M701" s="20" t="str">
        <f aca="false">IF(Data!M701="","",Data!M701)</f>
        <v/>
      </c>
      <c r="N701" s="28" t="str">
        <f aca="false">IF(Data!N701="","",IFERROR(VLOOKUP(Data!N701,Codes!$A$47:$B$49,2,FALSE()),"Invalid ("&amp;Data!N701&amp;")"))</f>
        <v/>
      </c>
      <c r="O701" s="28" t="str">
        <f aca="false">IF(Data!O701="","",IFERROR(VLOOKUP(Data!O701,Codes!$A$53:$B$57,2,FALSE()),"Invalid ("&amp;Data!O701&amp;")"))</f>
        <v>Disease (3)</v>
      </c>
      <c r="P701" s="22" t="str">
        <f aca="false">IF(Data!P701="","",IFERROR(VLOOKUP(Data!P701,Codes!$A$61:$B$64,2,FALSE()),"Invalid ("&amp;Data!P701&amp;")"))</f>
        <v>University Hospitals, Zurich &amp; Basel</v>
      </c>
    </row>
    <row r="702" customFormat="false" ht="15" hidden="false" customHeight="false" outlineLevel="0" collapsed="false">
      <c r="A702" s="19" t="n">
        <f aca="false">Data!A702</f>
        <v>701</v>
      </c>
      <c r="B702" s="20" t="n">
        <f aca="false">IF(Data!B702="","",Data!B702)</f>
        <v>63</v>
      </c>
      <c r="C702" s="28" t="str">
        <f aca="false">IF(Data!C702="","",IFERROR(VLOOKUP(Data!C702,Codes!$A$6:$B$7,2,FALSE()),"Invalid ("&amp;Data!C702&amp;")"))</f>
        <v>Male</v>
      </c>
      <c r="D702" s="28" t="str">
        <f aca="false">IF(Data!D702="","",IFERROR(VLOOKUP(Data!D702,Codes!$A$11:$B$14,2,FALSE()),"Invalid ("&amp;Data!D702&amp;")"))</f>
        <v>Asymptomatic</v>
      </c>
      <c r="E702" s="20" t="n">
        <f aca="false">IF(Data!E702="","",Data!E702)</f>
        <v>185</v>
      </c>
      <c r="F702" s="20" t="n">
        <f aca="false">IF(Data!F702="","",Data!F702)</f>
        <v>0</v>
      </c>
      <c r="G702" s="28" t="str">
        <f aca="false">IF(Data!G702="","",IFERROR(VLOOKUP(Data!G702,Codes!$A$18:$B$19,2,FALSE()),"Invalid ("&amp;Data!G702&amp;")"))</f>
        <v>No</v>
      </c>
      <c r="H702" s="28" t="str">
        <f aca="false">IF(Data!H702="","",IFERROR(VLOOKUP(Data!H702,Codes!$A$23:$B$25,2,FALSE()),"Invalid ("&amp;Data!H702&amp;")"))</f>
        <v>Normal</v>
      </c>
      <c r="I702" s="20" t="n">
        <f aca="false">IF(Data!I702="","",Data!I702)</f>
        <v>98</v>
      </c>
      <c r="J702" s="28" t="str">
        <f aca="false">IF(Data!J702="","",IFERROR(VLOOKUP(Data!J702,Codes!$A$29:$B$30,2,FALSE()),"Invalid ("&amp;Data!J702&amp;")"))</f>
        <v>Yes</v>
      </c>
      <c r="K702" s="21" t="n">
        <f aca="false">IF(Data!K702="","",Data!K702)</f>
        <v>0</v>
      </c>
      <c r="L702" s="28" t="str">
        <f aca="false">IF(Data!L702="","",IFERROR(VLOOKUP(Data!L702,Codes!$A$34:$B$36,2,FALSE()),"Invalid ("&amp;Data!L702&amp;")"))</f>
        <v>Upsloping</v>
      </c>
      <c r="M702" s="20" t="str">
        <f aca="false">IF(Data!M702="","",Data!M702)</f>
        <v/>
      </c>
      <c r="N702" s="28" t="str">
        <f aca="false">IF(Data!N702="","",IFERROR(VLOOKUP(Data!N702,Codes!$A$47:$B$49,2,FALSE()),"Invalid ("&amp;Data!N702&amp;")"))</f>
        <v>Reversible defect</v>
      </c>
      <c r="O702" s="28" t="str">
        <f aca="false">IF(Data!O702="","",IFERROR(VLOOKUP(Data!O702,Codes!$A$53:$B$57,2,FALSE()),"Invalid ("&amp;Data!O702&amp;")"))</f>
        <v>Disease (1)</v>
      </c>
      <c r="P702" s="22" t="str">
        <f aca="false">IF(Data!P702="","",IFERROR(VLOOKUP(Data!P702,Codes!$A$61:$B$64,2,FALSE()),"Invalid ("&amp;Data!P702&amp;")"))</f>
        <v>University Hospitals, Zurich &amp; Basel</v>
      </c>
    </row>
    <row r="703" customFormat="false" ht="15" hidden="false" customHeight="false" outlineLevel="0" collapsed="false">
      <c r="A703" s="19" t="n">
        <f aca="false">Data!A703</f>
        <v>702</v>
      </c>
      <c r="B703" s="20" t="n">
        <f aca="false">IF(Data!B703="","",Data!B703)</f>
        <v>64</v>
      </c>
      <c r="C703" s="28" t="str">
        <f aca="false">IF(Data!C703="","",IFERROR(VLOOKUP(Data!C703,Codes!$A$6:$B$7,2,FALSE()),"Invalid ("&amp;Data!C703&amp;")"))</f>
        <v>Female</v>
      </c>
      <c r="D703" s="28" t="str">
        <f aca="false">IF(Data!D703="","",IFERROR(VLOOKUP(Data!D703,Codes!$A$11:$B$14,2,FALSE()),"Invalid ("&amp;Data!D703&amp;")"))</f>
        <v>Asymptomatic</v>
      </c>
      <c r="E703" s="20" t="n">
        <f aca="false">IF(Data!E703="","",Data!E703)</f>
        <v>200</v>
      </c>
      <c r="F703" s="20" t="n">
        <f aca="false">IF(Data!F703="","",Data!F703)</f>
        <v>0</v>
      </c>
      <c r="G703" s="28" t="str">
        <f aca="false">IF(Data!G703="","",IFERROR(VLOOKUP(Data!G703,Codes!$A$18:$B$19,2,FALSE()),"Invalid ("&amp;Data!G703&amp;")"))</f>
        <v>No</v>
      </c>
      <c r="H703" s="28" t="str">
        <f aca="false">IF(Data!H703="","",IFERROR(VLOOKUP(Data!H703,Codes!$A$23:$B$25,2,FALSE()),"Invalid ("&amp;Data!H703&amp;")"))</f>
        <v>Normal</v>
      </c>
      <c r="I703" s="20" t="n">
        <f aca="false">IF(Data!I703="","",Data!I703)</f>
        <v>140</v>
      </c>
      <c r="J703" s="28" t="str">
        <f aca="false">IF(Data!J703="","",IFERROR(VLOOKUP(Data!J703,Codes!$A$29:$B$30,2,FALSE()),"Invalid ("&amp;Data!J703&amp;")"))</f>
        <v>Yes</v>
      </c>
      <c r="K703" s="21" t="n">
        <f aca="false">IF(Data!K703="","",Data!K703)</f>
        <v>1</v>
      </c>
      <c r="L703" s="28" t="str">
        <f aca="false">IF(Data!L703="","",IFERROR(VLOOKUP(Data!L703,Codes!$A$34:$B$36,2,FALSE()),"Invalid ("&amp;Data!L703&amp;")"))</f>
        <v>Flat</v>
      </c>
      <c r="M703" s="20" t="str">
        <f aca="false">IF(Data!M703="","",Data!M703)</f>
        <v/>
      </c>
      <c r="N703" s="28" t="str">
        <f aca="false">IF(Data!N703="","",IFERROR(VLOOKUP(Data!N703,Codes!$A$47:$B$49,2,FALSE()),"Invalid ("&amp;Data!N703&amp;")"))</f>
        <v>Normal</v>
      </c>
      <c r="O703" s="28" t="str">
        <f aca="false">IF(Data!O703="","",IFERROR(VLOOKUP(Data!O703,Codes!$A$53:$B$57,2,FALSE()),"Invalid ("&amp;Data!O703&amp;")"))</f>
        <v>Disease (3)</v>
      </c>
      <c r="P703" s="22" t="str">
        <f aca="false">IF(Data!P703="","",IFERROR(VLOOKUP(Data!P703,Codes!$A$61:$B$64,2,FALSE()),"Invalid ("&amp;Data!P703&amp;")"))</f>
        <v>University Hospitals, Zurich &amp; Basel</v>
      </c>
    </row>
    <row r="704" customFormat="false" ht="15" hidden="false" customHeight="false" outlineLevel="0" collapsed="false">
      <c r="A704" s="19" t="n">
        <f aca="false">Data!A704</f>
        <v>703</v>
      </c>
      <c r="B704" s="20" t="n">
        <f aca="false">IF(Data!B704="","",Data!B704)</f>
        <v>64</v>
      </c>
      <c r="C704" s="28" t="str">
        <f aca="false">IF(Data!C704="","",IFERROR(VLOOKUP(Data!C704,Codes!$A$6:$B$7,2,FALSE()),"Invalid ("&amp;Data!C704&amp;")"))</f>
        <v>Female</v>
      </c>
      <c r="D704" s="28" t="str">
        <f aca="false">IF(Data!D704="","",IFERROR(VLOOKUP(Data!D704,Codes!$A$11:$B$14,2,FALSE()),"Invalid ("&amp;Data!D704&amp;")"))</f>
        <v>Asymptomatic</v>
      </c>
      <c r="E704" s="20" t="n">
        <f aca="false">IF(Data!E704="","",Data!E704)</f>
        <v>95</v>
      </c>
      <c r="F704" s="20" t="n">
        <f aca="false">IF(Data!F704="","",Data!F704)</f>
        <v>0</v>
      </c>
      <c r="G704" s="28" t="str">
        <f aca="false">IF(Data!G704="","",IFERROR(VLOOKUP(Data!G704,Codes!$A$18:$B$19,2,FALSE()),"Invalid ("&amp;Data!G704&amp;")"))</f>
        <v/>
      </c>
      <c r="H704" s="28" t="str">
        <f aca="false">IF(Data!H704="","",IFERROR(VLOOKUP(Data!H704,Codes!$A$23:$B$25,2,FALSE()),"Invalid ("&amp;Data!H704&amp;")"))</f>
        <v>Normal</v>
      </c>
      <c r="I704" s="20" t="n">
        <f aca="false">IF(Data!I704="","",Data!I704)</f>
        <v>145</v>
      </c>
      <c r="J704" s="28" t="str">
        <f aca="false">IF(Data!J704="","",IFERROR(VLOOKUP(Data!J704,Codes!$A$29:$B$30,2,FALSE()),"Invalid ("&amp;Data!J704&amp;")"))</f>
        <v>No</v>
      </c>
      <c r="K704" s="21" t="n">
        <f aca="false">IF(Data!K704="","",Data!K704)</f>
        <v>1.1</v>
      </c>
      <c r="L704" s="28" t="str">
        <f aca="false">IF(Data!L704="","",IFERROR(VLOOKUP(Data!L704,Codes!$A$34:$B$36,2,FALSE()),"Invalid ("&amp;Data!L704&amp;")"))</f>
        <v>Downsloping</v>
      </c>
      <c r="M704" s="20" t="str">
        <f aca="false">IF(Data!M704="","",Data!M704)</f>
        <v/>
      </c>
      <c r="N704" s="28" t="str">
        <f aca="false">IF(Data!N704="","",IFERROR(VLOOKUP(Data!N704,Codes!$A$47:$B$49,2,FALSE()),"Invalid ("&amp;Data!N704&amp;")"))</f>
        <v/>
      </c>
      <c r="O704" s="28" t="str">
        <f aca="false">IF(Data!O704="","",IFERROR(VLOOKUP(Data!O704,Codes!$A$53:$B$57,2,FALSE()),"Invalid ("&amp;Data!O704&amp;")"))</f>
        <v>Disease (1)</v>
      </c>
      <c r="P704" s="22" t="str">
        <f aca="false">IF(Data!P704="","",IFERROR(VLOOKUP(Data!P704,Codes!$A$61:$B$64,2,FALSE()),"Invalid ("&amp;Data!P704&amp;")"))</f>
        <v>University Hospitals, Zurich &amp; Basel</v>
      </c>
    </row>
    <row r="705" customFormat="false" ht="15" hidden="false" customHeight="false" outlineLevel="0" collapsed="false">
      <c r="A705" s="19" t="n">
        <f aca="false">Data!A705</f>
        <v>704</v>
      </c>
      <c r="B705" s="20" t="n">
        <f aca="false">IF(Data!B705="","",Data!B705)</f>
        <v>64</v>
      </c>
      <c r="C705" s="28" t="str">
        <f aca="false">IF(Data!C705="","",IFERROR(VLOOKUP(Data!C705,Codes!$A$6:$B$7,2,FALSE()),"Invalid ("&amp;Data!C705&amp;")"))</f>
        <v>Male</v>
      </c>
      <c r="D705" s="28" t="str">
        <f aca="false">IF(Data!D705="","",IFERROR(VLOOKUP(Data!D705,Codes!$A$11:$B$14,2,FALSE()),"Invalid ("&amp;Data!D705&amp;")"))</f>
        <v>Asymptomatic</v>
      </c>
      <c r="E705" s="20" t="n">
        <f aca="false">IF(Data!E705="","",Data!E705)</f>
        <v>110</v>
      </c>
      <c r="F705" s="20" t="n">
        <f aca="false">IF(Data!F705="","",Data!F705)</f>
        <v>0</v>
      </c>
      <c r="G705" s="28" t="str">
        <f aca="false">IF(Data!G705="","",IFERROR(VLOOKUP(Data!G705,Codes!$A$18:$B$19,2,FALSE()),"Invalid ("&amp;Data!G705&amp;")"))</f>
        <v/>
      </c>
      <c r="H705" s="28" t="str">
        <f aca="false">IF(Data!H705="","",IFERROR(VLOOKUP(Data!H705,Codes!$A$23:$B$25,2,FALSE()),"Invalid ("&amp;Data!H705&amp;")"))</f>
        <v>Normal</v>
      </c>
      <c r="I705" s="20" t="n">
        <f aca="false">IF(Data!I705="","",Data!I705)</f>
        <v>114</v>
      </c>
      <c r="J705" s="28" t="str">
        <f aca="false">IF(Data!J705="","",IFERROR(VLOOKUP(Data!J705,Codes!$A$29:$B$30,2,FALSE()),"Invalid ("&amp;Data!J705&amp;")"))</f>
        <v>Yes</v>
      </c>
      <c r="K705" s="21" t="n">
        <f aca="false">IF(Data!K705="","",Data!K705)</f>
        <v>1.3</v>
      </c>
      <c r="L705" s="28" t="str">
        <f aca="false">IF(Data!L705="","",IFERROR(VLOOKUP(Data!L705,Codes!$A$34:$B$36,2,FALSE()),"Invalid ("&amp;Data!L705&amp;")"))</f>
        <v>Downsloping</v>
      </c>
      <c r="M705" s="20" t="str">
        <f aca="false">IF(Data!M705="","",Data!M705)</f>
        <v/>
      </c>
      <c r="N705" s="28" t="str">
        <f aca="false">IF(Data!N705="","",IFERROR(VLOOKUP(Data!N705,Codes!$A$47:$B$49,2,FALSE()),"Invalid ("&amp;Data!N705&amp;")"))</f>
        <v/>
      </c>
      <c r="O705" s="28" t="str">
        <f aca="false">IF(Data!O705="","",IFERROR(VLOOKUP(Data!O705,Codes!$A$53:$B$57,2,FALSE()),"Invalid ("&amp;Data!O705&amp;")"))</f>
        <v>Disease (1)</v>
      </c>
      <c r="P705" s="22" t="str">
        <f aca="false">IF(Data!P705="","",IFERROR(VLOOKUP(Data!P705,Codes!$A$61:$B$64,2,FALSE()),"Invalid ("&amp;Data!P705&amp;")"))</f>
        <v>University Hospitals, Zurich &amp; Basel</v>
      </c>
    </row>
    <row r="706" customFormat="false" ht="15" hidden="false" customHeight="false" outlineLevel="0" collapsed="false">
      <c r="A706" s="19" t="n">
        <f aca="false">Data!A706</f>
        <v>705</v>
      </c>
      <c r="B706" s="20" t="n">
        <f aca="false">IF(Data!B706="","",Data!B706)</f>
        <v>65</v>
      </c>
      <c r="C706" s="28" t="str">
        <f aca="false">IF(Data!C706="","",IFERROR(VLOOKUP(Data!C706,Codes!$A$6:$B$7,2,FALSE()),"Invalid ("&amp;Data!C706&amp;")"))</f>
        <v>Male</v>
      </c>
      <c r="D706" s="28" t="str">
        <f aca="false">IF(Data!D706="","",IFERROR(VLOOKUP(Data!D706,Codes!$A$11:$B$14,2,FALSE()),"Invalid ("&amp;Data!D706&amp;")"))</f>
        <v>Asymptomatic</v>
      </c>
      <c r="E706" s="20" t="n">
        <f aca="false">IF(Data!E706="","",Data!E706)</f>
        <v>115</v>
      </c>
      <c r="F706" s="20" t="n">
        <f aca="false">IF(Data!F706="","",Data!F706)</f>
        <v>0</v>
      </c>
      <c r="G706" s="28" t="str">
        <f aca="false">IF(Data!G706="","",IFERROR(VLOOKUP(Data!G706,Codes!$A$18:$B$19,2,FALSE()),"Invalid ("&amp;Data!G706&amp;")"))</f>
        <v>No</v>
      </c>
      <c r="H706" s="28" t="str">
        <f aca="false">IF(Data!H706="","",IFERROR(VLOOKUP(Data!H706,Codes!$A$23:$B$25,2,FALSE()),"Invalid ("&amp;Data!H706&amp;")"))</f>
        <v>Normal</v>
      </c>
      <c r="I706" s="20" t="n">
        <f aca="false">IF(Data!I706="","",Data!I706)</f>
        <v>93</v>
      </c>
      <c r="J706" s="28" t="str">
        <f aca="false">IF(Data!J706="","",IFERROR(VLOOKUP(Data!J706,Codes!$A$29:$B$30,2,FALSE()),"Invalid ("&amp;Data!J706&amp;")"))</f>
        <v>Yes</v>
      </c>
      <c r="K706" s="21" t="n">
        <f aca="false">IF(Data!K706="","",Data!K706)</f>
        <v>0</v>
      </c>
      <c r="L706" s="28" t="str">
        <f aca="false">IF(Data!L706="","",IFERROR(VLOOKUP(Data!L706,Codes!$A$34:$B$36,2,FALSE()),"Invalid ("&amp;Data!L706&amp;")"))</f>
        <v>Flat</v>
      </c>
      <c r="M706" s="20" t="str">
        <f aca="false">IF(Data!M706="","",Data!M706)</f>
        <v/>
      </c>
      <c r="N706" s="28" t="str">
        <f aca="false">IF(Data!N706="","",IFERROR(VLOOKUP(Data!N706,Codes!$A$47:$B$49,2,FALSE()),"Invalid ("&amp;Data!N706&amp;")"))</f>
        <v>Reversible defect</v>
      </c>
      <c r="O706" s="28" t="str">
        <f aca="false">IF(Data!O706="","",IFERROR(VLOOKUP(Data!O706,Codes!$A$53:$B$57,2,FALSE()),"Invalid ("&amp;Data!O706&amp;")"))</f>
        <v>Disease (1)</v>
      </c>
      <c r="P706" s="22" t="str">
        <f aca="false">IF(Data!P706="","",IFERROR(VLOOKUP(Data!P706,Codes!$A$61:$B$64,2,FALSE()),"Invalid ("&amp;Data!P706&amp;")"))</f>
        <v>University Hospitals, Zurich &amp; Basel</v>
      </c>
    </row>
    <row r="707" customFormat="false" ht="15" hidden="false" customHeight="false" outlineLevel="0" collapsed="false">
      <c r="A707" s="19" t="n">
        <f aca="false">Data!A707</f>
        <v>706</v>
      </c>
      <c r="B707" s="20" t="n">
        <f aca="false">IF(Data!B707="","",Data!B707)</f>
        <v>65</v>
      </c>
      <c r="C707" s="28" t="str">
        <f aca="false">IF(Data!C707="","",IFERROR(VLOOKUP(Data!C707,Codes!$A$6:$B$7,2,FALSE()),"Invalid ("&amp;Data!C707&amp;")"))</f>
        <v>Male</v>
      </c>
      <c r="D707" s="28" t="str">
        <f aca="false">IF(Data!D707="","",IFERROR(VLOOKUP(Data!D707,Codes!$A$11:$B$14,2,FALSE()),"Invalid ("&amp;Data!D707&amp;")"))</f>
        <v>Asymptomatic</v>
      </c>
      <c r="E707" s="20" t="n">
        <f aca="false">IF(Data!E707="","",Data!E707)</f>
        <v>145</v>
      </c>
      <c r="F707" s="20" t="n">
        <f aca="false">IF(Data!F707="","",Data!F707)</f>
        <v>0</v>
      </c>
      <c r="G707" s="28" t="str">
        <f aca="false">IF(Data!G707="","",IFERROR(VLOOKUP(Data!G707,Codes!$A$18:$B$19,2,FALSE()),"Invalid ("&amp;Data!G707&amp;")"))</f>
        <v/>
      </c>
      <c r="H707" s="28" t="str">
        <f aca="false">IF(Data!H707="","",IFERROR(VLOOKUP(Data!H707,Codes!$A$23:$B$25,2,FALSE()),"Invalid ("&amp;Data!H707&amp;")"))</f>
        <v>ST-T wave abnormality</v>
      </c>
      <c r="I707" s="20" t="n">
        <f aca="false">IF(Data!I707="","",Data!I707)</f>
        <v>67</v>
      </c>
      <c r="J707" s="28" t="str">
        <f aca="false">IF(Data!J707="","",IFERROR(VLOOKUP(Data!J707,Codes!$A$29:$B$30,2,FALSE()),"Invalid ("&amp;Data!J707&amp;")"))</f>
        <v>No</v>
      </c>
      <c r="K707" s="21" t="str">
        <f aca="false">IF(Data!K707="","",Data!K707)</f>
        <v/>
      </c>
      <c r="L707" s="28" t="str">
        <f aca="false">IF(Data!L707="","",IFERROR(VLOOKUP(Data!L707,Codes!$A$34:$B$36,2,FALSE()),"Invalid ("&amp;Data!L707&amp;")"))</f>
        <v/>
      </c>
      <c r="M707" s="20" t="str">
        <f aca="false">IF(Data!M707="","",Data!M707)</f>
        <v/>
      </c>
      <c r="N707" s="28" t="str">
        <f aca="false">IF(Data!N707="","",IFERROR(VLOOKUP(Data!N707,Codes!$A$47:$B$49,2,FALSE()),"Invalid ("&amp;Data!N707&amp;")"))</f>
        <v>Fixed defect</v>
      </c>
      <c r="O707" s="28" t="str">
        <f aca="false">IF(Data!O707="","",IFERROR(VLOOKUP(Data!O707,Codes!$A$53:$B$57,2,FALSE()),"Invalid ("&amp;Data!O707&amp;")"))</f>
        <v>Disease (3)</v>
      </c>
      <c r="P707" s="22" t="str">
        <f aca="false">IF(Data!P707="","",IFERROR(VLOOKUP(Data!P707,Codes!$A$61:$B$64,2,FALSE()),"Invalid ("&amp;Data!P707&amp;")"))</f>
        <v>University Hospitals, Zurich &amp; Basel</v>
      </c>
    </row>
    <row r="708" customFormat="false" ht="15" hidden="false" customHeight="false" outlineLevel="0" collapsed="false">
      <c r="A708" s="19" t="n">
        <f aca="false">Data!A708</f>
        <v>707</v>
      </c>
      <c r="B708" s="20" t="n">
        <f aca="false">IF(Data!B708="","",Data!B708)</f>
        <v>65</v>
      </c>
      <c r="C708" s="28" t="str">
        <f aca="false">IF(Data!C708="","",IFERROR(VLOOKUP(Data!C708,Codes!$A$6:$B$7,2,FALSE()),"Invalid ("&amp;Data!C708&amp;")"))</f>
        <v>Male</v>
      </c>
      <c r="D708" s="28" t="str">
        <f aca="false">IF(Data!D708="","",IFERROR(VLOOKUP(Data!D708,Codes!$A$11:$B$14,2,FALSE()),"Invalid ("&amp;Data!D708&amp;")"))</f>
        <v>Asymptomatic</v>
      </c>
      <c r="E708" s="20" t="n">
        <f aca="false">IF(Data!E708="","",Data!E708)</f>
        <v>155</v>
      </c>
      <c r="F708" s="20" t="n">
        <f aca="false">IF(Data!F708="","",Data!F708)</f>
        <v>0</v>
      </c>
      <c r="G708" s="28" t="str">
        <f aca="false">IF(Data!G708="","",IFERROR(VLOOKUP(Data!G708,Codes!$A$18:$B$19,2,FALSE()),"Invalid ("&amp;Data!G708&amp;")"))</f>
        <v/>
      </c>
      <c r="H708" s="28" t="str">
        <f aca="false">IF(Data!H708="","",IFERROR(VLOOKUP(Data!H708,Codes!$A$23:$B$25,2,FALSE()),"Invalid ("&amp;Data!H708&amp;")"))</f>
        <v>Normal</v>
      </c>
      <c r="I708" s="20" t="n">
        <f aca="false">IF(Data!I708="","",Data!I708)</f>
        <v>154</v>
      </c>
      <c r="J708" s="28" t="str">
        <f aca="false">IF(Data!J708="","",IFERROR(VLOOKUP(Data!J708,Codes!$A$29:$B$30,2,FALSE()),"Invalid ("&amp;Data!J708&amp;")"))</f>
        <v>No</v>
      </c>
      <c r="K708" s="21" t="n">
        <f aca="false">IF(Data!K708="","",Data!K708)</f>
        <v>1</v>
      </c>
      <c r="L708" s="28" t="str">
        <f aca="false">IF(Data!L708="","",IFERROR(VLOOKUP(Data!L708,Codes!$A$34:$B$36,2,FALSE()),"Invalid ("&amp;Data!L708&amp;")"))</f>
        <v>Upsloping</v>
      </c>
      <c r="M708" s="20" t="str">
        <f aca="false">IF(Data!M708="","",Data!M708)</f>
        <v/>
      </c>
      <c r="N708" s="28" t="str">
        <f aca="false">IF(Data!N708="","",IFERROR(VLOOKUP(Data!N708,Codes!$A$47:$B$49,2,FALSE()),"Invalid ("&amp;Data!N708&amp;")"))</f>
        <v/>
      </c>
      <c r="O708" s="28" t="str">
        <f aca="false">IF(Data!O708="","",IFERROR(VLOOKUP(Data!O708,Codes!$A$53:$B$57,2,FALSE()),"Invalid ("&amp;Data!O708&amp;")"))</f>
        <v>No disease</v>
      </c>
      <c r="P708" s="22" t="str">
        <f aca="false">IF(Data!P708="","",IFERROR(VLOOKUP(Data!P708,Codes!$A$61:$B$64,2,FALSE()),"Invalid ("&amp;Data!P708&amp;")"))</f>
        <v>University Hospitals, Zurich &amp; Basel</v>
      </c>
    </row>
    <row r="709" customFormat="false" ht="15" hidden="false" customHeight="false" outlineLevel="0" collapsed="false">
      <c r="A709" s="19" t="n">
        <f aca="false">Data!A709</f>
        <v>708</v>
      </c>
      <c r="B709" s="20" t="n">
        <f aca="false">IF(Data!B709="","",Data!B709)</f>
        <v>65</v>
      </c>
      <c r="C709" s="28" t="str">
        <f aca="false">IF(Data!C709="","",IFERROR(VLOOKUP(Data!C709,Codes!$A$6:$B$7,2,FALSE()),"Invalid ("&amp;Data!C709&amp;")"))</f>
        <v>Male</v>
      </c>
      <c r="D709" s="28" t="str">
        <f aca="false">IF(Data!D709="","",IFERROR(VLOOKUP(Data!D709,Codes!$A$11:$B$14,2,FALSE()),"Invalid ("&amp;Data!D709&amp;")"))</f>
        <v>Asymptomatic</v>
      </c>
      <c r="E709" s="20" t="n">
        <f aca="false">IF(Data!E709="","",Data!E709)</f>
        <v>160</v>
      </c>
      <c r="F709" s="20" t="n">
        <f aca="false">IF(Data!F709="","",Data!F709)</f>
        <v>0</v>
      </c>
      <c r="G709" s="28" t="str">
        <f aca="false">IF(Data!G709="","",IFERROR(VLOOKUP(Data!G709,Codes!$A$18:$B$19,2,FALSE()),"Invalid ("&amp;Data!G709&amp;")"))</f>
        <v>Yes</v>
      </c>
      <c r="H709" s="28" t="str">
        <f aca="false">IF(Data!H709="","",IFERROR(VLOOKUP(Data!H709,Codes!$A$23:$B$25,2,FALSE()),"Invalid ("&amp;Data!H709&amp;")"))</f>
        <v>ST-T wave abnormality</v>
      </c>
      <c r="I709" s="20" t="n">
        <f aca="false">IF(Data!I709="","",Data!I709)</f>
        <v>122</v>
      </c>
      <c r="J709" s="28" t="str">
        <f aca="false">IF(Data!J709="","",IFERROR(VLOOKUP(Data!J709,Codes!$A$29:$B$30,2,FALSE()),"Invalid ("&amp;Data!J709&amp;")"))</f>
        <v>No</v>
      </c>
      <c r="K709" s="21" t="str">
        <f aca="false">IF(Data!K709="","",Data!K709)</f>
        <v/>
      </c>
      <c r="L709" s="28" t="str">
        <f aca="false">IF(Data!L709="","",IFERROR(VLOOKUP(Data!L709,Codes!$A$34:$B$36,2,FALSE()),"Invalid ("&amp;Data!L709&amp;")"))</f>
        <v/>
      </c>
      <c r="M709" s="20" t="str">
        <f aca="false">IF(Data!M709="","",Data!M709)</f>
        <v/>
      </c>
      <c r="N709" s="28" t="str">
        <f aca="false">IF(Data!N709="","",IFERROR(VLOOKUP(Data!N709,Codes!$A$47:$B$49,2,FALSE()),"Invalid ("&amp;Data!N709&amp;")"))</f>
        <v>Reversible defect</v>
      </c>
      <c r="O709" s="28" t="str">
        <f aca="false">IF(Data!O709="","",IFERROR(VLOOKUP(Data!O709,Codes!$A$53:$B$57,2,FALSE()),"Invalid ("&amp;Data!O709&amp;")"))</f>
        <v>Disease (3)</v>
      </c>
      <c r="P709" s="22" t="str">
        <f aca="false">IF(Data!P709="","",IFERROR(VLOOKUP(Data!P709,Codes!$A$61:$B$64,2,FALSE()),"Invalid ("&amp;Data!P709&amp;")"))</f>
        <v>University Hospitals, Zurich &amp; Basel</v>
      </c>
    </row>
    <row r="710" customFormat="false" ht="15" hidden="false" customHeight="false" outlineLevel="0" collapsed="false">
      <c r="A710" s="19" t="n">
        <f aca="false">Data!A710</f>
        <v>709</v>
      </c>
      <c r="B710" s="20" t="n">
        <f aca="false">IF(Data!B710="","",Data!B710)</f>
        <v>66</v>
      </c>
      <c r="C710" s="28" t="str">
        <f aca="false">IF(Data!C710="","",IFERROR(VLOOKUP(Data!C710,Codes!$A$6:$B$7,2,FALSE()),"Invalid ("&amp;Data!C710&amp;")"))</f>
        <v>Female</v>
      </c>
      <c r="D710" s="28" t="str">
        <f aca="false">IF(Data!D710="","",IFERROR(VLOOKUP(Data!D710,Codes!$A$11:$B$14,2,FALSE()),"Invalid ("&amp;Data!D710&amp;")"))</f>
        <v>Asymptomatic</v>
      </c>
      <c r="E710" s="20" t="n">
        <f aca="false">IF(Data!E710="","",Data!E710)</f>
        <v>155</v>
      </c>
      <c r="F710" s="20" t="n">
        <f aca="false">IF(Data!F710="","",Data!F710)</f>
        <v>0</v>
      </c>
      <c r="G710" s="28" t="str">
        <f aca="false">IF(Data!G710="","",IFERROR(VLOOKUP(Data!G710,Codes!$A$18:$B$19,2,FALSE()),"Invalid ("&amp;Data!G710&amp;")"))</f>
        <v/>
      </c>
      <c r="H710" s="28" t="str">
        <f aca="false">IF(Data!H710="","",IFERROR(VLOOKUP(Data!H710,Codes!$A$23:$B$25,2,FALSE()),"Invalid ("&amp;Data!H710&amp;")"))</f>
        <v>Normal</v>
      </c>
      <c r="I710" s="20" t="n">
        <f aca="false">IF(Data!I710="","",Data!I710)</f>
        <v>90</v>
      </c>
      <c r="J710" s="28" t="str">
        <f aca="false">IF(Data!J710="","",IFERROR(VLOOKUP(Data!J710,Codes!$A$29:$B$30,2,FALSE()),"Invalid ("&amp;Data!J710&amp;")"))</f>
        <v>No</v>
      </c>
      <c r="K710" s="21" t="n">
        <f aca="false">IF(Data!K710="","",Data!K710)</f>
        <v>0</v>
      </c>
      <c r="L710" s="28" t="str">
        <f aca="false">IF(Data!L710="","",IFERROR(VLOOKUP(Data!L710,Codes!$A$34:$B$36,2,FALSE()),"Invalid ("&amp;Data!L710&amp;")"))</f>
        <v/>
      </c>
      <c r="M710" s="20" t="str">
        <f aca="false">IF(Data!M710="","",Data!M710)</f>
        <v/>
      </c>
      <c r="N710" s="28" t="str">
        <f aca="false">IF(Data!N710="","",IFERROR(VLOOKUP(Data!N710,Codes!$A$47:$B$49,2,FALSE()),"Invalid ("&amp;Data!N710&amp;")"))</f>
        <v>Reversible defect</v>
      </c>
      <c r="O710" s="28" t="str">
        <f aca="false">IF(Data!O710="","",IFERROR(VLOOKUP(Data!O710,Codes!$A$53:$B$57,2,FALSE()),"Invalid ("&amp;Data!O710&amp;")"))</f>
        <v>Disease (1)</v>
      </c>
      <c r="P710" s="22" t="str">
        <f aca="false">IF(Data!P710="","",IFERROR(VLOOKUP(Data!P710,Codes!$A$61:$B$64,2,FALSE()),"Invalid ("&amp;Data!P710&amp;")"))</f>
        <v>University Hospitals, Zurich &amp; Basel</v>
      </c>
    </row>
    <row r="711" customFormat="false" ht="15" hidden="false" customHeight="false" outlineLevel="0" collapsed="false">
      <c r="A711" s="19" t="n">
        <f aca="false">Data!A711</f>
        <v>710</v>
      </c>
      <c r="B711" s="20" t="n">
        <f aca="false">IF(Data!B711="","",Data!B711)</f>
        <v>66</v>
      </c>
      <c r="C711" s="28" t="str">
        <f aca="false">IF(Data!C711="","",IFERROR(VLOOKUP(Data!C711,Codes!$A$6:$B$7,2,FALSE()),"Invalid ("&amp;Data!C711&amp;")"))</f>
        <v>Male</v>
      </c>
      <c r="D711" s="28" t="str">
        <f aca="false">IF(Data!D711="","",IFERROR(VLOOKUP(Data!D711,Codes!$A$11:$B$14,2,FALSE()),"Invalid ("&amp;Data!D711&amp;")"))</f>
        <v>Asymptomatic</v>
      </c>
      <c r="E711" s="20" t="n">
        <f aca="false">IF(Data!E711="","",Data!E711)</f>
        <v>150</v>
      </c>
      <c r="F711" s="20" t="n">
        <f aca="false">IF(Data!F711="","",Data!F711)</f>
        <v>0</v>
      </c>
      <c r="G711" s="28" t="str">
        <f aca="false">IF(Data!G711="","",IFERROR(VLOOKUP(Data!G711,Codes!$A$18:$B$19,2,FALSE()),"Invalid ("&amp;Data!G711&amp;")"))</f>
        <v>No</v>
      </c>
      <c r="H711" s="28" t="str">
        <f aca="false">IF(Data!H711="","",IFERROR(VLOOKUP(Data!H711,Codes!$A$23:$B$25,2,FALSE()),"Invalid ("&amp;Data!H711&amp;")"))</f>
        <v>Normal</v>
      </c>
      <c r="I711" s="20" t="n">
        <f aca="false">IF(Data!I711="","",Data!I711)</f>
        <v>108</v>
      </c>
      <c r="J711" s="28" t="str">
        <f aca="false">IF(Data!J711="","",IFERROR(VLOOKUP(Data!J711,Codes!$A$29:$B$30,2,FALSE()),"Invalid ("&amp;Data!J711&amp;")"))</f>
        <v>Yes</v>
      </c>
      <c r="K711" s="21" t="n">
        <f aca="false">IF(Data!K711="","",Data!K711)</f>
        <v>2</v>
      </c>
      <c r="L711" s="28" t="str">
        <f aca="false">IF(Data!L711="","",IFERROR(VLOOKUP(Data!L711,Codes!$A$34:$B$36,2,FALSE()),"Invalid ("&amp;Data!L711&amp;")"))</f>
        <v>Flat</v>
      </c>
      <c r="M711" s="20" t="str">
        <f aca="false">IF(Data!M711="","",Data!M711)</f>
        <v/>
      </c>
      <c r="N711" s="28" t="str">
        <f aca="false">IF(Data!N711="","",IFERROR(VLOOKUP(Data!N711,Codes!$A$47:$B$49,2,FALSE()),"Invalid ("&amp;Data!N711&amp;")"))</f>
        <v>Reversible defect</v>
      </c>
      <c r="O711" s="28" t="str">
        <f aca="false">IF(Data!O711="","",IFERROR(VLOOKUP(Data!O711,Codes!$A$53:$B$57,2,FALSE()),"Invalid ("&amp;Data!O711&amp;")"))</f>
        <v>Disease (3)</v>
      </c>
      <c r="P711" s="22" t="str">
        <f aca="false">IF(Data!P711="","",IFERROR(VLOOKUP(Data!P711,Codes!$A$61:$B$64,2,FALSE()),"Invalid ("&amp;Data!P711&amp;")"))</f>
        <v>University Hospitals, Zurich &amp; Basel</v>
      </c>
    </row>
    <row r="712" customFormat="false" ht="15" hidden="false" customHeight="false" outlineLevel="0" collapsed="false">
      <c r="A712" s="19" t="n">
        <f aca="false">Data!A712</f>
        <v>711</v>
      </c>
      <c r="B712" s="20" t="n">
        <f aca="false">IF(Data!B712="","",Data!B712)</f>
        <v>67</v>
      </c>
      <c r="C712" s="28" t="str">
        <f aca="false">IF(Data!C712="","",IFERROR(VLOOKUP(Data!C712,Codes!$A$6:$B$7,2,FALSE()),"Invalid ("&amp;Data!C712&amp;")"))</f>
        <v>Male</v>
      </c>
      <c r="D712" s="28" t="str">
        <f aca="false">IF(Data!D712="","",IFERROR(VLOOKUP(Data!D712,Codes!$A$11:$B$14,2,FALSE()),"Invalid ("&amp;Data!D712&amp;")"))</f>
        <v>Typical angina</v>
      </c>
      <c r="E712" s="20" t="n">
        <f aca="false">IF(Data!E712="","",Data!E712)</f>
        <v>145</v>
      </c>
      <c r="F712" s="20" t="n">
        <f aca="false">IF(Data!F712="","",Data!F712)</f>
        <v>0</v>
      </c>
      <c r="G712" s="28" t="str">
        <f aca="false">IF(Data!G712="","",IFERROR(VLOOKUP(Data!G712,Codes!$A$18:$B$19,2,FALSE()),"Invalid ("&amp;Data!G712&amp;")"))</f>
        <v>No</v>
      </c>
      <c r="H712" s="28" t="str">
        <f aca="false">IF(Data!H712="","",IFERROR(VLOOKUP(Data!H712,Codes!$A$23:$B$25,2,FALSE()),"Invalid ("&amp;Data!H712&amp;")"))</f>
        <v>Left ventricular hypertrophy</v>
      </c>
      <c r="I712" s="20" t="n">
        <f aca="false">IF(Data!I712="","",Data!I712)</f>
        <v>125</v>
      </c>
      <c r="J712" s="28" t="str">
        <f aca="false">IF(Data!J712="","",IFERROR(VLOOKUP(Data!J712,Codes!$A$29:$B$30,2,FALSE()),"Invalid ("&amp;Data!J712&amp;")"))</f>
        <v>No</v>
      </c>
      <c r="K712" s="21" t="n">
        <f aca="false">IF(Data!K712="","",Data!K712)</f>
        <v>0</v>
      </c>
      <c r="L712" s="28" t="str">
        <f aca="false">IF(Data!L712="","",IFERROR(VLOOKUP(Data!L712,Codes!$A$34:$B$36,2,FALSE()),"Invalid ("&amp;Data!L712&amp;")"))</f>
        <v>Flat</v>
      </c>
      <c r="M712" s="20" t="str">
        <f aca="false">IF(Data!M712="","",Data!M712)</f>
        <v/>
      </c>
      <c r="N712" s="28" t="str">
        <f aca="false">IF(Data!N712="","",IFERROR(VLOOKUP(Data!N712,Codes!$A$47:$B$49,2,FALSE()),"Invalid ("&amp;Data!N712&amp;")"))</f>
        <v>Normal</v>
      </c>
      <c r="O712" s="28" t="str">
        <f aca="false">IF(Data!O712="","",IFERROR(VLOOKUP(Data!O712,Codes!$A$53:$B$57,2,FALSE()),"Invalid ("&amp;Data!O712&amp;")"))</f>
        <v>Disease (2)</v>
      </c>
      <c r="P712" s="22" t="str">
        <f aca="false">IF(Data!P712="","",IFERROR(VLOOKUP(Data!P712,Codes!$A$61:$B$64,2,FALSE()),"Invalid ("&amp;Data!P712&amp;")"))</f>
        <v>University Hospitals, Zurich &amp; Basel</v>
      </c>
    </row>
    <row r="713" customFormat="false" ht="15" hidden="false" customHeight="false" outlineLevel="0" collapsed="false">
      <c r="A713" s="19" t="n">
        <f aca="false">Data!A713</f>
        <v>712</v>
      </c>
      <c r="B713" s="20" t="n">
        <f aca="false">IF(Data!B713="","",Data!B713)</f>
        <v>68</v>
      </c>
      <c r="C713" s="28" t="str">
        <f aca="false">IF(Data!C713="","",IFERROR(VLOOKUP(Data!C713,Codes!$A$6:$B$7,2,FALSE()),"Invalid ("&amp;Data!C713&amp;")"))</f>
        <v>Male</v>
      </c>
      <c r="D713" s="28" t="str">
        <f aca="false">IF(Data!D713="","",IFERROR(VLOOKUP(Data!D713,Codes!$A$11:$B$14,2,FALSE()),"Invalid ("&amp;Data!D713&amp;")"))</f>
        <v>Asymptomatic</v>
      </c>
      <c r="E713" s="20" t="n">
        <f aca="false">IF(Data!E713="","",Data!E713)</f>
        <v>135</v>
      </c>
      <c r="F713" s="20" t="n">
        <f aca="false">IF(Data!F713="","",Data!F713)</f>
        <v>0</v>
      </c>
      <c r="G713" s="28" t="str">
        <f aca="false">IF(Data!G713="","",IFERROR(VLOOKUP(Data!G713,Codes!$A$18:$B$19,2,FALSE()),"Invalid ("&amp;Data!G713&amp;")"))</f>
        <v>No</v>
      </c>
      <c r="H713" s="28" t="str">
        <f aca="false">IF(Data!H713="","",IFERROR(VLOOKUP(Data!H713,Codes!$A$23:$B$25,2,FALSE()),"Invalid ("&amp;Data!H713&amp;")"))</f>
        <v>ST-T wave abnormality</v>
      </c>
      <c r="I713" s="20" t="n">
        <f aca="false">IF(Data!I713="","",Data!I713)</f>
        <v>120</v>
      </c>
      <c r="J713" s="28" t="str">
        <f aca="false">IF(Data!J713="","",IFERROR(VLOOKUP(Data!J713,Codes!$A$29:$B$30,2,FALSE()),"Invalid ("&amp;Data!J713&amp;")"))</f>
        <v>Yes</v>
      </c>
      <c r="K713" s="21" t="n">
        <f aca="false">IF(Data!K713="","",Data!K713)</f>
        <v>0</v>
      </c>
      <c r="L713" s="28" t="str">
        <f aca="false">IF(Data!L713="","",IFERROR(VLOOKUP(Data!L713,Codes!$A$34:$B$36,2,FALSE()),"Invalid ("&amp;Data!L713&amp;")"))</f>
        <v>Upsloping</v>
      </c>
      <c r="M713" s="20" t="str">
        <f aca="false">IF(Data!M713="","",Data!M713)</f>
        <v/>
      </c>
      <c r="N713" s="28" t="str">
        <f aca="false">IF(Data!N713="","",IFERROR(VLOOKUP(Data!N713,Codes!$A$47:$B$49,2,FALSE()),"Invalid ("&amp;Data!N713&amp;")"))</f>
        <v>Reversible defect</v>
      </c>
      <c r="O713" s="28" t="str">
        <f aca="false">IF(Data!O713="","",IFERROR(VLOOKUP(Data!O713,Codes!$A$53:$B$57,2,FALSE()),"Invalid ("&amp;Data!O713&amp;")"))</f>
        <v>Disease (3)</v>
      </c>
      <c r="P713" s="22" t="str">
        <f aca="false">IF(Data!P713="","",IFERROR(VLOOKUP(Data!P713,Codes!$A$61:$B$64,2,FALSE()),"Invalid ("&amp;Data!P713&amp;")"))</f>
        <v>University Hospitals, Zurich &amp; Basel</v>
      </c>
    </row>
    <row r="714" customFormat="false" ht="15" hidden="false" customHeight="false" outlineLevel="0" collapsed="false">
      <c r="A714" s="19" t="n">
        <f aca="false">Data!A714</f>
        <v>713</v>
      </c>
      <c r="B714" s="20" t="n">
        <f aca="false">IF(Data!B714="","",Data!B714)</f>
        <v>68</v>
      </c>
      <c r="C714" s="28" t="str">
        <f aca="false">IF(Data!C714="","",IFERROR(VLOOKUP(Data!C714,Codes!$A$6:$B$7,2,FALSE()),"Invalid ("&amp;Data!C714&amp;")"))</f>
        <v>Male</v>
      </c>
      <c r="D714" s="28" t="str">
        <f aca="false">IF(Data!D714="","",IFERROR(VLOOKUP(Data!D714,Codes!$A$11:$B$14,2,FALSE()),"Invalid ("&amp;Data!D714&amp;")"))</f>
        <v>Asymptomatic</v>
      </c>
      <c r="E714" s="20" t="n">
        <f aca="false">IF(Data!E714="","",Data!E714)</f>
        <v>145</v>
      </c>
      <c r="F714" s="20" t="n">
        <f aca="false">IF(Data!F714="","",Data!F714)</f>
        <v>0</v>
      </c>
      <c r="G714" s="28" t="str">
        <f aca="false">IF(Data!G714="","",IFERROR(VLOOKUP(Data!G714,Codes!$A$18:$B$19,2,FALSE()),"Invalid ("&amp;Data!G714&amp;")"))</f>
        <v/>
      </c>
      <c r="H714" s="28" t="str">
        <f aca="false">IF(Data!H714="","",IFERROR(VLOOKUP(Data!H714,Codes!$A$23:$B$25,2,FALSE()),"Invalid ("&amp;Data!H714&amp;")"))</f>
        <v>Normal</v>
      </c>
      <c r="I714" s="20" t="n">
        <f aca="false">IF(Data!I714="","",Data!I714)</f>
        <v>136</v>
      </c>
      <c r="J714" s="28" t="str">
        <f aca="false">IF(Data!J714="","",IFERROR(VLOOKUP(Data!J714,Codes!$A$29:$B$30,2,FALSE()),"Invalid ("&amp;Data!J714&amp;")"))</f>
        <v>No</v>
      </c>
      <c r="K714" s="21" t="n">
        <f aca="false">IF(Data!K714="","",Data!K714)</f>
        <v>1.8</v>
      </c>
      <c r="L714" s="28" t="str">
        <f aca="false">IF(Data!L714="","",IFERROR(VLOOKUP(Data!L714,Codes!$A$34:$B$36,2,FALSE()),"Invalid ("&amp;Data!L714&amp;")"))</f>
        <v>Upsloping</v>
      </c>
      <c r="M714" s="20" t="str">
        <f aca="false">IF(Data!M714="","",Data!M714)</f>
        <v/>
      </c>
      <c r="N714" s="28" t="str">
        <f aca="false">IF(Data!N714="","",IFERROR(VLOOKUP(Data!N714,Codes!$A$47:$B$49,2,FALSE()),"Invalid ("&amp;Data!N714&amp;")"))</f>
        <v/>
      </c>
      <c r="O714" s="28" t="str">
        <f aca="false">IF(Data!O714="","",IFERROR(VLOOKUP(Data!O714,Codes!$A$53:$B$57,2,FALSE()),"Invalid ("&amp;Data!O714&amp;")"))</f>
        <v>Disease (1)</v>
      </c>
      <c r="P714" s="22" t="str">
        <f aca="false">IF(Data!P714="","",IFERROR(VLOOKUP(Data!P714,Codes!$A$61:$B$64,2,FALSE()),"Invalid ("&amp;Data!P714&amp;")"))</f>
        <v>University Hospitals, Zurich &amp; Basel</v>
      </c>
    </row>
    <row r="715" customFormat="false" ht="15" hidden="false" customHeight="false" outlineLevel="0" collapsed="false">
      <c r="A715" s="19" t="n">
        <f aca="false">Data!A715</f>
        <v>714</v>
      </c>
      <c r="B715" s="20" t="n">
        <f aca="false">IF(Data!B715="","",Data!B715)</f>
        <v>69</v>
      </c>
      <c r="C715" s="28" t="str">
        <f aca="false">IF(Data!C715="","",IFERROR(VLOOKUP(Data!C715,Codes!$A$6:$B$7,2,FALSE()),"Invalid ("&amp;Data!C715&amp;")"))</f>
        <v>Male</v>
      </c>
      <c r="D715" s="28" t="str">
        <f aca="false">IF(Data!D715="","",IFERROR(VLOOKUP(Data!D715,Codes!$A$11:$B$14,2,FALSE()),"Invalid ("&amp;Data!D715&amp;")"))</f>
        <v>Asymptomatic</v>
      </c>
      <c r="E715" s="20" t="n">
        <f aca="false">IF(Data!E715="","",Data!E715)</f>
        <v>135</v>
      </c>
      <c r="F715" s="20" t="n">
        <f aca="false">IF(Data!F715="","",Data!F715)</f>
        <v>0</v>
      </c>
      <c r="G715" s="28" t="str">
        <f aca="false">IF(Data!G715="","",IFERROR(VLOOKUP(Data!G715,Codes!$A$18:$B$19,2,FALSE()),"Invalid ("&amp;Data!G715&amp;")"))</f>
        <v>No</v>
      </c>
      <c r="H715" s="28" t="str">
        <f aca="false">IF(Data!H715="","",IFERROR(VLOOKUP(Data!H715,Codes!$A$23:$B$25,2,FALSE()),"Invalid ("&amp;Data!H715&amp;")"))</f>
        <v>Normal</v>
      </c>
      <c r="I715" s="20" t="n">
        <f aca="false">IF(Data!I715="","",Data!I715)</f>
        <v>130</v>
      </c>
      <c r="J715" s="28" t="str">
        <f aca="false">IF(Data!J715="","",IFERROR(VLOOKUP(Data!J715,Codes!$A$29:$B$30,2,FALSE()),"Invalid ("&amp;Data!J715&amp;")"))</f>
        <v>No</v>
      </c>
      <c r="K715" s="21" t="n">
        <f aca="false">IF(Data!K715="","",Data!K715)</f>
        <v>0</v>
      </c>
      <c r="L715" s="28" t="str">
        <f aca="false">IF(Data!L715="","",IFERROR(VLOOKUP(Data!L715,Codes!$A$34:$B$36,2,FALSE()),"Invalid ("&amp;Data!L715&amp;")"))</f>
        <v>Flat</v>
      </c>
      <c r="M715" s="20" t="str">
        <f aca="false">IF(Data!M715="","",Data!M715)</f>
        <v/>
      </c>
      <c r="N715" s="28" t="str">
        <f aca="false">IF(Data!N715="","",IFERROR(VLOOKUP(Data!N715,Codes!$A$47:$B$49,2,FALSE()),"Invalid ("&amp;Data!N715&amp;")"))</f>
        <v>Fixed defect</v>
      </c>
      <c r="O715" s="28" t="str">
        <f aca="false">IF(Data!O715="","",IFERROR(VLOOKUP(Data!O715,Codes!$A$53:$B$57,2,FALSE()),"Invalid ("&amp;Data!O715&amp;")"))</f>
        <v>Disease (1)</v>
      </c>
      <c r="P715" s="22" t="str">
        <f aca="false">IF(Data!P715="","",IFERROR(VLOOKUP(Data!P715,Codes!$A$61:$B$64,2,FALSE()),"Invalid ("&amp;Data!P715&amp;")"))</f>
        <v>University Hospitals, Zurich &amp; Basel</v>
      </c>
    </row>
    <row r="716" customFormat="false" ht="15" hidden="false" customHeight="false" outlineLevel="0" collapsed="false">
      <c r="A716" s="19" t="n">
        <f aca="false">Data!A716</f>
        <v>715</v>
      </c>
      <c r="B716" s="20" t="n">
        <f aca="false">IF(Data!B716="","",Data!B716)</f>
        <v>69</v>
      </c>
      <c r="C716" s="28" t="str">
        <f aca="false">IF(Data!C716="","",IFERROR(VLOOKUP(Data!C716,Codes!$A$6:$B$7,2,FALSE()),"Invalid ("&amp;Data!C716&amp;")"))</f>
        <v>Male</v>
      </c>
      <c r="D716" s="28" t="str">
        <f aca="false">IF(Data!D716="","",IFERROR(VLOOKUP(Data!D716,Codes!$A$11:$B$14,2,FALSE()),"Invalid ("&amp;Data!D716&amp;")"))</f>
        <v>Asymptomatic</v>
      </c>
      <c r="E716" s="20" t="str">
        <f aca="false">IF(Data!E716="","",Data!E716)</f>
        <v/>
      </c>
      <c r="F716" s="20" t="n">
        <f aca="false">IF(Data!F716="","",Data!F716)</f>
        <v>0</v>
      </c>
      <c r="G716" s="28" t="str">
        <f aca="false">IF(Data!G716="","",IFERROR(VLOOKUP(Data!G716,Codes!$A$18:$B$19,2,FALSE()),"Invalid ("&amp;Data!G716&amp;")"))</f>
        <v>No</v>
      </c>
      <c r="H716" s="28" t="str">
        <f aca="false">IF(Data!H716="","",IFERROR(VLOOKUP(Data!H716,Codes!$A$23:$B$25,2,FALSE()),"Invalid ("&amp;Data!H716&amp;")"))</f>
        <v>ST-T wave abnormality</v>
      </c>
      <c r="I716" s="20" t="str">
        <f aca="false">IF(Data!I716="","",Data!I716)</f>
        <v/>
      </c>
      <c r="J716" s="28" t="str">
        <f aca="false">IF(Data!J716="","",IFERROR(VLOOKUP(Data!J716,Codes!$A$29:$B$30,2,FALSE()),"Invalid ("&amp;Data!J716&amp;")"))</f>
        <v/>
      </c>
      <c r="K716" s="21" t="str">
        <f aca="false">IF(Data!K716="","",Data!K716)</f>
        <v/>
      </c>
      <c r="L716" s="28" t="str">
        <f aca="false">IF(Data!L716="","",IFERROR(VLOOKUP(Data!L716,Codes!$A$34:$B$36,2,FALSE()),"Invalid ("&amp;Data!L716&amp;")"))</f>
        <v/>
      </c>
      <c r="M716" s="20" t="str">
        <f aca="false">IF(Data!M716="","",Data!M716)</f>
        <v/>
      </c>
      <c r="N716" s="28" t="str">
        <f aca="false">IF(Data!N716="","",IFERROR(VLOOKUP(Data!N716,Codes!$A$47:$B$49,2,FALSE()),"Invalid ("&amp;Data!N716&amp;")"))</f>
        <v>Reversible defect</v>
      </c>
      <c r="O716" s="28" t="str">
        <f aca="false">IF(Data!O716="","",IFERROR(VLOOKUP(Data!O716,Codes!$A$53:$B$57,2,FALSE()),"Invalid ("&amp;Data!O716&amp;")"))</f>
        <v>Disease (3)</v>
      </c>
      <c r="P716" s="22" t="str">
        <f aca="false">IF(Data!P716="","",IFERROR(VLOOKUP(Data!P716,Codes!$A$61:$B$64,2,FALSE()),"Invalid ("&amp;Data!P716&amp;")"))</f>
        <v>University Hospitals, Zurich &amp; Basel</v>
      </c>
    </row>
    <row r="717" customFormat="false" ht="15" hidden="false" customHeight="false" outlineLevel="0" collapsed="false">
      <c r="A717" s="19" t="n">
        <f aca="false">Data!A717</f>
        <v>716</v>
      </c>
      <c r="B717" s="20" t="n">
        <f aca="false">IF(Data!B717="","",Data!B717)</f>
        <v>70</v>
      </c>
      <c r="C717" s="28" t="str">
        <f aca="false">IF(Data!C717="","",IFERROR(VLOOKUP(Data!C717,Codes!$A$6:$B$7,2,FALSE()),"Invalid ("&amp;Data!C717&amp;")"))</f>
        <v>Male</v>
      </c>
      <c r="D717" s="28" t="str">
        <f aca="false">IF(Data!D717="","",IFERROR(VLOOKUP(Data!D717,Codes!$A$11:$B$14,2,FALSE()),"Invalid ("&amp;Data!D717&amp;")"))</f>
        <v>Asymptomatic</v>
      </c>
      <c r="E717" s="20" t="n">
        <f aca="false">IF(Data!E717="","",Data!E717)</f>
        <v>115</v>
      </c>
      <c r="F717" s="20" t="n">
        <f aca="false">IF(Data!F717="","",Data!F717)</f>
        <v>0</v>
      </c>
      <c r="G717" s="28" t="str">
        <f aca="false">IF(Data!G717="","",IFERROR(VLOOKUP(Data!G717,Codes!$A$18:$B$19,2,FALSE()),"Invalid ("&amp;Data!G717&amp;")"))</f>
        <v>No</v>
      </c>
      <c r="H717" s="28" t="str">
        <f aca="false">IF(Data!H717="","",IFERROR(VLOOKUP(Data!H717,Codes!$A$23:$B$25,2,FALSE()),"Invalid ("&amp;Data!H717&amp;")"))</f>
        <v>ST-T wave abnormality</v>
      </c>
      <c r="I717" s="20" t="n">
        <f aca="false">IF(Data!I717="","",Data!I717)</f>
        <v>92</v>
      </c>
      <c r="J717" s="28" t="str">
        <f aca="false">IF(Data!J717="","",IFERROR(VLOOKUP(Data!J717,Codes!$A$29:$B$30,2,FALSE()),"Invalid ("&amp;Data!J717&amp;")"))</f>
        <v>Yes</v>
      </c>
      <c r="K717" s="21" t="n">
        <f aca="false">IF(Data!K717="","",Data!K717)</f>
        <v>0</v>
      </c>
      <c r="L717" s="28" t="str">
        <f aca="false">IF(Data!L717="","",IFERROR(VLOOKUP(Data!L717,Codes!$A$34:$B$36,2,FALSE()),"Invalid ("&amp;Data!L717&amp;")"))</f>
        <v>Flat</v>
      </c>
      <c r="M717" s="20" t="str">
        <f aca="false">IF(Data!M717="","",Data!M717)</f>
        <v/>
      </c>
      <c r="N717" s="28" t="str">
        <f aca="false">IF(Data!N717="","",IFERROR(VLOOKUP(Data!N717,Codes!$A$47:$B$49,2,FALSE()),"Invalid ("&amp;Data!N717&amp;")"))</f>
        <v>Reversible defect</v>
      </c>
      <c r="O717" s="28" t="str">
        <f aca="false">IF(Data!O717="","",IFERROR(VLOOKUP(Data!O717,Codes!$A$53:$B$57,2,FALSE()),"Invalid ("&amp;Data!O717&amp;")"))</f>
        <v>Disease (1)</v>
      </c>
      <c r="P717" s="22" t="str">
        <f aca="false">IF(Data!P717="","",IFERROR(VLOOKUP(Data!P717,Codes!$A$61:$B$64,2,FALSE()),"Invalid ("&amp;Data!P717&amp;")"))</f>
        <v>University Hospitals, Zurich &amp; Basel</v>
      </c>
    </row>
    <row r="718" customFormat="false" ht="15" hidden="false" customHeight="false" outlineLevel="0" collapsed="false">
      <c r="A718" s="19" t="n">
        <f aca="false">Data!A718</f>
        <v>717</v>
      </c>
      <c r="B718" s="20" t="n">
        <f aca="false">IF(Data!B718="","",Data!B718)</f>
        <v>70</v>
      </c>
      <c r="C718" s="28" t="str">
        <f aca="false">IF(Data!C718="","",IFERROR(VLOOKUP(Data!C718,Codes!$A$6:$B$7,2,FALSE()),"Invalid ("&amp;Data!C718&amp;")"))</f>
        <v>Male</v>
      </c>
      <c r="D718" s="28" t="str">
        <f aca="false">IF(Data!D718="","",IFERROR(VLOOKUP(Data!D718,Codes!$A$11:$B$14,2,FALSE()),"Invalid ("&amp;Data!D718&amp;")"))</f>
        <v>Asymptomatic</v>
      </c>
      <c r="E718" s="20" t="n">
        <f aca="false">IF(Data!E718="","",Data!E718)</f>
        <v>140</v>
      </c>
      <c r="F718" s="20" t="n">
        <f aca="false">IF(Data!F718="","",Data!F718)</f>
        <v>0</v>
      </c>
      <c r="G718" s="28" t="str">
        <f aca="false">IF(Data!G718="","",IFERROR(VLOOKUP(Data!G718,Codes!$A$18:$B$19,2,FALSE()),"Invalid ("&amp;Data!G718&amp;")"))</f>
        <v>Yes</v>
      </c>
      <c r="H718" s="28" t="str">
        <f aca="false">IF(Data!H718="","",IFERROR(VLOOKUP(Data!H718,Codes!$A$23:$B$25,2,FALSE()),"Invalid ("&amp;Data!H718&amp;")"))</f>
        <v>Normal</v>
      </c>
      <c r="I718" s="20" t="n">
        <f aca="false">IF(Data!I718="","",Data!I718)</f>
        <v>157</v>
      </c>
      <c r="J718" s="28" t="str">
        <f aca="false">IF(Data!J718="","",IFERROR(VLOOKUP(Data!J718,Codes!$A$29:$B$30,2,FALSE()),"Invalid ("&amp;Data!J718&amp;")"))</f>
        <v>Yes</v>
      </c>
      <c r="K718" s="21" t="n">
        <f aca="false">IF(Data!K718="","",Data!K718)</f>
        <v>2</v>
      </c>
      <c r="L718" s="28" t="str">
        <f aca="false">IF(Data!L718="","",IFERROR(VLOOKUP(Data!L718,Codes!$A$34:$B$36,2,FALSE()),"Invalid ("&amp;Data!L718&amp;")"))</f>
        <v>Flat</v>
      </c>
      <c r="M718" s="20" t="str">
        <f aca="false">IF(Data!M718="","",Data!M718)</f>
        <v/>
      </c>
      <c r="N718" s="28" t="str">
        <f aca="false">IF(Data!N718="","",IFERROR(VLOOKUP(Data!N718,Codes!$A$47:$B$49,2,FALSE()),"Invalid ("&amp;Data!N718&amp;")"))</f>
        <v>Reversible defect</v>
      </c>
      <c r="O718" s="28" t="str">
        <f aca="false">IF(Data!O718="","",IFERROR(VLOOKUP(Data!O718,Codes!$A$53:$B$57,2,FALSE()),"Invalid ("&amp;Data!O718&amp;")"))</f>
        <v>Disease (3)</v>
      </c>
      <c r="P718" s="22" t="str">
        <f aca="false">IF(Data!P718="","",IFERROR(VLOOKUP(Data!P718,Codes!$A$61:$B$64,2,FALSE()),"Invalid ("&amp;Data!P718&amp;")"))</f>
        <v>University Hospitals, Zurich &amp; Basel</v>
      </c>
    </row>
    <row r="719" customFormat="false" ht="15" hidden="false" customHeight="false" outlineLevel="0" collapsed="false">
      <c r="A719" s="19" t="n">
        <f aca="false">Data!A719</f>
        <v>718</v>
      </c>
      <c r="B719" s="20" t="n">
        <f aca="false">IF(Data!B719="","",Data!B719)</f>
        <v>72</v>
      </c>
      <c r="C719" s="28" t="str">
        <f aca="false">IF(Data!C719="","",IFERROR(VLOOKUP(Data!C719,Codes!$A$6:$B$7,2,FALSE()),"Invalid ("&amp;Data!C719&amp;")"))</f>
        <v>Male</v>
      </c>
      <c r="D719" s="28" t="str">
        <f aca="false">IF(Data!D719="","",IFERROR(VLOOKUP(Data!D719,Codes!$A$11:$B$14,2,FALSE()),"Invalid ("&amp;Data!D719&amp;")"))</f>
        <v>Non-anginal pain</v>
      </c>
      <c r="E719" s="20" t="n">
        <f aca="false">IF(Data!E719="","",Data!E719)</f>
        <v>160</v>
      </c>
      <c r="F719" s="20" t="n">
        <f aca="false">IF(Data!F719="","",Data!F719)</f>
        <v>0</v>
      </c>
      <c r="G719" s="28" t="str">
        <f aca="false">IF(Data!G719="","",IFERROR(VLOOKUP(Data!G719,Codes!$A$18:$B$19,2,FALSE()),"Invalid ("&amp;Data!G719&amp;")"))</f>
        <v/>
      </c>
      <c r="H719" s="28" t="str">
        <f aca="false">IF(Data!H719="","",IFERROR(VLOOKUP(Data!H719,Codes!$A$23:$B$25,2,FALSE()),"Invalid ("&amp;Data!H719&amp;")"))</f>
        <v>Left ventricular hypertrophy</v>
      </c>
      <c r="I719" s="20" t="n">
        <f aca="false">IF(Data!I719="","",Data!I719)</f>
        <v>114</v>
      </c>
      <c r="J719" s="28" t="str">
        <f aca="false">IF(Data!J719="","",IFERROR(VLOOKUP(Data!J719,Codes!$A$29:$B$30,2,FALSE()),"Invalid ("&amp;Data!J719&amp;")"))</f>
        <v>No</v>
      </c>
      <c r="K719" s="21" t="n">
        <f aca="false">IF(Data!K719="","",Data!K719)</f>
        <v>1.6</v>
      </c>
      <c r="L719" s="28" t="str">
        <f aca="false">IF(Data!L719="","",IFERROR(VLOOKUP(Data!L719,Codes!$A$34:$B$36,2,FALSE()),"Invalid ("&amp;Data!L719&amp;")"))</f>
        <v>Flat</v>
      </c>
      <c r="M719" s="20" t="n">
        <f aca="false">IF(Data!M719="","",Data!M719)</f>
        <v>2</v>
      </c>
      <c r="N719" s="28" t="str">
        <f aca="false">IF(Data!N719="","",IFERROR(VLOOKUP(Data!N719,Codes!$A$47:$B$49,2,FALSE()),"Invalid ("&amp;Data!N719&amp;")"))</f>
        <v/>
      </c>
      <c r="O719" s="28" t="str">
        <f aca="false">IF(Data!O719="","",IFERROR(VLOOKUP(Data!O719,Codes!$A$53:$B$57,2,FALSE()),"Invalid ("&amp;Data!O719&amp;")"))</f>
        <v>No disease</v>
      </c>
      <c r="P719" s="22" t="str">
        <f aca="false">IF(Data!P719="","",IFERROR(VLOOKUP(Data!P719,Codes!$A$61:$B$64,2,FALSE()),"Invalid ("&amp;Data!P719&amp;")"))</f>
        <v>University Hospitals, Zurich &amp; Basel</v>
      </c>
    </row>
    <row r="720" customFormat="false" ht="15" hidden="false" customHeight="false" outlineLevel="0" collapsed="false">
      <c r="A720" s="19" t="n">
        <f aca="false">Data!A720</f>
        <v>719</v>
      </c>
      <c r="B720" s="20" t="n">
        <f aca="false">IF(Data!B720="","",Data!B720)</f>
        <v>73</v>
      </c>
      <c r="C720" s="28" t="str">
        <f aca="false">IF(Data!C720="","",IFERROR(VLOOKUP(Data!C720,Codes!$A$6:$B$7,2,FALSE()),"Invalid ("&amp;Data!C720&amp;")"))</f>
        <v>Female</v>
      </c>
      <c r="D720" s="28" t="str">
        <f aca="false">IF(Data!D720="","",IFERROR(VLOOKUP(Data!D720,Codes!$A$11:$B$14,2,FALSE()),"Invalid ("&amp;Data!D720&amp;")"))</f>
        <v>Non-anginal pain</v>
      </c>
      <c r="E720" s="20" t="n">
        <f aca="false">IF(Data!E720="","",Data!E720)</f>
        <v>160</v>
      </c>
      <c r="F720" s="20" t="n">
        <f aca="false">IF(Data!F720="","",Data!F720)</f>
        <v>0</v>
      </c>
      <c r="G720" s="28" t="str">
        <f aca="false">IF(Data!G720="","",IFERROR(VLOOKUP(Data!G720,Codes!$A$18:$B$19,2,FALSE()),"Invalid ("&amp;Data!G720&amp;")"))</f>
        <v>No</v>
      </c>
      <c r="H720" s="28" t="str">
        <f aca="false">IF(Data!H720="","",IFERROR(VLOOKUP(Data!H720,Codes!$A$23:$B$25,2,FALSE()),"Invalid ("&amp;Data!H720&amp;")"))</f>
        <v>ST-T wave abnormality</v>
      </c>
      <c r="I720" s="20" t="n">
        <f aca="false">IF(Data!I720="","",Data!I720)</f>
        <v>121</v>
      </c>
      <c r="J720" s="28" t="str">
        <f aca="false">IF(Data!J720="","",IFERROR(VLOOKUP(Data!J720,Codes!$A$29:$B$30,2,FALSE()),"Invalid ("&amp;Data!J720&amp;")"))</f>
        <v>No</v>
      </c>
      <c r="K720" s="21" t="n">
        <f aca="false">IF(Data!K720="","",Data!K720)</f>
        <v>0</v>
      </c>
      <c r="L720" s="28" t="str">
        <f aca="false">IF(Data!L720="","",IFERROR(VLOOKUP(Data!L720,Codes!$A$34:$B$36,2,FALSE()),"Invalid ("&amp;Data!L720&amp;")"))</f>
        <v>Upsloping</v>
      </c>
      <c r="M720" s="20" t="str">
        <f aca="false">IF(Data!M720="","",Data!M720)</f>
        <v/>
      </c>
      <c r="N720" s="28" t="str">
        <f aca="false">IF(Data!N720="","",IFERROR(VLOOKUP(Data!N720,Codes!$A$47:$B$49,2,FALSE()),"Invalid ("&amp;Data!N720&amp;")"))</f>
        <v>Normal</v>
      </c>
      <c r="O720" s="28" t="str">
        <f aca="false">IF(Data!O720="","",IFERROR(VLOOKUP(Data!O720,Codes!$A$53:$B$57,2,FALSE()),"Invalid ("&amp;Data!O720&amp;")"))</f>
        <v>Disease (1)</v>
      </c>
      <c r="P720" s="22" t="str">
        <f aca="false">IF(Data!P720="","",IFERROR(VLOOKUP(Data!P720,Codes!$A$61:$B$64,2,FALSE()),"Invalid ("&amp;Data!P720&amp;")"))</f>
        <v>University Hospitals, Zurich &amp; Basel</v>
      </c>
    </row>
    <row r="721" customFormat="false" ht="15" hidden="false" customHeight="false" outlineLevel="0" collapsed="false">
      <c r="A721" s="19" t="n">
        <f aca="false">Data!A721</f>
        <v>720</v>
      </c>
      <c r="B721" s="20" t="n">
        <f aca="false">IF(Data!B721="","",Data!B721)</f>
        <v>74</v>
      </c>
      <c r="C721" s="28" t="str">
        <f aca="false">IF(Data!C721="","",IFERROR(VLOOKUP(Data!C721,Codes!$A$6:$B$7,2,FALSE()),"Invalid ("&amp;Data!C721&amp;")"))</f>
        <v>Male</v>
      </c>
      <c r="D721" s="28" t="str">
        <f aca="false">IF(Data!D721="","",IFERROR(VLOOKUP(Data!D721,Codes!$A$11:$B$14,2,FALSE()),"Invalid ("&amp;Data!D721&amp;")"))</f>
        <v>Atypical angina</v>
      </c>
      <c r="E721" s="20" t="n">
        <f aca="false">IF(Data!E721="","",Data!E721)</f>
        <v>145</v>
      </c>
      <c r="F721" s="20" t="n">
        <f aca="false">IF(Data!F721="","",Data!F721)</f>
        <v>0</v>
      </c>
      <c r="G721" s="28" t="str">
        <f aca="false">IF(Data!G721="","",IFERROR(VLOOKUP(Data!G721,Codes!$A$18:$B$19,2,FALSE()),"Invalid ("&amp;Data!G721&amp;")"))</f>
        <v/>
      </c>
      <c r="H721" s="28" t="str">
        <f aca="false">IF(Data!H721="","",IFERROR(VLOOKUP(Data!H721,Codes!$A$23:$B$25,2,FALSE()),"Invalid ("&amp;Data!H721&amp;")"))</f>
        <v>ST-T wave abnormality</v>
      </c>
      <c r="I721" s="20" t="n">
        <f aca="false">IF(Data!I721="","",Data!I721)</f>
        <v>123</v>
      </c>
      <c r="J721" s="28" t="str">
        <f aca="false">IF(Data!J721="","",IFERROR(VLOOKUP(Data!J721,Codes!$A$29:$B$30,2,FALSE()),"Invalid ("&amp;Data!J721&amp;")"))</f>
        <v>No</v>
      </c>
      <c r="K721" s="21" t="n">
        <f aca="false">IF(Data!K721="","",Data!K721)</f>
        <v>1.3</v>
      </c>
      <c r="L721" s="28" t="str">
        <f aca="false">IF(Data!L721="","",IFERROR(VLOOKUP(Data!L721,Codes!$A$34:$B$36,2,FALSE()),"Invalid ("&amp;Data!L721&amp;")"))</f>
        <v>Upsloping</v>
      </c>
      <c r="M721" s="20" t="str">
        <f aca="false">IF(Data!M721="","",Data!M721)</f>
        <v/>
      </c>
      <c r="N721" s="28" t="str">
        <f aca="false">IF(Data!N721="","",IFERROR(VLOOKUP(Data!N721,Codes!$A$47:$B$49,2,FALSE()),"Invalid ("&amp;Data!N721&amp;")"))</f>
        <v/>
      </c>
      <c r="O721" s="28" t="str">
        <f aca="false">IF(Data!O721="","",IFERROR(VLOOKUP(Data!O721,Codes!$A$53:$B$57,2,FALSE()),"Invalid ("&amp;Data!O721&amp;")"))</f>
        <v>Disease (1)</v>
      </c>
      <c r="P721" s="22" t="str">
        <f aca="false">IF(Data!P721="","",IFERROR(VLOOKUP(Data!P721,Codes!$A$61:$B$64,2,FALSE()),"Invalid ("&amp;Data!P721&amp;")"))</f>
        <v>University Hospitals, Zurich &amp; Basel</v>
      </c>
    </row>
    <row r="722" customFormat="false" ht="15" hidden="false" customHeight="false" outlineLevel="0" collapsed="false">
      <c r="A722" s="19" t="n">
        <f aca="false">Data!A722</f>
        <v>721</v>
      </c>
      <c r="B722" s="20" t="n">
        <f aca="false">IF(Data!B722="","",Data!B722)</f>
        <v>63</v>
      </c>
      <c r="C722" s="28" t="str">
        <f aca="false">IF(Data!C722="","",IFERROR(VLOOKUP(Data!C722,Codes!$A$6:$B$7,2,FALSE()),"Invalid ("&amp;Data!C722&amp;")"))</f>
        <v>Male</v>
      </c>
      <c r="D722" s="28" t="str">
        <f aca="false">IF(Data!D722="","",IFERROR(VLOOKUP(Data!D722,Codes!$A$11:$B$14,2,FALSE()),"Invalid ("&amp;Data!D722&amp;")"))</f>
        <v>Asymptomatic</v>
      </c>
      <c r="E722" s="20" t="n">
        <f aca="false">IF(Data!E722="","",Data!E722)</f>
        <v>140</v>
      </c>
      <c r="F722" s="20" t="n">
        <f aca="false">IF(Data!F722="","",Data!F722)</f>
        <v>260</v>
      </c>
      <c r="G722" s="28" t="str">
        <f aca="false">IF(Data!G722="","",IFERROR(VLOOKUP(Data!G722,Codes!$A$18:$B$19,2,FALSE()),"Invalid ("&amp;Data!G722&amp;")"))</f>
        <v>No</v>
      </c>
      <c r="H722" s="28" t="str">
        <f aca="false">IF(Data!H722="","",IFERROR(VLOOKUP(Data!H722,Codes!$A$23:$B$25,2,FALSE()),"Invalid ("&amp;Data!H722&amp;")"))</f>
        <v>ST-T wave abnormality</v>
      </c>
      <c r="I722" s="20" t="n">
        <f aca="false">IF(Data!I722="","",Data!I722)</f>
        <v>112</v>
      </c>
      <c r="J722" s="28" t="str">
        <f aca="false">IF(Data!J722="","",IFERROR(VLOOKUP(Data!J722,Codes!$A$29:$B$30,2,FALSE()),"Invalid ("&amp;Data!J722&amp;")"))</f>
        <v>Yes</v>
      </c>
      <c r="K722" s="21" t="n">
        <f aca="false">IF(Data!K722="","",Data!K722)</f>
        <v>3</v>
      </c>
      <c r="L722" s="28" t="str">
        <f aca="false">IF(Data!L722="","",IFERROR(VLOOKUP(Data!L722,Codes!$A$34:$B$36,2,FALSE()),"Invalid ("&amp;Data!L722&amp;")"))</f>
        <v>Flat</v>
      </c>
      <c r="M722" s="20" t="str">
        <f aca="false">IF(Data!M722="","",Data!M722)</f>
        <v/>
      </c>
      <c r="N722" s="28" t="str">
        <f aca="false">IF(Data!N722="","",IFERROR(VLOOKUP(Data!N722,Codes!$A$47:$B$49,2,FALSE()),"Invalid ("&amp;Data!N722&amp;")"))</f>
        <v/>
      </c>
      <c r="O722" s="28" t="str">
        <f aca="false">IF(Data!O722="","",IFERROR(VLOOKUP(Data!O722,Codes!$A$53:$B$57,2,FALSE()),"Invalid ("&amp;Data!O722&amp;")"))</f>
        <v>Disease (2)</v>
      </c>
      <c r="P722" s="22" t="str">
        <f aca="false">IF(Data!P722="","",IFERROR(VLOOKUP(Data!P722,Codes!$A$61:$B$64,2,FALSE()),"Invalid ("&amp;Data!P722&amp;")"))</f>
        <v>VA Medical Center, Long Beach</v>
      </c>
    </row>
    <row r="723" customFormat="false" ht="15" hidden="false" customHeight="false" outlineLevel="0" collapsed="false">
      <c r="A723" s="19" t="n">
        <f aca="false">Data!A723</f>
        <v>722</v>
      </c>
      <c r="B723" s="20" t="n">
        <f aca="false">IF(Data!B723="","",Data!B723)</f>
        <v>44</v>
      </c>
      <c r="C723" s="28" t="str">
        <f aca="false">IF(Data!C723="","",IFERROR(VLOOKUP(Data!C723,Codes!$A$6:$B$7,2,FALSE()),"Invalid ("&amp;Data!C723&amp;")"))</f>
        <v>Male</v>
      </c>
      <c r="D723" s="28" t="str">
        <f aca="false">IF(Data!D723="","",IFERROR(VLOOKUP(Data!D723,Codes!$A$11:$B$14,2,FALSE()),"Invalid ("&amp;Data!D723&amp;")"))</f>
        <v>Asymptomatic</v>
      </c>
      <c r="E723" s="20" t="n">
        <f aca="false">IF(Data!E723="","",Data!E723)</f>
        <v>130</v>
      </c>
      <c r="F723" s="20" t="n">
        <f aca="false">IF(Data!F723="","",Data!F723)</f>
        <v>209</v>
      </c>
      <c r="G723" s="28" t="str">
        <f aca="false">IF(Data!G723="","",IFERROR(VLOOKUP(Data!G723,Codes!$A$18:$B$19,2,FALSE()),"Invalid ("&amp;Data!G723&amp;")"))</f>
        <v>No</v>
      </c>
      <c r="H723" s="28" t="str">
        <f aca="false">IF(Data!H723="","",IFERROR(VLOOKUP(Data!H723,Codes!$A$23:$B$25,2,FALSE()),"Invalid ("&amp;Data!H723&amp;")"))</f>
        <v>ST-T wave abnormality</v>
      </c>
      <c r="I723" s="20" t="n">
        <f aca="false">IF(Data!I723="","",Data!I723)</f>
        <v>127</v>
      </c>
      <c r="J723" s="28" t="str">
        <f aca="false">IF(Data!J723="","",IFERROR(VLOOKUP(Data!J723,Codes!$A$29:$B$30,2,FALSE()),"Invalid ("&amp;Data!J723&amp;")"))</f>
        <v>No</v>
      </c>
      <c r="K723" s="21" t="n">
        <f aca="false">IF(Data!K723="","",Data!K723)</f>
        <v>0</v>
      </c>
      <c r="L723" s="28" t="str">
        <f aca="false">IF(Data!L723="","",IFERROR(VLOOKUP(Data!L723,Codes!$A$34:$B$36,2,FALSE()),"Invalid ("&amp;Data!L723&amp;")"))</f>
        <v/>
      </c>
      <c r="M723" s="20" t="str">
        <f aca="false">IF(Data!M723="","",Data!M723)</f>
        <v/>
      </c>
      <c r="N723" s="28" t="str">
        <f aca="false">IF(Data!N723="","",IFERROR(VLOOKUP(Data!N723,Codes!$A$47:$B$49,2,FALSE()),"Invalid ("&amp;Data!N723&amp;")"))</f>
        <v/>
      </c>
      <c r="O723" s="28" t="str">
        <f aca="false">IF(Data!O723="","",IFERROR(VLOOKUP(Data!O723,Codes!$A$53:$B$57,2,FALSE()),"Invalid ("&amp;Data!O723&amp;")"))</f>
        <v>No disease</v>
      </c>
      <c r="P723" s="22" t="str">
        <f aca="false">IF(Data!P723="","",IFERROR(VLOOKUP(Data!P723,Codes!$A$61:$B$64,2,FALSE()),"Invalid ("&amp;Data!P723&amp;")"))</f>
        <v>VA Medical Center, Long Beach</v>
      </c>
    </row>
    <row r="724" customFormat="false" ht="15" hidden="false" customHeight="false" outlineLevel="0" collapsed="false">
      <c r="A724" s="19" t="n">
        <f aca="false">Data!A724</f>
        <v>723</v>
      </c>
      <c r="B724" s="20" t="n">
        <f aca="false">IF(Data!B724="","",Data!B724)</f>
        <v>60</v>
      </c>
      <c r="C724" s="28" t="str">
        <f aca="false">IF(Data!C724="","",IFERROR(VLOOKUP(Data!C724,Codes!$A$6:$B$7,2,FALSE()),"Invalid ("&amp;Data!C724&amp;")"))</f>
        <v>Male</v>
      </c>
      <c r="D724" s="28" t="str">
        <f aca="false">IF(Data!D724="","",IFERROR(VLOOKUP(Data!D724,Codes!$A$11:$B$14,2,FALSE()),"Invalid ("&amp;Data!D724&amp;")"))</f>
        <v>Asymptomatic</v>
      </c>
      <c r="E724" s="20" t="n">
        <f aca="false">IF(Data!E724="","",Data!E724)</f>
        <v>132</v>
      </c>
      <c r="F724" s="20" t="n">
        <f aca="false">IF(Data!F724="","",Data!F724)</f>
        <v>218</v>
      </c>
      <c r="G724" s="28" t="str">
        <f aca="false">IF(Data!G724="","",IFERROR(VLOOKUP(Data!G724,Codes!$A$18:$B$19,2,FALSE()),"Invalid ("&amp;Data!G724&amp;")"))</f>
        <v>No</v>
      </c>
      <c r="H724" s="28" t="str">
        <f aca="false">IF(Data!H724="","",IFERROR(VLOOKUP(Data!H724,Codes!$A$23:$B$25,2,FALSE()),"Invalid ("&amp;Data!H724&amp;")"))</f>
        <v>ST-T wave abnormality</v>
      </c>
      <c r="I724" s="20" t="n">
        <f aca="false">IF(Data!I724="","",Data!I724)</f>
        <v>140</v>
      </c>
      <c r="J724" s="28" t="str">
        <f aca="false">IF(Data!J724="","",IFERROR(VLOOKUP(Data!J724,Codes!$A$29:$B$30,2,FALSE()),"Invalid ("&amp;Data!J724&amp;")"))</f>
        <v>Yes</v>
      </c>
      <c r="K724" s="21" t="n">
        <f aca="false">IF(Data!K724="","",Data!K724)</f>
        <v>1.5</v>
      </c>
      <c r="L724" s="28" t="str">
        <f aca="false">IF(Data!L724="","",IFERROR(VLOOKUP(Data!L724,Codes!$A$34:$B$36,2,FALSE()),"Invalid ("&amp;Data!L724&amp;")"))</f>
        <v>Downsloping</v>
      </c>
      <c r="M724" s="20" t="str">
        <f aca="false">IF(Data!M724="","",Data!M724)</f>
        <v/>
      </c>
      <c r="N724" s="28" t="str">
        <f aca="false">IF(Data!N724="","",IFERROR(VLOOKUP(Data!N724,Codes!$A$47:$B$49,2,FALSE()),"Invalid ("&amp;Data!N724&amp;")"))</f>
        <v/>
      </c>
      <c r="O724" s="28" t="str">
        <f aca="false">IF(Data!O724="","",IFERROR(VLOOKUP(Data!O724,Codes!$A$53:$B$57,2,FALSE()),"Invalid ("&amp;Data!O724&amp;")"))</f>
        <v>Disease (2)</v>
      </c>
      <c r="P724" s="22" t="str">
        <f aca="false">IF(Data!P724="","",IFERROR(VLOOKUP(Data!P724,Codes!$A$61:$B$64,2,FALSE()),"Invalid ("&amp;Data!P724&amp;")"))</f>
        <v>VA Medical Center, Long Beach</v>
      </c>
    </row>
    <row r="725" customFormat="false" ht="15" hidden="false" customHeight="false" outlineLevel="0" collapsed="false">
      <c r="A725" s="19" t="n">
        <f aca="false">Data!A725</f>
        <v>724</v>
      </c>
      <c r="B725" s="20" t="n">
        <f aca="false">IF(Data!B725="","",Data!B725)</f>
        <v>55</v>
      </c>
      <c r="C725" s="28" t="str">
        <f aca="false">IF(Data!C725="","",IFERROR(VLOOKUP(Data!C725,Codes!$A$6:$B$7,2,FALSE()),"Invalid ("&amp;Data!C725&amp;")"))</f>
        <v>Male</v>
      </c>
      <c r="D725" s="28" t="str">
        <f aca="false">IF(Data!D725="","",IFERROR(VLOOKUP(Data!D725,Codes!$A$11:$B$14,2,FALSE()),"Invalid ("&amp;Data!D725&amp;")"))</f>
        <v>Asymptomatic</v>
      </c>
      <c r="E725" s="20" t="n">
        <f aca="false">IF(Data!E725="","",Data!E725)</f>
        <v>142</v>
      </c>
      <c r="F725" s="20" t="n">
        <f aca="false">IF(Data!F725="","",Data!F725)</f>
        <v>228</v>
      </c>
      <c r="G725" s="28" t="str">
        <f aca="false">IF(Data!G725="","",IFERROR(VLOOKUP(Data!G725,Codes!$A$18:$B$19,2,FALSE()),"Invalid ("&amp;Data!G725&amp;")"))</f>
        <v>No</v>
      </c>
      <c r="H725" s="28" t="str">
        <f aca="false">IF(Data!H725="","",IFERROR(VLOOKUP(Data!H725,Codes!$A$23:$B$25,2,FALSE()),"Invalid ("&amp;Data!H725&amp;")"))</f>
        <v>ST-T wave abnormality</v>
      </c>
      <c r="I725" s="20" t="n">
        <f aca="false">IF(Data!I725="","",Data!I725)</f>
        <v>149</v>
      </c>
      <c r="J725" s="28" t="str">
        <f aca="false">IF(Data!J725="","",IFERROR(VLOOKUP(Data!J725,Codes!$A$29:$B$30,2,FALSE()),"Invalid ("&amp;Data!J725&amp;")"))</f>
        <v>Yes</v>
      </c>
      <c r="K725" s="21" t="n">
        <f aca="false">IF(Data!K725="","",Data!K725)</f>
        <v>2.5</v>
      </c>
      <c r="L725" s="28" t="str">
        <f aca="false">IF(Data!L725="","",IFERROR(VLOOKUP(Data!L725,Codes!$A$34:$B$36,2,FALSE()),"Invalid ("&amp;Data!L725&amp;")"))</f>
        <v>Upsloping</v>
      </c>
      <c r="M725" s="20" t="str">
        <f aca="false">IF(Data!M725="","",Data!M725)</f>
        <v/>
      </c>
      <c r="N725" s="28" t="str">
        <f aca="false">IF(Data!N725="","",IFERROR(VLOOKUP(Data!N725,Codes!$A$47:$B$49,2,FALSE()),"Invalid ("&amp;Data!N725&amp;")"))</f>
        <v/>
      </c>
      <c r="O725" s="28" t="str">
        <f aca="false">IF(Data!O725="","",IFERROR(VLOOKUP(Data!O725,Codes!$A$53:$B$57,2,FALSE()),"Invalid ("&amp;Data!O725&amp;")"))</f>
        <v>Disease (1)</v>
      </c>
      <c r="P725" s="22" t="str">
        <f aca="false">IF(Data!P725="","",IFERROR(VLOOKUP(Data!P725,Codes!$A$61:$B$64,2,FALSE()),"Invalid ("&amp;Data!P725&amp;")"))</f>
        <v>VA Medical Center, Long Beach</v>
      </c>
    </row>
    <row r="726" customFormat="false" ht="15" hidden="false" customHeight="false" outlineLevel="0" collapsed="false">
      <c r="A726" s="19" t="n">
        <f aca="false">Data!A726</f>
        <v>725</v>
      </c>
      <c r="B726" s="20" t="n">
        <f aca="false">IF(Data!B726="","",Data!B726)</f>
        <v>66</v>
      </c>
      <c r="C726" s="28" t="str">
        <f aca="false">IF(Data!C726="","",IFERROR(VLOOKUP(Data!C726,Codes!$A$6:$B$7,2,FALSE()),"Invalid ("&amp;Data!C726&amp;")"))</f>
        <v>Male</v>
      </c>
      <c r="D726" s="28" t="str">
        <f aca="false">IF(Data!D726="","",IFERROR(VLOOKUP(Data!D726,Codes!$A$11:$B$14,2,FALSE()),"Invalid ("&amp;Data!D726&amp;")"))</f>
        <v>Non-anginal pain</v>
      </c>
      <c r="E726" s="20" t="n">
        <f aca="false">IF(Data!E726="","",Data!E726)</f>
        <v>110</v>
      </c>
      <c r="F726" s="20" t="n">
        <f aca="false">IF(Data!F726="","",Data!F726)</f>
        <v>213</v>
      </c>
      <c r="G726" s="28" t="str">
        <f aca="false">IF(Data!G726="","",IFERROR(VLOOKUP(Data!G726,Codes!$A$18:$B$19,2,FALSE()),"Invalid ("&amp;Data!G726&amp;")"))</f>
        <v>Yes</v>
      </c>
      <c r="H726" s="28" t="str">
        <f aca="false">IF(Data!H726="","",IFERROR(VLOOKUP(Data!H726,Codes!$A$23:$B$25,2,FALSE()),"Invalid ("&amp;Data!H726&amp;")"))</f>
        <v>Left ventricular hypertrophy</v>
      </c>
      <c r="I726" s="20" t="n">
        <f aca="false">IF(Data!I726="","",Data!I726)</f>
        <v>99</v>
      </c>
      <c r="J726" s="28" t="str">
        <f aca="false">IF(Data!J726="","",IFERROR(VLOOKUP(Data!J726,Codes!$A$29:$B$30,2,FALSE()),"Invalid ("&amp;Data!J726&amp;")"))</f>
        <v>Yes</v>
      </c>
      <c r="K726" s="21" t="n">
        <f aca="false">IF(Data!K726="","",Data!K726)</f>
        <v>1.3</v>
      </c>
      <c r="L726" s="28" t="str">
        <f aca="false">IF(Data!L726="","",IFERROR(VLOOKUP(Data!L726,Codes!$A$34:$B$36,2,FALSE()),"Invalid ("&amp;Data!L726&amp;")"))</f>
        <v>Flat</v>
      </c>
      <c r="M726" s="20" t="str">
        <f aca="false">IF(Data!M726="","",Data!M726)</f>
        <v/>
      </c>
      <c r="N726" s="28" t="str">
        <f aca="false">IF(Data!N726="","",IFERROR(VLOOKUP(Data!N726,Codes!$A$47:$B$49,2,FALSE()),"Invalid ("&amp;Data!N726&amp;")"))</f>
        <v/>
      </c>
      <c r="O726" s="28" t="str">
        <f aca="false">IF(Data!O726="","",IFERROR(VLOOKUP(Data!O726,Codes!$A$53:$B$57,2,FALSE()),"Invalid ("&amp;Data!O726&amp;")"))</f>
        <v>No disease</v>
      </c>
      <c r="P726" s="22" t="str">
        <f aca="false">IF(Data!P726="","",IFERROR(VLOOKUP(Data!P726,Codes!$A$61:$B$64,2,FALSE()),"Invalid ("&amp;Data!P726&amp;")"))</f>
        <v>VA Medical Center, Long Beach</v>
      </c>
    </row>
    <row r="727" customFormat="false" ht="15" hidden="false" customHeight="false" outlineLevel="0" collapsed="false">
      <c r="A727" s="19" t="n">
        <f aca="false">Data!A727</f>
        <v>726</v>
      </c>
      <c r="B727" s="20" t="n">
        <f aca="false">IF(Data!B727="","",Data!B727)</f>
        <v>66</v>
      </c>
      <c r="C727" s="28" t="str">
        <f aca="false">IF(Data!C727="","",IFERROR(VLOOKUP(Data!C727,Codes!$A$6:$B$7,2,FALSE()),"Invalid ("&amp;Data!C727&amp;")"))</f>
        <v>Male</v>
      </c>
      <c r="D727" s="28" t="str">
        <f aca="false">IF(Data!D727="","",IFERROR(VLOOKUP(Data!D727,Codes!$A$11:$B$14,2,FALSE()),"Invalid ("&amp;Data!D727&amp;")"))</f>
        <v>Non-anginal pain</v>
      </c>
      <c r="E727" s="20" t="n">
        <f aca="false">IF(Data!E727="","",Data!E727)</f>
        <v>120</v>
      </c>
      <c r="F727" s="20" t="n">
        <f aca="false">IF(Data!F727="","",Data!F727)</f>
        <v>0</v>
      </c>
      <c r="G727" s="28" t="str">
        <f aca="false">IF(Data!G727="","",IFERROR(VLOOKUP(Data!G727,Codes!$A$18:$B$19,2,FALSE()),"Invalid ("&amp;Data!G727&amp;")"))</f>
        <v>No</v>
      </c>
      <c r="H727" s="28" t="str">
        <f aca="false">IF(Data!H727="","",IFERROR(VLOOKUP(Data!H727,Codes!$A$23:$B$25,2,FALSE()),"Invalid ("&amp;Data!H727&amp;")"))</f>
        <v>ST-T wave abnormality</v>
      </c>
      <c r="I727" s="20" t="n">
        <f aca="false">IF(Data!I727="","",Data!I727)</f>
        <v>120</v>
      </c>
      <c r="J727" s="28" t="str">
        <f aca="false">IF(Data!J727="","",IFERROR(VLOOKUP(Data!J727,Codes!$A$29:$B$30,2,FALSE()),"Invalid ("&amp;Data!J727&amp;")"))</f>
        <v>No</v>
      </c>
      <c r="K727" s="21" t="n">
        <f aca="false">IF(Data!K727="","",Data!K727)</f>
        <v>-0.5</v>
      </c>
      <c r="L727" s="28" t="str">
        <f aca="false">IF(Data!L727="","",IFERROR(VLOOKUP(Data!L727,Codes!$A$34:$B$36,2,FALSE()),"Invalid ("&amp;Data!L727&amp;")"))</f>
        <v>Upsloping</v>
      </c>
      <c r="M727" s="20" t="str">
        <f aca="false">IF(Data!M727="","",Data!M727)</f>
        <v/>
      </c>
      <c r="N727" s="28" t="str">
        <f aca="false">IF(Data!N727="","",IFERROR(VLOOKUP(Data!N727,Codes!$A$47:$B$49,2,FALSE()),"Invalid ("&amp;Data!N727&amp;")"))</f>
        <v/>
      </c>
      <c r="O727" s="28" t="str">
        <f aca="false">IF(Data!O727="","",IFERROR(VLOOKUP(Data!O727,Codes!$A$53:$B$57,2,FALSE()),"Invalid ("&amp;Data!O727&amp;")"))</f>
        <v>No disease</v>
      </c>
      <c r="P727" s="22" t="str">
        <f aca="false">IF(Data!P727="","",IFERROR(VLOOKUP(Data!P727,Codes!$A$61:$B$64,2,FALSE()),"Invalid ("&amp;Data!P727&amp;")"))</f>
        <v>VA Medical Center, Long Beach</v>
      </c>
    </row>
    <row r="728" customFormat="false" ht="15" hidden="false" customHeight="false" outlineLevel="0" collapsed="false">
      <c r="A728" s="19" t="n">
        <f aca="false">Data!A728</f>
        <v>727</v>
      </c>
      <c r="B728" s="20" t="n">
        <f aca="false">IF(Data!B728="","",Data!B728)</f>
        <v>65</v>
      </c>
      <c r="C728" s="28" t="str">
        <f aca="false">IF(Data!C728="","",IFERROR(VLOOKUP(Data!C728,Codes!$A$6:$B$7,2,FALSE()),"Invalid ("&amp;Data!C728&amp;")"))</f>
        <v>Male</v>
      </c>
      <c r="D728" s="28" t="str">
        <f aca="false">IF(Data!D728="","",IFERROR(VLOOKUP(Data!D728,Codes!$A$11:$B$14,2,FALSE()),"Invalid ("&amp;Data!D728&amp;")"))</f>
        <v>Asymptomatic</v>
      </c>
      <c r="E728" s="20" t="n">
        <f aca="false">IF(Data!E728="","",Data!E728)</f>
        <v>150</v>
      </c>
      <c r="F728" s="20" t="n">
        <f aca="false">IF(Data!F728="","",Data!F728)</f>
        <v>236</v>
      </c>
      <c r="G728" s="28" t="str">
        <f aca="false">IF(Data!G728="","",IFERROR(VLOOKUP(Data!G728,Codes!$A$18:$B$19,2,FALSE()),"Invalid ("&amp;Data!G728&amp;")"))</f>
        <v>Yes</v>
      </c>
      <c r="H728" s="28" t="str">
        <f aca="false">IF(Data!H728="","",IFERROR(VLOOKUP(Data!H728,Codes!$A$23:$B$25,2,FALSE()),"Invalid ("&amp;Data!H728&amp;")"))</f>
        <v>ST-T wave abnormality</v>
      </c>
      <c r="I728" s="20" t="n">
        <f aca="false">IF(Data!I728="","",Data!I728)</f>
        <v>105</v>
      </c>
      <c r="J728" s="28" t="str">
        <f aca="false">IF(Data!J728="","",IFERROR(VLOOKUP(Data!J728,Codes!$A$29:$B$30,2,FALSE()),"Invalid ("&amp;Data!J728&amp;")"))</f>
        <v>Yes</v>
      </c>
      <c r="K728" s="21" t="n">
        <f aca="false">IF(Data!K728="","",Data!K728)</f>
        <v>0</v>
      </c>
      <c r="L728" s="28" t="str">
        <f aca="false">IF(Data!L728="","",IFERROR(VLOOKUP(Data!L728,Codes!$A$34:$B$36,2,FALSE()),"Invalid ("&amp;Data!L728&amp;")"))</f>
        <v/>
      </c>
      <c r="M728" s="20" t="str">
        <f aca="false">IF(Data!M728="","",Data!M728)</f>
        <v/>
      </c>
      <c r="N728" s="28" t="str">
        <f aca="false">IF(Data!N728="","",IFERROR(VLOOKUP(Data!N728,Codes!$A$47:$B$49,2,FALSE()),"Invalid ("&amp;Data!N728&amp;")"))</f>
        <v/>
      </c>
      <c r="O728" s="28" t="str">
        <f aca="false">IF(Data!O728="","",IFERROR(VLOOKUP(Data!O728,Codes!$A$53:$B$57,2,FALSE()),"Invalid ("&amp;Data!O728&amp;")"))</f>
        <v>Disease (3)</v>
      </c>
      <c r="P728" s="22" t="str">
        <f aca="false">IF(Data!P728="","",IFERROR(VLOOKUP(Data!P728,Codes!$A$61:$B$64,2,FALSE()),"Invalid ("&amp;Data!P728&amp;")"))</f>
        <v>VA Medical Center, Long Beach</v>
      </c>
    </row>
    <row r="729" customFormat="false" ht="15" hidden="false" customHeight="false" outlineLevel="0" collapsed="false">
      <c r="A729" s="19" t="n">
        <f aca="false">Data!A729</f>
        <v>728</v>
      </c>
      <c r="B729" s="20" t="n">
        <f aca="false">IF(Data!B729="","",Data!B729)</f>
        <v>60</v>
      </c>
      <c r="C729" s="28" t="str">
        <f aca="false">IF(Data!C729="","",IFERROR(VLOOKUP(Data!C729,Codes!$A$6:$B$7,2,FALSE()),"Invalid ("&amp;Data!C729&amp;")"))</f>
        <v>Male</v>
      </c>
      <c r="D729" s="28" t="str">
        <f aca="false">IF(Data!D729="","",IFERROR(VLOOKUP(Data!D729,Codes!$A$11:$B$14,2,FALSE()),"Invalid ("&amp;Data!D729&amp;")"))</f>
        <v>Non-anginal pain</v>
      </c>
      <c r="E729" s="20" t="n">
        <f aca="false">IF(Data!E729="","",Data!E729)</f>
        <v>180</v>
      </c>
      <c r="F729" s="20" t="n">
        <f aca="false">IF(Data!F729="","",Data!F729)</f>
        <v>0</v>
      </c>
      <c r="G729" s="28" t="str">
        <f aca="false">IF(Data!G729="","",IFERROR(VLOOKUP(Data!G729,Codes!$A$18:$B$19,2,FALSE()),"Invalid ("&amp;Data!G729&amp;")"))</f>
        <v>No</v>
      </c>
      <c r="H729" s="28" t="str">
        <f aca="false">IF(Data!H729="","",IFERROR(VLOOKUP(Data!H729,Codes!$A$23:$B$25,2,FALSE()),"Invalid ("&amp;Data!H729&amp;")"))</f>
        <v>ST-T wave abnormality</v>
      </c>
      <c r="I729" s="20" t="n">
        <f aca="false">IF(Data!I729="","",Data!I729)</f>
        <v>140</v>
      </c>
      <c r="J729" s="28" t="str">
        <f aca="false">IF(Data!J729="","",IFERROR(VLOOKUP(Data!J729,Codes!$A$29:$B$30,2,FALSE()),"Invalid ("&amp;Data!J729&amp;")"))</f>
        <v>Yes</v>
      </c>
      <c r="K729" s="21" t="n">
        <f aca="false">IF(Data!K729="","",Data!K729)</f>
        <v>1.5</v>
      </c>
      <c r="L729" s="28" t="str">
        <f aca="false">IF(Data!L729="","",IFERROR(VLOOKUP(Data!L729,Codes!$A$34:$B$36,2,FALSE()),"Invalid ("&amp;Data!L729&amp;")"))</f>
        <v>Flat</v>
      </c>
      <c r="M729" s="20" t="str">
        <f aca="false">IF(Data!M729="","",Data!M729)</f>
        <v/>
      </c>
      <c r="N729" s="28" t="str">
        <f aca="false">IF(Data!N729="","",IFERROR(VLOOKUP(Data!N729,Codes!$A$47:$B$49,2,FALSE()),"Invalid ("&amp;Data!N729&amp;")"))</f>
        <v/>
      </c>
      <c r="O729" s="28" t="str">
        <f aca="false">IF(Data!O729="","",IFERROR(VLOOKUP(Data!O729,Codes!$A$53:$B$57,2,FALSE()),"Invalid ("&amp;Data!O729&amp;")"))</f>
        <v>No disease</v>
      </c>
      <c r="P729" s="22" t="str">
        <f aca="false">IF(Data!P729="","",IFERROR(VLOOKUP(Data!P729,Codes!$A$61:$B$64,2,FALSE()),"Invalid ("&amp;Data!P729&amp;")"))</f>
        <v>VA Medical Center, Long Beach</v>
      </c>
    </row>
    <row r="730" customFormat="false" ht="15" hidden="false" customHeight="false" outlineLevel="0" collapsed="false">
      <c r="A730" s="19" t="n">
        <f aca="false">Data!A730</f>
        <v>729</v>
      </c>
      <c r="B730" s="20" t="n">
        <f aca="false">IF(Data!B730="","",Data!B730)</f>
        <v>60</v>
      </c>
      <c r="C730" s="28" t="str">
        <f aca="false">IF(Data!C730="","",IFERROR(VLOOKUP(Data!C730,Codes!$A$6:$B$7,2,FALSE()),"Invalid ("&amp;Data!C730&amp;")"))</f>
        <v>Male</v>
      </c>
      <c r="D730" s="28" t="str">
        <f aca="false">IF(Data!D730="","",IFERROR(VLOOKUP(Data!D730,Codes!$A$11:$B$14,2,FALSE()),"Invalid ("&amp;Data!D730&amp;")"))</f>
        <v>Non-anginal pain</v>
      </c>
      <c r="E730" s="20" t="n">
        <f aca="false">IF(Data!E730="","",Data!E730)</f>
        <v>120</v>
      </c>
      <c r="F730" s="20" t="n">
        <f aca="false">IF(Data!F730="","",Data!F730)</f>
        <v>0</v>
      </c>
      <c r="G730" s="28" t="str">
        <f aca="false">IF(Data!G730="","",IFERROR(VLOOKUP(Data!G730,Codes!$A$18:$B$19,2,FALSE()),"Invalid ("&amp;Data!G730&amp;")"))</f>
        <v/>
      </c>
      <c r="H730" s="28" t="str">
        <f aca="false">IF(Data!H730="","",IFERROR(VLOOKUP(Data!H730,Codes!$A$23:$B$25,2,FALSE()),"Invalid ("&amp;Data!H730&amp;")"))</f>
        <v>Normal</v>
      </c>
      <c r="I730" s="20" t="n">
        <f aca="false">IF(Data!I730="","",Data!I730)</f>
        <v>141</v>
      </c>
      <c r="J730" s="28" t="str">
        <f aca="false">IF(Data!J730="","",IFERROR(VLOOKUP(Data!J730,Codes!$A$29:$B$30,2,FALSE()),"Invalid ("&amp;Data!J730&amp;")"))</f>
        <v>Yes</v>
      </c>
      <c r="K730" s="21" t="n">
        <f aca="false">IF(Data!K730="","",Data!K730)</f>
        <v>2</v>
      </c>
      <c r="L730" s="28" t="str">
        <f aca="false">IF(Data!L730="","",IFERROR(VLOOKUP(Data!L730,Codes!$A$34:$B$36,2,FALSE()),"Invalid ("&amp;Data!L730&amp;")"))</f>
        <v>Upsloping</v>
      </c>
      <c r="M730" s="20" t="str">
        <f aca="false">IF(Data!M730="","",Data!M730)</f>
        <v/>
      </c>
      <c r="N730" s="28" t="str">
        <f aca="false">IF(Data!N730="","",IFERROR(VLOOKUP(Data!N730,Codes!$A$47:$B$49,2,FALSE()),"Invalid ("&amp;Data!N730&amp;")"))</f>
        <v/>
      </c>
      <c r="O730" s="28" t="str">
        <f aca="false">IF(Data!O730="","",IFERROR(VLOOKUP(Data!O730,Codes!$A$53:$B$57,2,FALSE()),"Invalid ("&amp;Data!O730&amp;")"))</f>
        <v>Disease (3)</v>
      </c>
      <c r="P730" s="22" t="str">
        <f aca="false">IF(Data!P730="","",IFERROR(VLOOKUP(Data!P730,Codes!$A$61:$B$64,2,FALSE()),"Invalid ("&amp;Data!P730&amp;")"))</f>
        <v>VA Medical Center, Long Beach</v>
      </c>
    </row>
    <row r="731" customFormat="false" ht="15" hidden="false" customHeight="false" outlineLevel="0" collapsed="false">
      <c r="A731" s="19" t="n">
        <f aca="false">Data!A731</f>
        <v>730</v>
      </c>
      <c r="B731" s="20" t="n">
        <f aca="false">IF(Data!B731="","",Data!B731)</f>
        <v>60</v>
      </c>
      <c r="C731" s="28" t="str">
        <f aca="false">IF(Data!C731="","",IFERROR(VLOOKUP(Data!C731,Codes!$A$6:$B$7,2,FALSE()),"Invalid ("&amp;Data!C731&amp;")"))</f>
        <v>Male</v>
      </c>
      <c r="D731" s="28" t="str">
        <f aca="false">IF(Data!D731="","",IFERROR(VLOOKUP(Data!D731,Codes!$A$11:$B$14,2,FALSE()),"Invalid ("&amp;Data!D731&amp;")"))</f>
        <v>Atypical angina</v>
      </c>
      <c r="E731" s="20" t="n">
        <f aca="false">IF(Data!E731="","",Data!E731)</f>
        <v>160</v>
      </c>
      <c r="F731" s="20" t="n">
        <f aca="false">IF(Data!F731="","",Data!F731)</f>
        <v>267</v>
      </c>
      <c r="G731" s="28" t="str">
        <f aca="false">IF(Data!G731="","",IFERROR(VLOOKUP(Data!G731,Codes!$A$18:$B$19,2,FALSE()),"Invalid ("&amp;Data!G731&amp;")"))</f>
        <v>Yes</v>
      </c>
      <c r="H731" s="28" t="str">
        <f aca="false">IF(Data!H731="","",IFERROR(VLOOKUP(Data!H731,Codes!$A$23:$B$25,2,FALSE()),"Invalid ("&amp;Data!H731&amp;")"))</f>
        <v>ST-T wave abnormality</v>
      </c>
      <c r="I731" s="20" t="n">
        <f aca="false">IF(Data!I731="","",Data!I731)</f>
        <v>157</v>
      </c>
      <c r="J731" s="28" t="str">
        <f aca="false">IF(Data!J731="","",IFERROR(VLOOKUP(Data!J731,Codes!$A$29:$B$30,2,FALSE()),"Invalid ("&amp;Data!J731&amp;")"))</f>
        <v>No</v>
      </c>
      <c r="K731" s="21" t="n">
        <f aca="false">IF(Data!K731="","",Data!K731)</f>
        <v>0.5</v>
      </c>
      <c r="L731" s="28" t="str">
        <f aca="false">IF(Data!L731="","",IFERROR(VLOOKUP(Data!L731,Codes!$A$34:$B$36,2,FALSE()),"Invalid ("&amp;Data!L731&amp;")"))</f>
        <v>Flat</v>
      </c>
      <c r="M731" s="20" t="str">
        <f aca="false">IF(Data!M731="","",Data!M731)</f>
        <v/>
      </c>
      <c r="N731" s="28" t="str">
        <f aca="false">IF(Data!N731="","",IFERROR(VLOOKUP(Data!N731,Codes!$A$47:$B$49,2,FALSE()),"Invalid ("&amp;Data!N731&amp;")"))</f>
        <v/>
      </c>
      <c r="O731" s="28" t="str">
        <f aca="false">IF(Data!O731="","",IFERROR(VLOOKUP(Data!O731,Codes!$A$53:$B$57,2,FALSE()),"Invalid ("&amp;Data!O731&amp;")"))</f>
        <v>Disease (1)</v>
      </c>
      <c r="P731" s="22" t="str">
        <f aca="false">IF(Data!P731="","",IFERROR(VLOOKUP(Data!P731,Codes!$A$61:$B$64,2,FALSE()),"Invalid ("&amp;Data!P731&amp;")"))</f>
        <v>VA Medical Center, Long Beach</v>
      </c>
    </row>
    <row r="732" customFormat="false" ht="15" hidden="false" customHeight="false" outlineLevel="0" collapsed="false">
      <c r="A732" s="19" t="n">
        <f aca="false">Data!A732</f>
        <v>731</v>
      </c>
      <c r="B732" s="20" t="n">
        <f aca="false">IF(Data!B732="","",Data!B732)</f>
        <v>56</v>
      </c>
      <c r="C732" s="28" t="str">
        <f aca="false">IF(Data!C732="","",IFERROR(VLOOKUP(Data!C732,Codes!$A$6:$B$7,2,FALSE()),"Invalid ("&amp;Data!C732&amp;")"))</f>
        <v>Male</v>
      </c>
      <c r="D732" s="28" t="str">
        <f aca="false">IF(Data!D732="","",IFERROR(VLOOKUP(Data!D732,Codes!$A$11:$B$14,2,FALSE()),"Invalid ("&amp;Data!D732&amp;")"))</f>
        <v>Atypical angina</v>
      </c>
      <c r="E732" s="20" t="n">
        <f aca="false">IF(Data!E732="","",Data!E732)</f>
        <v>126</v>
      </c>
      <c r="F732" s="20" t="n">
        <f aca="false">IF(Data!F732="","",Data!F732)</f>
        <v>166</v>
      </c>
      <c r="G732" s="28" t="str">
        <f aca="false">IF(Data!G732="","",IFERROR(VLOOKUP(Data!G732,Codes!$A$18:$B$19,2,FALSE()),"Invalid ("&amp;Data!G732&amp;")"))</f>
        <v>No</v>
      </c>
      <c r="H732" s="28" t="str">
        <f aca="false">IF(Data!H732="","",IFERROR(VLOOKUP(Data!H732,Codes!$A$23:$B$25,2,FALSE()),"Invalid ("&amp;Data!H732&amp;")"))</f>
        <v>ST-T wave abnormality</v>
      </c>
      <c r="I732" s="20" t="n">
        <f aca="false">IF(Data!I732="","",Data!I732)</f>
        <v>140</v>
      </c>
      <c r="J732" s="28" t="str">
        <f aca="false">IF(Data!J732="","",IFERROR(VLOOKUP(Data!J732,Codes!$A$29:$B$30,2,FALSE()),"Invalid ("&amp;Data!J732&amp;")"))</f>
        <v>No</v>
      </c>
      <c r="K732" s="21" t="n">
        <f aca="false">IF(Data!K732="","",Data!K732)</f>
        <v>0</v>
      </c>
      <c r="L732" s="28" t="str">
        <f aca="false">IF(Data!L732="","",IFERROR(VLOOKUP(Data!L732,Codes!$A$34:$B$36,2,FALSE()),"Invalid ("&amp;Data!L732&amp;")"))</f>
        <v/>
      </c>
      <c r="M732" s="20" t="str">
        <f aca="false">IF(Data!M732="","",Data!M732)</f>
        <v/>
      </c>
      <c r="N732" s="28" t="str">
        <f aca="false">IF(Data!N732="","",IFERROR(VLOOKUP(Data!N732,Codes!$A$47:$B$49,2,FALSE()),"Invalid ("&amp;Data!N732&amp;")"))</f>
        <v/>
      </c>
      <c r="O732" s="28" t="str">
        <f aca="false">IF(Data!O732="","",IFERROR(VLOOKUP(Data!O732,Codes!$A$53:$B$57,2,FALSE()),"Invalid ("&amp;Data!O732&amp;")"))</f>
        <v>No disease</v>
      </c>
      <c r="P732" s="22" t="str">
        <f aca="false">IF(Data!P732="","",IFERROR(VLOOKUP(Data!P732,Codes!$A$61:$B$64,2,FALSE()),"Invalid ("&amp;Data!P732&amp;")"))</f>
        <v>VA Medical Center, Long Beach</v>
      </c>
    </row>
    <row r="733" customFormat="false" ht="15" hidden="false" customHeight="false" outlineLevel="0" collapsed="false">
      <c r="A733" s="19" t="n">
        <f aca="false">Data!A733</f>
        <v>732</v>
      </c>
      <c r="B733" s="20" t="n">
        <f aca="false">IF(Data!B733="","",Data!B733)</f>
        <v>59</v>
      </c>
      <c r="C733" s="28" t="str">
        <f aca="false">IF(Data!C733="","",IFERROR(VLOOKUP(Data!C733,Codes!$A$6:$B$7,2,FALSE()),"Invalid ("&amp;Data!C733&amp;")"))</f>
        <v>Male</v>
      </c>
      <c r="D733" s="28" t="str">
        <f aca="false">IF(Data!D733="","",IFERROR(VLOOKUP(Data!D733,Codes!$A$11:$B$14,2,FALSE()),"Invalid ("&amp;Data!D733&amp;")"))</f>
        <v>Asymptomatic</v>
      </c>
      <c r="E733" s="20" t="n">
        <f aca="false">IF(Data!E733="","",Data!E733)</f>
        <v>140</v>
      </c>
      <c r="F733" s="20" t="n">
        <f aca="false">IF(Data!F733="","",Data!F733)</f>
        <v>0</v>
      </c>
      <c r="G733" s="28" t="str">
        <f aca="false">IF(Data!G733="","",IFERROR(VLOOKUP(Data!G733,Codes!$A$18:$B$19,2,FALSE()),"Invalid ("&amp;Data!G733&amp;")"))</f>
        <v>No</v>
      </c>
      <c r="H733" s="28" t="str">
        <f aca="false">IF(Data!H733="","",IFERROR(VLOOKUP(Data!H733,Codes!$A$23:$B$25,2,FALSE()),"Invalid ("&amp;Data!H733&amp;")"))</f>
        <v>ST-T wave abnormality</v>
      </c>
      <c r="I733" s="20" t="n">
        <f aca="false">IF(Data!I733="","",Data!I733)</f>
        <v>117</v>
      </c>
      <c r="J733" s="28" t="str">
        <f aca="false">IF(Data!J733="","",IFERROR(VLOOKUP(Data!J733,Codes!$A$29:$B$30,2,FALSE()),"Invalid ("&amp;Data!J733&amp;")"))</f>
        <v>Yes</v>
      </c>
      <c r="K733" s="21" t="n">
        <f aca="false">IF(Data!K733="","",Data!K733)</f>
        <v>1</v>
      </c>
      <c r="L733" s="28" t="str">
        <f aca="false">IF(Data!L733="","",IFERROR(VLOOKUP(Data!L733,Codes!$A$34:$B$36,2,FALSE()),"Invalid ("&amp;Data!L733&amp;")"))</f>
        <v>Flat</v>
      </c>
      <c r="M733" s="20" t="str">
        <f aca="false">IF(Data!M733="","",Data!M733)</f>
        <v/>
      </c>
      <c r="N733" s="28" t="str">
        <f aca="false">IF(Data!N733="","",IFERROR(VLOOKUP(Data!N733,Codes!$A$47:$B$49,2,FALSE()),"Invalid ("&amp;Data!N733&amp;")"))</f>
        <v/>
      </c>
      <c r="O733" s="28" t="str">
        <f aca="false">IF(Data!O733="","",IFERROR(VLOOKUP(Data!O733,Codes!$A$53:$B$57,2,FALSE()),"Invalid ("&amp;Data!O733&amp;")"))</f>
        <v>Disease (1)</v>
      </c>
      <c r="P733" s="22" t="str">
        <f aca="false">IF(Data!P733="","",IFERROR(VLOOKUP(Data!P733,Codes!$A$61:$B$64,2,FALSE()),"Invalid ("&amp;Data!P733&amp;")"))</f>
        <v>VA Medical Center, Long Beach</v>
      </c>
    </row>
    <row r="734" customFormat="false" ht="15" hidden="false" customHeight="false" outlineLevel="0" collapsed="false">
      <c r="A734" s="19" t="n">
        <f aca="false">Data!A734</f>
        <v>733</v>
      </c>
      <c r="B734" s="20" t="n">
        <f aca="false">IF(Data!B734="","",Data!B734)</f>
        <v>62</v>
      </c>
      <c r="C734" s="28" t="str">
        <f aca="false">IF(Data!C734="","",IFERROR(VLOOKUP(Data!C734,Codes!$A$6:$B$7,2,FALSE()),"Invalid ("&amp;Data!C734&amp;")"))</f>
        <v>Male</v>
      </c>
      <c r="D734" s="28" t="str">
        <f aca="false">IF(Data!D734="","",IFERROR(VLOOKUP(Data!D734,Codes!$A$11:$B$14,2,FALSE()),"Invalid ("&amp;Data!D734&amp;")"))</f>
        <v>Asymptomatic</v>
      </c>
      <c r="E734" s="20" t="n">
        <f aca="false">IF(Data!E734="","",Data!E734)</f>
        <v>110</v>
      </c>
      <c r="F734" s="20" t="n">
        <f aca="false">IF(Data!F734="","",Data!F734)</f>
        <v>0</v>
      </c>
      <c r="G734" s="28" t="str">
        <f aca="false">IF(Data!G734="","",IFERROR(VLOOKUP(Data!G734,Codes!$A$18:$B$19,2,FALSE()),"Invalid ("&amp;Data!G734&amp;")"))</f>
        <v>No</v>
      </c>
      <c r="H734" s="28" t="str">
        <f aca="false">IF(Data!H734="","",IFERROR(VLOOKUP(Data!H734,Codes!$A$23:$B$25,2,FALSE()),"Invalid ("&amp;Data!H734&amp;")"))</f>
        <v>Normal</v>
      </c>
      <c r="I734" s="20" t="n">
        <f aca="false">IF(Data!I734="","",Data!I734)</f>
        <v>120</v>
      </c>
      <c r="J734" s="28" t="str">
        <f aca="false">IF(Data!J734="","",IFERROR(VLOOKUP(Data!J734,Codes!$A$29:$B$30,2,FALSE()),"Invalid ("&amp;Data!J734&amp;")"))</f>
        <v>Yes</v>
      </c>
      <c r="K734" s="21" t="n">
        <f aca="false">IF(Data!K734="","",Data!K734)</f>
        <v>0.5</v>
      </c>
      <c r="L734" s="28" t="str">
        <f aca="false">IF(Data!L734="","",IFERROR(VLOOKUP(Data!L734,Codes!$A$34:$B$36,2,FALSE()),"Invalid ("&amp;Data!L734&amp;")"))</f>
        <v>Flat</v>
      </c>
      <c r="M734" s="20" t="str">
        <f aca="false">IF(Data!M734="","",Data!M734)</f>
        <v/>
      </c>
      <c r="N734" s="28" t="str">
        <f aca="false">IF(Data!N734="","",IFERROR(VLOOKUP(Data!N734,Codes!$A$47:$B$49,2,FALSE()),"Invalid ("&amp;Data!N734&amp;")"))</f>
        <v>Normal</v>
      </c>
      <c r="O734" s="28" t="str">
        <f aca="false">IF(Data!O734="","",IFERROR(VLOOKUP(Data!O734,Codes!$A$53:$B$57,2,FALSE()),"Invalid ("&amp;Data!O734&amp;")"))</f>
        <v>Disease (1)</v>
      </c>
      <c r="P734" s="22" t="str">
        <f aca="false">IF(Data!P734="","",IFERROR(VLOOKUP(Data!P734,Codes!$A$61:$B$64,2,FALSE()),"Invalid ("&amp;Data!P734&amp;")"))</f>
        <v>VA Medical Center, Long Beach</v>
      </c>
    </row>
    <row r="735" customFormat="false" ht="15" hidden="false" customHeight="false" outlineLevel="0" collapsed="false">
      <c r="A735" s="19" t="n">
        <f aca="false">Data!A735</f>
        <v>734</v>
      </c>
      <c r="B735" s="20" t="n">
        <f aca="false">IF(Data!B735="","",Data!B735)</f>
        <v>63</v>
      </c>
      <c r="C735" s="28" t="str">
        <f aca="false">IF(Data!C735="","",IFERROR(VLOOKUP(Data!C735,Codes!$A$6:$B$7,2,FALSE()),"Invalid ("&amp;Data!C735&amp;")"))</f>
        <v>Male</v>
      </c>
      <c r="D735" s="28" t="str">
        <f aca="false">IF(Data!D735="","",IFERROR(VLOOKUP(Data!D735,Codes!$A$11:$B$14,2,FALSE()),"Invalid ("&amp;Data!D735&amp;")"))</f>
        <v>Non-anginal pain</v>
      </c>
      <c r="E735" s="20" t="str">
        <f aca="false">IF(Data!E735="","",Data!E735)</f>
        <v/>
      </c>
      <c r="F735" s="20" t="n">
        <f aca="false">IF(Data!F735="","",Data!F735)</f>
        <v>0</v>
      </c>
      <c r="G735" s="28" t="str">
        <f aca="false">IF(Data!G735="","",IFERROR(VLOOKUP(Data!G735,Codes!$A$18:$B$19,2,FALSE()),"Invalid ("&amp;Data!G735&amp;")"))</f>
        <v>No</v>
      </c>
      <c r="H735" s="28" t="str">
        <f aca="false">IF(Data!H735="","",IFERROR(VLOOKUP(Data!H735,Codes!$A$23:$B$25,2,FALSE()),"Invalid ("&amp;Data!H735&amp;")"))</f>
        <v>Left ventricular hypertrophy</v>
      </c>
      <c r="I735" s="20" t="str">
        <f aca="false">IF(Data!I735="","",Data!I735)</f>
        <v/>
      </c>
      <c r="J735" s="28" t="str">
        <f aca="false">IF(Data!J735="","",IFERROR(VLOOKUP(Data!J735,Codes!$A$29:$B$30,2,FALSE()),"Invalid ("&amp;Data!J735&amp;")"))</f>
        <v/>
      </c>
      <c r="K735" s="21" t="str">
        <f aca="false">IF(Data!K735="","",Data!K735)</f>
        <v/>
      </c>
      <c r="L735" s="28" t="str">
        <f aca="false">IF(Data!L735="","",IFERROR(VLOOKUP(Data!L735,Codes!$A$34:$B$36,2,FALSE()),"Invalid ("&amp;Data!L735&amp;")"))</f>
        <v/>
      </c>
      <c r="M735" s="20" t="str">
        <f aca="false">IF(Data!M735="","",Data!M735)</f>
        <v/>
      </c>
      <c r="N735" s="28" t="str">
        <f aca="false">IF(Data!N735="","",IFERROR(VLOOKUP(Data!N735,Codes!$A$47:$B$49,2,FALSE()),"Invalid ("&amp;Data!N735&amp;")"))</f>
        <v/>
      </c>
      <c r="O735" s="28" t="str">
        <f aca="false">IF(Data!O735="","",IFERROR(VLOOKUP(Data!O735,Codes!$A$53:$B$57,2,FALSE()),"Invalid ("&amp;Data!O735&amp;")"))</f>
        <v>Disease (1)</v>
      </c>
      <c r="P735" s="22" t="str">
        <f aca="false">IF(Data!P735="","",IFERROR(VLOOKUP(Data!P735,Codes!$A$61:$B$64,2,FALSE()),"Invalid ("&amp;Data!P735&amp;")"))</f>
        <v>VA Medical Center, Long Beach</v>
      </c>
    </row>
    <row r="736" customFormat="false" ht="15" hidden="false" customHeight="false" outlineLevel="0" collapsed="false">
      <c r="A736" s="19" t="n">
        <f aca="false">Data!A736</f>
        <v>735</v>
      </c>
      <c r="B736" s="20" t="n">
        <f aca="false">IF(Data!B736="","",Data!B736)</f>
        <v>57</v>
      </c>
      <c r="C736" s="28" t="str">
        <f aca="false">IF(Data!C736="","",IFERROR(VLOOKUP(Data!C736,Codes!$A$6:$B$7,2,FALSE()),"Invalid ("&amp;Data!C736&amp;")"))</f>
        <v>Male</v>
      </c>
      <c r="D736" s="28" t="str">
        <f aca="false">IF(Data!D736="","",IFERROR(VLOOKUP(Data!D736,Codes!$A$11:$B$14,2,FALSE()),"Invalid ("&amp;Data!D736&amp;")"))</f>
        <v>Asymptomatic</v>
      </c>
      <c r="E736" s="20" t="n">
        <f aca="false">IF(Data!E736="","",Data!E736)</f>
        <v>128</v>
      </c>
      <c r="F736" s="20" t="n">
        <f aca="false">IF(Data!F736="","",Data!F736)</f>
        <v>0</v>
      </c>
      <c r="G736" s="28" t="str">
        <f aca="false">IF(Data!G736="","",IFERROR(VLOOKUP(Data!G736,Codes!$A$18:$B$19,2,FALSE()),"Invalid ("&amp;Data!G736&amp;")"))</f>
        <v>Yes</v>
      </c>
      <c r="H736" s="28" t="str">
        <f aca="false">IF(Data!H736="","",IFERROR(VLOOKUP(Data!H736,Codes!$A$23:$B$25,2,FALSE()),"Invalid ("&amp;Data!H736&amp;")"))</f>
        <v>ST-T wave abnormality</v>
      </c>
      <c r="I736" s="20" t="n">
        <f aca="false">IF(Data!I736="","",Data!I736)</f>
        <v>148</v>
      </c>
      <c r="J736" s="28" t="str">
        <f aca="false">IF(Data!J736="","",IFERROR(VLOOKUP(Data!J736,Codes!$A$29:$B$30,2,FALSE()),"Invalid ("&amp;Data!J736&amp;")"))</f>
        <v>Yes</v>
      </c>
      <c r="K736" s="21" t="n">
        <f aca="false">IF(Data!K736="","",Data!K736)</f>
        <v>1</v>
      </c>
      <c r="L736" s="28" t="str">
        <f aca="false">IF(Data!L736="","",IFERROR(VLOOKUP(Data!L736,Codes!$A$34:$B$36,2,FALSE()),"Invalid ("&amp;Data!L736&amp;")"))</f>
        <v>Flat</v>
      </c>
      <c r="M736" s="20" t="str">
        <f aca="false">IF(Data!M736="","",Data!M736)</f>
        <v/>
      </c>
      <c r="N736" s="28" t="str">
        <f aca="false">IF(Data!N736="","",IFERROR(VLOOKUP(Data!N736,Codes!$A$47:$B$49,2,FALSE()),"Invalid ("&amp;Data!N736&amp;")"))</f>
        <v/>
      </c>
      <c r="O736" s="28" t="str">
        <f aca="false">IF(Data!O736="","",IFERROR(VLOOKUP(Data!O736,Codes!$A$53:$B$57,2,FALSE()),"Invalid ("&amp;Data!O736&amp;")"))</f>
        <v>Disease (1)</v>
      </c>
      <c r="P736" s="22" t="str">
        <f aca="false">IF(Data!P736="","",IFERROR(VLOOKUP(Data!P736,Codes!$A$61:$B$64,2,FALSE()),"Invalid ("&amp;Data!P736&amp;")"))</f>
        <v>VA Medical Center, Long Beach</v>
      </c>
    </row>
    <row r="737" customFormat="false" ht="15" hidden="false" customHeight="false" outlineLevel="0" collapsed="false">
      <c r="A737" s="19" t="n">
        <f aca="false">Data!A737</f>
        <v>736</v>
      </c>
      <c r="B737" s="20" t="n">
        <f aca="false">IF(Data!B737="","",Data!B737)</f>
        <v>62</v>
      </c>
      <c r="C737" s="28" t="str">
        <f aca="false">IF(Data!C737="","",IFERROR(VLOOKUP(Data!C737,Codes!$A$6:$B$7,2,FALSE()),"Invalid ("&amp;Data!C737&amp;")"))</f>
        <v>Male</v>
      </c>
      <c r="D737" s="28" t="str">
        <f aca="false">IF(Data!D737="","",IFERROR(VLOOKUP(Data!D737,Codes!$A$11:$B$14,2,FALSE()),"Invalid ("&amp;Data!D737&amp;")"))</f>
        <v>Asymptomatic</v>
      </c>
      <c r="E737" s="20" t="n">
        <f aca="false">IF(Data!E737="","",Data!E737)</f>
        <v>120</v>
      </c>
      <c r="F737" s="20" t="n">
        <f aca="false">IF(Data!F737="","",Data!F737)</f>
        <v>220</v>
      </c>
      <c r="G737" s="28" t="str">
        <f aca="false">IF(Data!G737="","",IFERROR(VLOOKUP(Data!G737,Codes!$A$18:$B$19,2,FALSE()),"Invalid ("&amp;Data!G737&amp;")"))</f>
        <v>No</v>
      </c>
      <c r="H737" s="28" t="str">
        <f aca="false">IF(Data!H737="","",IFERROR(VLOOKUP(Data!H737,Codes!$A$23:$B$25,2,FALSE()),"Invalid ("&amp;Data!H737&amp;")"))</f>
        <v>ST-T wave abnormality</v>
      </c>
      <c r="I737" s="20" t="n">
        <f aca="false">IF(Data!I737="","",Data!I737)</f>
        <v>86</v>
      </c>
      <c r="J737" s="28" t="str">
        <f aca="false">IF(Data!J737="","",IFERROR(VLOOKUP(Data!J737,Codes!$A$29:$B$30,2,FALSE()),"Invalid ("&amp;Data!J737&amp;")"))</f>
        <v>No</v>
      </c>
      <c r="K737" s="21" t="n">
        <f aca="false">IF(Data!K737="","",Data!K737)</f>
        <v>0</v>
      </c>
      <c r="L737" s="28" t="str">
        <f aca="false">IF(Data!L737="","",IFERROR(VLOOKUP(Data!L737,Codes!$A$34:$B$36,2,FALSE()),"Invalid ("&amp;Data!L737&amp;")"))</f>
        <v/>
      </c>
      <c r="M737" s="20" t="str">
        <f aca="false">IF(Data!M737="","",Data!M737)</f>
        <v/>
      </c>
      <c r="N737" s="28" t="str">
        <f aca="false">IF(Data!N737="","",IFERROR(VLOOKUP(Data!N737,Codes!$A$47:$B$49,2,FALSE()),"Invalid ("&amp;Data!N737&amp;")"))</f>
        <v/>
      </c>
      <c r="O737" s="28" t="str">
        <f aca="false">IF(Data!O737="","",IFERROR(VLOOKUP(Data!O737,Codes!$A$53:$B$57,2,FALSE()),"Invalid ("&amp;Data!O737&amp;")"))</f>
        <v>No disease</v>
      </c>
      <c r="P737" s="22" t="str">
        <f aca="false">IF(Data!P737="","",IFERROR(VLOOKUP(Data!P737,Codes!$A$61:$B$64,2,FALSE()),"Invalid ("&amp;Data!P737&amp;")"))</f>
        <v>VA Medical Center, Long Beach</v>
      </c>
    </row>
    <row r="738" customFormat="false" ht="15" hidden="false" customHeight="false" outlineLevel="0" collapsed="false">
      <c r="A738" s="19" t="n">
        <f aca="false">Data!A738</f>
        <v>737</v>
      </c>
      <c r="B738" s="20" t="n">
        <f aca="false">IF(Data!B738="","",Data!B738)</f>
        <v>63</v>
      </c>
      <c r="C738" s="28" t="str">
        <f aca="false">IF(Data!C738="","",IFERROR(VLOOKUP(Data!C738,Codes!$A$6:$B$7,2,FALSE()),"Invalid ("&amp;Data!C738&amp;")"))</f>
        <v>Male</v>
      </c>
      <c r="D738" s="28" t="str">
        <f aca="false">IF(Data!D738="","",IFERROR(VLOOKUP(Data!D738,Codes!$A$11:$B$14,2,FALSE()),"Invalid ("&amp;Data!D738&amp;")"))</f>
        <v>Asymptomatic</v>
      </c>
      <c r="E738" s="20" t="n">
        <f aca="false">IF(Data!E738="","",Data!E738)</f>
        <v>170</v>
      </c>
      <c r="F738" s="20" t="n">
        <f aca="false">IF(Data!F738="","",Data!F738)</f>
        <v>177</v>
      </c>
      <c r="G738" s="28" t="str">
        <f aca="false">IF(Data!G738="","",IFERROR(VLOOKUP(Data!G738,Codes!$A$18:$B$19,2,FALSE()),"Invalid ("&amp;Data!G738&amp;")"))</f>
        <v>No</v>
      </c>
      <c r="H738" s="28" t="str">
        <f aca="false">IF(Data!H738="","",IFERROR(VLOOKUP(Data!H738,Codes!$A$23:$B$25,2,FALSE()),"Invalid ("&amp;Data!H738&amp;")"))</f>
        <v>Normal</v>
      </c>
      <c r="I738" s="20" t="n">
        <f aca="false">IF(Data!I738="","",Data!I738)</f>
        <v>84</v>
      </c>
      <c r="J738" s="28" t="str">
        <f aca="false">IF(Data!J738="","",IFERROR(VLOOKUP(Data!J738,Codes!$A$29:$B$30,2,FALSE()),"Invalid ("&amp;Data!J738&amp;")"))</f>
        <v>Yes</v>
      </c>
      <c r="K738" s="21" t="n">
        <f aca="false">IF(Data!K738="","",Data!K738)</f>
        <v>2.5</v>
      </c>
      <c r="L738" s="28" t="str">
        <f aca="false">IF(Data!L738="","",IFERROR(VLOOKUP(Data!L738,Codes!$A$34:$B$36,2,FALSE()),"Invalid ("&amp;Data!L738&amp;")"))</f>
        <v>Downsloping</v>
      </c>
      <c r="M738" s="20" t="str">
        <f aca="false">IF(Data!M738="","",Data!M738)</f>
        <v/>
      </c>
      <c r="N738" s="28" t="str">
        <f aca="false">IF(Data!N738="","",IFERROR(VLOOKUP(Data!N738,Codes!$A$47:$B$49,2,FALSE()),"Invalid ("&amp;Data!N738&amp;")"))</f>
        <v/>
      </c>
      <c r="O738" s="28" t="str">
        <f aca="false">IF(Data!O738="","",IFERROR(VLOOKUP(Data!O738,Codes!$A$53:$B$57,2,FALSE()),"Invalid ("&amp;Data!O738&amp;")"))</f>
        <v>Disease (4)</v>
      </c>
      <c r="P738" s="22" t="str">
        <f aca="false">IF(Data!P738="","",IFERROR(VLOOKUP(Data!P738,Codes!$A$61:$B$64,2,FALSE()),"Invalid ("&amp;Data!P738&amp;")"))</f>
        <v>VA Medical Center, Long Beach</v>
      </c>
    </row>
    <row r="739" customFormat="false" ht="15" hidden="false" customHeight="false" outlineLevel="0" collapsed="false">
      <c r="A739" s="19" t="n">
        <f aca="false">Data!A739</f>
        <v>738</v>
      </c>
      <c r="B739" s="20" t="n">
        <f aca="false">IF(Data!B739="","",Data!B739)</f>
        <v>46</v>
      </c>
      <c r="C739" s="28" t="str">
        <f aca="false">IF(Data!C739="","",IFERROR(VLOOKUP(Data!C739,Codes!$A$6:$B$7,2,FALSE()),"Invalid ("&amp;Data!C739&amp;")"))</f>
        <v>Male</v>
      </c>
      <c r="D739" s="28" t="str">
        <f aca="false">IF(Data!D739="","",IFERROR(VLOOKUP(Data!D739,Codes!$A$11:$B$14,2,FALSE()),"Invalid ("&amp;Data!D739&amp;")"))</f>
        <v>Asymptomatic</v>
      </c>
      <c r="E739" s="20" t="n">
        <f aca="false">IF(Data!E739="","",Data!E739)</f>
        <v>110</v>
      </c>
      <c r="F739" s="20" t="n">
        <f aca="false">IF(Data!F739="","",Data!F739)</f>
        <v>236</v>
      </c>
      <c r="G739" s="28" t="str">
        <f aca="false">IF(Data!G739="","",IFERROR(VLOOKUP(Data!G739,Codes!$A$18:$B$19,2,FALSE()),"Invalid ("&amp;Data!G739&amp;")"))</f>
        <v>No</v>
      </c>
      <c r="H739" s="28" t="str">
        <f aca="false">IF(Data!H739="","",IFERROR(VLOOKUP(Data!H739,Codes!$A$23:$B$25,2,FALSE()),"Invalid ("&amp;Data!H739&amp;")"))</f>
        <v>Normal</v>
      </c>
      <c r="I739" s="20" t="n">
        <f aca="false">IF(Data!I739="","",Data!I739)</f>
        <v>125</v>
      </c>
      <c r="J739" s="28" t="str">
        <f aca="false">IF(Data!J739="","",IFERROR(VLOOKUP(Data!J739,Codes!$A$29:$B$30,2,FALSE()),"Invalid ("&amp;Data!J739&amp;")"))</f>
        <v>Yes</v>
      </c>
      <c r="K739" s="21" t="n">
        <f aca="false">IF(Data!K739="","",Data!K739)</f>
        <v>2</v>
      </c>
      <c r="L739" s="28" t="str">
        <f aca="false">IF(Data!L739="","",IFERROR(VLOOKUP(Data!L739,Codes!$A$34:$B$36,2,FALSE()),"Invalid ("&amp;Data!L739&amp;")"))</f>
        <v>Flat</v>
      </c>
      <c r="M739" s="20" t="str">
        <f aca="false">IF(Data!M739="","",Data!M739)</f>
        <v/>
      </c>
      <c r="N739" s="28" t="str">
        <f aca="false">IF(Data!N739="","",IFERROR(VLOOKUP(Data!N739,Codes!$A$47:$B$49,2,FALSE()),"Invalid ("&amp;Data!N739&amp;")"))</f>
        <v/>
      </c>
      <c r="O739" s="28" t="str">
        <f aca="false">IF(Data!O739="","",IFERROR(VLOOKUP(Data!O739,Codes!$A$53:$B$57,2,FALSE()),"Invalid ("&amp;Data!O739&amp;")"))</f>
        <v>Disease (1)</v>
      </c>
      <c r="P739" s="22" t="str">
        <f aca="false">IF(Data!P739="","",IFERROR(VLOOKUP(Data!P739,Codes!$A$61:$B$64,2,FALSE()),"Invalid ("&amp;Data!P739&amp;")"))</f>
        <v>VA Medical Center, Long Beach</v>
      </c>
    </row>
    <row r="740" customFormat="false" ht="15" hidden="false" customHeight="false" outlineLevel="0" collapsed="false">
      <c r="A740" s="19" t="n">
        <f aca="false">Data!A740</f>
        <v>739</v>
      </c>
      <c r="B740" s="20" t="n">
        <f aca="false">IF(Data!B740="","",Data!B740)</f>
        <v>63</v>
      </c>
      <c r="C740" s="28" t="str">
        <f aca="false">IF(Data!C740="","",IFERROR(VLOOKUP(Data!C740,Codes!$A$6:$B$7,2,FALSE()),"Invalid ("&amp;Data!C740&amp;")"))</f>
        <v>Male</v>
      </c>
      <c r="D740" s="28" t="str">
        <f aca="false">IF(Data!D740="","",IFERROR(VLOOKUP(Data!D740,Codes!$A$11:$B$14,2,FALSE()),"Invalid ("&amp;Data!D740&amp;")"))</f>
        <v>Asymptomatic</v>
      </c>
      <c r="E740" s="20" t="n">
        <f aca="false">IF(Data!E740="","",Data!E740)</f>
        <v>126</v>
      </c>
      <c r="F740" s="20" t="n">
        <f aca="false">IF(Data!F740="","",Data!F740)</f>
        <v>0</v>
      </c>
      <c r="G740" s="28" t="str">
        <f aca="false">IF(Data!G740="","",IFERROR(VLOOKUP(Data!G740,Codes!$A$18:$B$19,2,FALSE()),"Invalid ("&amp;Data!G740&amp;")"))</f>
        <v>No</v>
      </c>
      <c r="H740" s="28" t="str">
        <f aca="false">IF(Data!H740="","",IFERROR(VLOOKUP(Data!H740,Codes!$A$23:$B$25,2,FALSE()),"Invalid ("&amp;Data!H740&amp;")"))</f>
        <v>ST-T wave abnormality</v>
      </c>
      <c r="I740" s="20" t="n">
        <f aca="false">IF(Data!I740="","",Data!I740)</f>
        <v>120</v>
      </c>
      <c r="J740" s="28" t="str">
        <f aca="false">IF(Data!J740="","",IFERROR(VLOOKUP(Data!J740,Codes!$A$29:$B$30,2,FALSE()),"Invalid ("&amp;Data!J740&amp;")"))</f>
        <v>No</v>
      </c>
      <c r="K740" s="21" t="n">
        <f aca="false">IF(Data!K740="","",Data!K740)</f>
        <v>1.5</v>
      </c>
      <c r="L740" s="28" t="str">
        <f aca="false">IF(Data!L740="","",IFERROR(VLOOKUP(Data!L740,Codes!$A$34:$B$36,2,FALSE()),"Invalid ("&amp;Data!L740&amp;")"))</f>
        <v>Downsloping</v>
      </c>
      <c r="M740" s="20" t="str">
        <f aca="false">IF(Data!M740="","",Data!M740)</f>
        <v/>
      </c>
      <c r="N740" s="28" t="str">
        <f aca="false">IF(Data!N740="","",IFERROR(VLOOKUP(Data!N740,Codes!$A$47:$B$49,2,FALSE()),"Invalid ("&amp;Data!N740&amp;")"))</f>
        <v/>
      </c>
      <c r="O740" s="28" t="str">
        <f aca="false">IF(Data!O740="","",IFERROR(VLOOKUP(Data!O740,Codes!$A$53:$B$57,2,FALSE()),"Invalid ("&amp;Data!O740&amp;")"))</f>
        <v>No disease</v>
      </c>
      <c r="P740" s="22" t="str">
        <f aca="false">IF(Data!P740="","",IFERROR(VLOOKUP(Data!P740,Codes!$A$61:$B$64,2,FALSE()),"Invalid ("&amp;Data!P740&amp;")"))</f>
        <v>VA Medical Center, Long Beach</v>
      </c>
    </row>
    <row r="741" customFormat="false" ht="15" hidden="false" customHeight="false" outlineLevel="0" collapsed="false">
      <c r="A741" s="19" t="n">
        <f aca="false">Data!A741</f>
        <v>740</v>
      </c>
      <c r="B741" s="20" t="n">
        <f aca="false">IF(Data!B741="","",Data!B741)</f>
        <v>60</v>
      </c>
      <c r="C741" s="28" t="str">
        <f aca="false">IF(Data!C741="","",IFERROR(VLOOKUP(Data!C741,Codes!$A$6:$B$7,2,FALSE()),"Invalid ("&amp;Data!C741&amp;")"))</f>
        <v>Male</v>
      </c>
      <c r="D741" s="28" t="str">
        <f aca="false">IF(Data!D741="","",IFERROR(VLOOKUP(Data!D741,Codes!$A$11:$B$14,2,FALSE()),"Invalid ("&amp;Data!D741&amp;")"))</f>
        <v>Asymptomatic</v>
      </c>
      <c r="E741" s="20" t="n">
        <f aca="false">IF(Data!E741="","",Data!E741)</f>
        <v>152</v>
      </c>
      <c r="F741" s="20" t="n">
        <f aca="false">IF(Data!F741="","",Data!F741)</f>
        <v>0</v>
      </c>
      <c r="G741" s="28" t="str">
        <f aca="false">IF(Data!G741="","",IFERROR(VLOOKUP(Data!G741,Codes!$A$18:$B$19,2,FALSE()),"Invalid ("&amp;Data!G741&amp;")"))</f>
        <v>No</v>
      </c>
      <c r="H741" s="28" t="str">
        <f aca="false">IF(Data!H741="","",IFERROR(VLOOKUP(Data!H741,Codes!$A$23:$B$25,2,FALSE()),"Invalid ("&amp;Data!H741&amp;")"))</f>
        <v>ST-T wave abnormality</v>
      </c>
      <c r="I741" s="20" t="n">
        <f aca="false">IF(Data!I741="","",Data!I741)</f>
        <v>118</v>
      </c>
      <c r="J741" s="28" t="str">
        <f aca="false">IF(Data!J741="","",IFERROR(VLOOKUP(Data!J741,Codes!$A$29:$B$30,2,FALSE()),"Invalid ("&amp;Data!J741&amp;")"))</f>
        <v>Yes</v>
      </c>
      <c r="K741" s="21" t="n">
        <f aca="false">IF(Data!K741="","",Data!K741)</f>
        <v>0</v>
      </c>
      <c r="L741" s="28" t="str">
        <f aca="false">IF(Data!L741="","",IFERROR(VLOOKUP(Data!L741,Codes!$A$34:$B$36,2,FALSE()),"Invalid ("&amp;Data!L741&amp;")"))</f>
        <v/>
      </c>
      <c r="M741" s="20" t="str">
        <f aca="false">IF(Data!M741="","",Data!M741)</f>
        <v/>
      </c>
      <c r="N741" s="28" t="str">
        <f aca="false">IF(Data!N741="","",IFERROR(VLOOKUP(Data!N741,Codes!$A$47:$B$49,2,FALSE()),"Invalid ("&amp;Data!N741&amp;")"))</f>
        <v>Reversible defect</v>
      </c>
      <c r="O741" s="28" t="str">
        <f aca="false">IF(Data!O741="","",IFERROR(VLOOKUP(Data!O741,Codes!$A$53:$B$57,2,FALSE()),"Invalid ("&amp;Data!O741&amp;")"))</f>
        <v>No disease</v>
      </c>
      <c r="P741" s="22" t="str">
        <f aca="false">IF(Data!P741="","",IFERROR(VLOOKUP(Data!P741,Codes!$A$61:$B$64,2,FALSE()),"Invalid ("&amp;Data!P741&amp;")"))</f>
        <v>VA Medical Center, Long Beach</v>
      </c>
    </row>
    <row r="742" customFormat="false" ht="15" hidden="false" customHeight="false" outlineLevel="0" collapsed="false">
      <c r="A742" s="19" t="n">
        <f aca="false">Data!A742</f>
        <v>741</v>
      </c>
      <c r="B742" s="20" t="n">
        <f aca="false">IF(Data!B742="","",Data!B742)</f>
        <v>58</v>
      </c>
      <c r="C742" s="28" t="str">
        <f aca="false">IF(Data!C742="","",IFERROR(VLOOKUP(Data!C742,Codes!$A$6:$B$7,2,FALSE()),"Invalid ("&amp;Data!C742&amp;")"))</f>
        <v>Male</v>
      </c>
      <c r="D742" s="28" t="str">
        <f aca="false">IF(Data!D742="","",IFERROR(VLOOKUP(Data!D742,Codes!$A$11:$B$14,2,FALSE()),"Invalid ("&amp;Data!D742&amp;")"))</f>
        <v>Asymptomatic</v>
      </c>
      <c r="E742" s="20" t="n">
        <f aca="false">IF(Data!E742="","",Data!E742)</f>
        <v>116</v>
      </c>
      <c r="F742" s="20" t="n">
        <f aca="false">IF(Data!F742="","",Data!F742)</f>
        <v>0</v>
      </c>
      <c r="G742" s="28" t="str">
        <f aca="false">IF(Data!G742="","",IFERROR(VLOOKUP(Data!G742,Codes!$A$18:$B$19,2,FALSE()),"Invalid ("&amp;Data!G742&amp;")"))</f>
        <v>No</v>
      </c>
      <c r="H742" s="28" t="str">
        <f aca="false">IF(Data!H742="","",IFERROR(VLOOKUP(Data!H742,Codes!$A$23:$B$25,2,FALSE()),"Invalid ("&amp;Data!H742&amp;")"))</f>
        <v>Normal</v>
      </c>
      <c r="I742" s="20" t="n">
        <f aca="false">IF(Data!I742="","",Data!I742)</f>
        <v>124</v>
      </c>
      <c r="J742" s="28" t="str">
        <f aca="false">IF(Data!J742="","",IFERROR(VLOOKUP(Data!J742,Codes!$A$29:$B$30,2,FALSE()),"Invalid ("&amp;Data!J742&amp;")"))</f>
        <v>No</v>
      </c>
      <c r="K742" s="21" t="n">
        <f aca="false">IF(Data!K742="","",Data!K742)</f>
        <v>1</v>
      </c>
      <c r="L742" s="28" t="str">
        <f aca="false">IF(Data!L742="","",IFERROR(VLOOKUP(Data!L742,Codes!$A$34:$B$36,2,FALSE()),"Invalid ("&amp;Data!L742&amp;")"))</f>
        <v>Upsloping</v>
      </c>
      <c r="M742" s="20" t="str">
        <f aca="false">IF(Data!M742="","",Data!M742)</f>
        <v/>
      </c>
      <c r="N742" s="28" t="str">
        <f aca="false">IF(Data!N742="","",IFERROR(VLOOKUP(Data!N742,Codes!$A$47:$B$49,2,FALSE()),"Invalid ("&amp;Data!N742&amp;")"))</f>
        <v/>
      </c>
      <c r="O742" s="28" t="str">
        <f aca="false">IF(Data!O742="","",IFERROR(VLOOKUP(Data!O742,Codes!$A$53:$B$57,2,FALSE()),"Invalid ("&amp;Data!O742&amp;")"))</f>
        <v>Disease (2)</v>
      </c>
      <c r="P742" s="22" t="str">
        <f aca="false">IF(Data!P742="","",IFERROR(VLOOKUP(Data!P742,Codes!$A$61:$B$64,2,FALSE()),"Invalid ("&amp;Data!P742&amp;")"))</f>
        <v>VA Medical Center, Long Beach</v>
      </c>
    </row>
    <row r="743" customFormat="false" ht="15" hidden="false" customHeight="false" outlineLevel="0" collapsed="false">
      <c r="A743" s="19" t="n">
        <f aca="false">Data!A743</f>
        <v>742</v>
      </c>
      <c r="B743" s="20" t="n">
        <f aca="false">IF(Data!B743="","",Data!B743)</f>
        <v>64</v>
      </c>
      <c r="C743" s="28" t="str">
        <f aca="false">IF(Data!C743="","",IFERROR(VLOOKUP(Data!C743,Codes!$A$6:$B$7,2,FALSE()),"Invalid ("&amp;Data!C743&amp;")"))</f>
        <v>Male</v>
      </c>
      <c r="D743" s="28" t="str">
        <f aca="false">IF(Data!D743="","",IFERROR(VLOOKUP(Data!D743,Codes!$A$11:$B$14,2,FALSE()),"Invalid ("&amp;Data!D743&amp;")"))</f>
        <v>Asymptomatic</v>
      </c>
      <c r="E743" s="20" t="n">
        <f aca="false">IF(Data!E743="","",Data!E743)</f>
        <v>120</v>
      </c>
      <c r="F743" s="20" t="n">
        <f aca="false">IF(Data!F743="","",Data!F743)</f>
        <v>0</v>
      </c>
      <c r="G743" s="28" t="str">
        <f aca="false">IF(Data!G743="","",IFERROR(VLOOKUP(Data!G743,Codes!$A$18:$B$19,2,FALSE()),"Invalid ("&amp;Data!G743&amp;")"))</f>
        <v>Yes</v>
      </c>
      <c r="H743" s="28" t="str">
        <f aca="false">IF(Data!H743="","",IFERROR(VLOOKUP(Data!H743,Codes!$A$23:$B$25,2,FALSE()),"Invalid ("&amp;Data!H743&amp;")"))</f>
        <v>ST-T wave abnormality</v>
      </c>
      <c r="I743" s="20" t="n">
        <f aca="false">IF(Data!I743="","",Data!I743)</f>
        <v>106</v>
      </c>
      <c r="J743" s="28" t="str">
        <f aca="false">IF(Data!J743="","",IFERROR(VLOOKUP(Data!J743,Codes!$A$29:$B$30,2,FALSE()),"Invalid ("&amp;Data!J743&amp;")"))</f>
        <v>No</v>
      </c>
      <c r="K743" s="21" t="n">
        <f aca="false">IF(Data!K743="","",Data!K743)</f>
        <v>2</v>
      </c>
      <c r="L743" s="28" t="str">
        <f aca="false">IF(Data!L743="","",IFERROR(VLOOKUP(Data!L743,Codes!$A$34:$B$36,2,FALSE()),"Invalid ("&amp;Data!L743&amp;")"))</f>
        <v>Flat</v>
      </c>
      <c r="M743" s="20" t="str">
        <f aca="false">IF(Data!M743="","",Data!M743)</f>
        <v/>
      </c>
      <c r="N743" s="28" t="str">
        <f aca="false">IF(Data!N743="","",IFERROR(VLOOKUP(Data!N743,Codes!$A$47:$B$49,2,FALSE()),"Invalid ("&amp;Data!N743&amp;")"))</f>
        <v/>
      </c>
      <c r="O743" s="28" t="str">
        <f aca="false">IF(Data!O743="","",IFERROR(VLOOKUP(Data!O743,Codes!$A$53:$B$57,2,FALSE()),"Invalid ("&amp;Data!O743&amp;")"))</f>
        <v>Disease (1)</v>
      </c>
      <c r="P743" s="22" t="str">
        <f aca="false">IF(Data!P743="","",IFERROR(VLOOKUP(Data!P743,Codes!$A$61:$B$64,2,FALSE()),"Invalid ("&amp;Data!P743&amp;")"))</f>
        <v>VA Medical Center, Long Beach</v>
      </c>
    </row>
    <row r="744" customFormat="false" ht="15" hidden="false" customHeight="false" outlineLevel="0" collapsed="false">
      <c r="A744" s="19" t="n">
        <f aca="false">Data!A744</f>
        <v>743</v>
      </c>
      <c r="B744" s="20" t="n">
        <f aca="false">IF(Data!B744="","",Data!B744)</f>
        <v>63</v>
      </c>
      <c r="C744" s="28" t="str">
        <f aca="false">IF(Data!C744="","",IFERROR(VLOOKUP(Data!C744,Codes!$A$6:$B$7,2,FALSE()),"Invalid ("&amp;Data!C744&amp;")"))</f>
        <v>Male</v>
      </c>
      <c r="D744" s="28" t="str">
        <f aca="false">IF(Data!D744="","",IFERROR(VLOOKUP(Data!D744,Codes!$A$11:$B$14,2,FALSE()),"Invalid ("&amp;Data!D744&amp;")"))</f>
        <v>Non-anginal pain</v>
      </c>
      <c r="E744" s="20" t="n">
        <f aca="false">IF(Data!E744="","",Data!E744)</f>
        <v>130</v>
      </c>
      <c r="F744" s="20" t="n">
        <f aca="false">IF(Data!F744="","",Data!F744)</f>
        <v>0</v>
      </c>
      <c r="G744" s="28" t="str">
        <f aca="false">IF(Data!G744="","",IFERROR(VLOOKUP(Data!G744,Codes!$A$18:$B$19,2,FALSE()),"Invalid ("&amp;Data!G744&amp;")"))</f>
        <v>No</v>
      </c>
      <c r="H744" s="28" t="str">
        <f aca="false">IF(Data!H744="","",IFERROR(VLOOKUP(Data!H744,Codes!$A$23:$B$25,2,FALSE()),"Invalid ("&amp;Data!H744&amp;")"))</f>
        <v>ST-T wave abnormality</v>
      </c>
      <c r="I744" s="20" t="n">
        <f aca="false">IF(Data!I744="","",Data!I744)</f>
        <v>111</v>
      </c>
      <c r="J744" s="28" t="str">
        <f aca="false">IF(Data!J744="","",IFERROR(VLOOKUP(Data!J744,Codes!$A$29:$B$30,2,FALSE()),"Invalid ("&amp;Data!J744&amp;")"))</f>
        <v>Yes</v>
      </c>
      <c r="K744" s="21" t="n">
        <f aca="false">IF(Data!K744="","",Data!K744)</f>
        <v>0</v>
      </c>
      <c r="L744" s="28" t="str">
        <f aca="false">IF(Data!L744="","",IFERROR(VLOOKUP(Data!L744,Codes!$A$34:$B$36,2,FALSE()),"Invalid ("&amp;Data!L744&amp;")"))</f>
        <v/>
      </c>
      <c r="M744" s="20" t="str">
        <f aca="false">IF(Data!M744="","",Data!M744)</f>
        <v/>
      </c>
      <c r="N744" s="28" t="str">
        <f aca="false">IF(Data!N744="","",IFERROR(VLOOKUP(Data!N744,Codes!$A$47:$B$49,2,FALSE()),"Invalid ("&amp;Data!N744&amp;")"))</f>
        <v/>
      </c>
      <c r="O744" s="28" t="str">
        <f aca="false">IF(Data!O744="","",IFERROR(VLOOKUP(Data!O744,Codes!$A$53:$B$57,2,FALSE()),"Invalid ("&amp;Data!O744&amp;")"))</f>
        <v>Disease (3)</v>
      </c>
      <c r="P744" s="22" t="str">
        <f aca="false">IF(Data!P744="","",IFERROR(VLOOKUP(Data!P744,Codes!$A$61:$B$64,2,FALSE()),"Invalid ("&amp;Data!P744&amp;")"))</f>
        <v>VA Medical Center, Long Beach</v>
      </c>
    </row>
    <row r="745" customFormat="false" ht="15" hidden="false" customHeight="false" outlineLevel="0" collapsed="false">
      <c r="A745" s="19" t="n">
        <f aca="false">Data!A745</f>
        <v>744</v>
      </c>
      <c r="B745" s="20" t="n">
        <f aca="false">IF(Data!B745="","",Data!B745)</f>
        <v>74</v>
      </c>
      <c r="C745" s="28" t="str">
        <f aca="false">IF(Data!C745="","",IFERROR(VLOOKUP(Data!C745,Codes!$A$6:$B$7,2,FALSE()),"Invalid ("&amp;Data!C745&amp;")"))</f>
        <v>Male</v>
      </c>
      <c r="D745" s="28" t="str">
        <f aca="false">IF(Data!D745="","",IFERROR(VLOOKUP(Data!D745,Codes!$A$11:$B$14,2,FALSE()),"Invalid ("&amp;Data!D745&amp;")"))</f>
        <v>Non-anginal pain</v>
      </c>
      <c r="E745" s="20" t="str">
        <f aca="false">IF(Data!E745="","",Data!E745)</f>
        <v/>
      </c>
      <c r="F745" s="20" t="n">
        <f aca="false">IF(Data!F745="","",Data!F745)</f>
        <v>0</v>
      </c>
      <c r="G745" s="28" t="str">
        <f aca="false">IF(Data!G745="","",IFERROR(VLOOKUP(Data!G745,Codes!$A$18:$B$19,2,FALSE()),"Invalid ("&amp;Data!G745&amp;")"))</f>
        <v>No</v>
      </c>
      <c r="H745" s="28" t="str">
        <f aca="false">IF(Data!H745="","",IFERROR(VLOOKUP(Data!H745,Codes!$A$23:$B$25,2,FALSE()),"Invalid ("&amp;Data!H745&amp;")"))</f>
        <v>Normal</v>
      </c>
      <c r="I745" s="20" t="str">
        <f aca="false">IF(Data!I745="","",Data!I745)</f>
        <v/>
      </c>
      <c r="J745" s="28" t="str">
        <f aca="false">IF(Data!J745="","",IFERROR(VLOOKUP(Data!J745,Codes!$A$29:$B$30,2,FALSE()),"Invalid ("&amp;Data!J745&amp;")"))</f>
        <v/>
      </c>
      <c r="K745" s="21" t="str">
        <f aca="false">IF(Data!K745="","",Data!K745)</f>
        <v/>
      </c>
      <c r="L745" s="28" t="str">
        <f aca="false">IF(Data!L745="","",IFERROR(VLOOKUP(Data!L745,Codes!$A$34:$B$36,2,FALSE()),"Invalid ("&amp;Data!L745&amp;")"))</f>
        <v/>
      </c>
      <c r="M745" s="20" t="str">
        <f aca="false">IF(Data!M745="","",Data!M745)</f>
        <v/>
      </c>
      <c r="N745" s="28" t="str">
        <f aca="false">IF(Data!N745="","",IFERROR(VLOOKUP(Data!N745,Codes!$A$47:$B$49,2,FALSE()),"Invalid ("&amp;Data!N745&amp;")"))</f>
        <v/>
      </c>
      <c r="O745" s="28" t="str">
        <f aca="false">IF(Data!O745="","",IFERROR(VLOOKUP(Data!O745,Codes!$A$53:$B$57,2,FALSE()),"Invalid ("&amp;Data!O745&amp;")"))</f>
        <v>No disease</v>
      </c>
      <c r="P745" s="22" t="str">
        <f aca="false">IF(Data!P745="","",IFERROR(VLOOKUP(Data!P745,Codes!$A$61:$B$64,2,FALSE()),"Invalid ("&amp;Data!P745&amp;")"))</f>
        <v>VA Medical Center, Long Beach</v>
      </c>
    </row>
    <row r="746" customFormat="false" ht="15" hidden="false" customHeight="false" outlineLevel="0" collapsed="false">
      <c r="A746" s="19" t="n">
        <f aca="false">Data!A746</f>
        <v>745</v>
      </c>
      <c r="B746" s="20" t="n">
        <f aca="false">IF(Data!B746="","",Data!B746)</f>
        <v>52</v>
      </c>
      <c r="C746" s="28" t="str">
        <f aca="false">IF(Data!C746="","",IFERROR(VLOOKUP(Data!C746,Codes!$A$6:$B$7,2,FALSE()),"Invalid ("&amp;Data!C746&amp;")"))</f>
        <v>Male</v>
      </c>
      <c r="D746" s="28" t="str">
        <f aca="false">IF(Data!D746="","",IFERROR(VLOOKUP(Data!D746,Codes!$A$11:$B$14,2,FALSE()),"Invalid ("&amp;Data!D746&amp;")"))</f>
        <v>Non-anginal pain</v>
      </c>
      <c r="E746" s="20" t="n">
        <f aca="false">IF(Data!E746="","",Data!E746)</f>
        <v>128</v>
      </c>
      <c r="F746" s="20" t="n">
        <f aca="false">IF(Data!F746="","",Data!F746)</f>
        <v>0</v>
      </c>
      <c r="G746" s="28" t="str">
        <f aca="false">IF(Data!G746="","",IFERROR(VLOOKUP(Data!G746,Codes!$A$18:$B$19,2,FALSE()),"Invalid ("&amp;Data!G746&amp;")"))</f>
        <v>No</v>
      </c>
      <c r="H746" s="28" t="str">
        <f aca="false">IF(Data!H746="","",IFERROR(VLOOKUP(Data!H746,Codes!$A$23:$B$25,2,FALSE()),"Invalid ("&amp;Data!H746&amp;")"))</f>
        <v>ST-T wave abnormality</v>
      </c>
      <c r="I746" s="20" t="n">
        <f aca="false">IF(Data!I746="","",Data!I746)</f>
        <v>180</v>
      </c>
      <c r="J746" s="28" t="str">
        <f aca="false">IF(Data!J746="","",IFERROR(VLOOKUP(Data!J746,Codes!$A$29:$B$30,2,FALSE()),"Invalid ("&amp;Data!J746&amp;")"))</f>
        <v>No</v>
      </c>
      <c r="K746" s="21" t="n">
        <f aca="false">IF(Data!K746="","",Data!K746)</f>
        <v>3</v>
      </c>
      <c r="L746" s="28" t="str">
        <f aca="false">IF(Data!L746="","",IFERROR(VLOOKUP(Data!L746,Codes!$A$34:$B$36,2,FALSE()),"Invalid ("&amp;Data!L746&amp;")"))</f>
        <v>Upsloping</v>
      </c>
      <c r="M746" s="20" t="str">
        <f aca="false">IF(Data!M746="","",Data!M746)</f>
        <v/>
      </c>
      <c r="N746" s="28" t="str">
        <f aca="false">IF(Data!N746="","",IFERROR(VLOOKUP(Data!N746,Codes!$A$47:$B$49,2,FALSE()),"Invalid ("&amp;Data!N746&amp;")"))</f>
        <v/>
      </c>
      <c r="O746" s="28" t="str">
        <f aca="false">IF(Data!O746="","",IFERROR(VLOOKUP(Data!O746,Codes!$A$53:$B$57,2,FALSE()),"Invalid ("&amp;Data!O746&amp;")"))</f>
        <v>Disease (2)</v>
      </c>
      <c r="P746" s="22" t="str">
        <f aca="false">IF(Data!P746="","",IFERROR(VLOOKUP(Data!P746,Codes!$A$61:$B$64,2,FALSE()),"Invalid ("&amp;Data!P746&amp;")"))</f>
        <v>VA Medical Center, Long Beach</v>
      </c>
    </row>
    <row r="747" customFormat="false" ht="15" hidden="false" customHeight="false" outlineLevel="0" collapsed="false">
      <c r="A747" s="19" t="n">
        <f aca="false">Data!A747</f>
        <v>746</v>
      </c>
      <c r="B747" s="20" t="n">
        <f aca="false">IF(Data!B747="","",Data!B747)</f>
        <v>69</v>
      </c>
      <c r="C747" s="28" t="str">
        <f aca="false">IF(Data!C747="","",IFERROR(VLOOKUP(Data!C747,Codes!$A$6:$B$7,2,FALSE()),"Invalid ("&amp;Data!C747&amp;")"))</f>
        <v>Male</v>
      </c>
      <c r="D747" s="28" t="str">
        <f aca="false">IF(Data!D747="","",IFERROR(VLOOKUP(Data!D747,Codes!$A$11:$B$14,2,FALSE()),"Invalid ("&amp;Data!D747&amp;")"))</f>
        <v>Asymptomatic</v>
      </c>
      <c r="E747" s="20" t="n">
        <f aca="false">IF(Data!E747="","",Data!E747)</f>
        <v>130</v>
      </c>
      <c r="F747" s="20" t="n">
        <f aca="false">IF(Data!F747="","",Data!F747)</f>
        <v>0</v>
      </c>
      <c r="G747" s="28" t="str">
        <f aca="false">IF(Data!G747="","",IFERROR(VLOOKUP(Data!G747,Codes!$A$18:$B$19,2,FALSE()),"Invalid ("&amp;Data!G747&amp;")"))</f>
        <v>Yes</v>
      </c>
      <c r="H747" s="28" t="str">
        <f aca="false">IF(Data!H747="","",IFERROR(VLOOKUP(Data!H747,Codes!$A$23:$B$25,2,FALSE()),"Invalid ("&amp;Data!H747&amp;")"))</f>
        <v>ST-T wave abnormality</v>
      </c>
      <c r="I747" s="20" t="n">
        <f aca="false">IF(Data!I747="","",Data!I747)</f>
        <v>129</v>
      </c>
      <c r="J747" s="28" t="str">
        <f aca="false">IF(Data!J747="","",IFERROR(VLOOKUP(Data!J747,Codes!$A$29:$B$30,2,FALSE()),"Invalid ("&amp;Data!J747&amp;")"))</f>
        <v>No</v>
      </c>
      <c r="K747" s="21" t="n">
        <f aca="false">IF(Data!K747="","",Data!K747)</f>
        <v>1</v>
      </c>
      <c r="L747" s="28" t="str">
        <f aca="false">IF(Data!L747="","",IFERROR(VLOOKUP(Data!L747,Codes!$A$34:$B$36,2,FALSE()),"Invalid ("&amp;Data!L747&amp;")"))</f>
        <v>Flat</v>
      </c>
      <c r="M747" s="20" t="str">
        <f aca="false">IF(Data!M747="","",Data!M747)</f>
        <v/>
      </c>
      <c r="N747" s="28" t="str">
        <f aca="false">IF(Data!N747="","",IFERROR(VLOOKUP(Data!N747,Codes!$A$47:$B$49,2,FALSE()),"Invalid ("&amp;Data!N747&amp;")"))</f>
        <v>Fixed defect</v>
      </c>
      <c r="O747" s="28" t="str">
        <f aca="false">IF(Data!O747="","",IFERROR(VLOOKUP(Data!O747,Codes!$A$53:$B$57,2,FALSE()),"Invalid ("&amp;Data!O747&amp;")"))</f>
        <v>Disease (2)</v>
      </c>
      <c r="P747" s="22" t="str">
        <f aca="false">IF(Data!P747="","",IFERROR(VLOOKUP(Data!P747,Codes!$A$61:$B$64,2,FALSE()),"Invalid ("&amp;Data!P747&amp;")"))</f>
        <v>VA Medical Center, Long Beach</v>
      </c>
    </row>
    <row r="748" customFormat="false" ht="15" hidden="false" customHeight="false" outlineLevel="0" collapsed="false">
      <c r="A748" s="19" t="n">
        <f aca="false">Data!A748</f>
        <v>747</v>
      </c>
      <c r="B748" s="20" t="n">
        <f aca="false">IF(Data!B748="","",Data!B748)</f>
        <v>51</v>
      </c>
      <c r="C748" s="28" t="str">
        <f aca="false">IF(Data!C748="","",IFERROR(VLOOKUP(Data!C748,Codes!$A$6:$B$7,2,FALSE()),"Invalid ("&amp;Data!C748&amp;")"))</f>
        <v>Male</v>
      </c>
      <c r="D748" s="28" t="str">
        <f aca="false">IF(Data!D748="","",IFERROR(VLOOKUP(Data!D748,Codes!$A$11:$B$14,2,FALSE()),"Invalid ("&amp;Data!D748&amp;")"))</f>
        <v>Asymptomatic</v>
      </c>
      <c r="E748" s="20" t="str">
        <f aca="false">IF(Data!E748="","",Data!E748)</f>
        <v/>
      </c>
      <c r="F748" s="20" t="n">
        <f aca="false">IF(Data!F748="","",Data!F748)</f>
        <v>0</v>
      </c>
      <c r="G748" s="28" t="str">
        <f aca="false">IF(Data!G748="","",IFERROR(VLOOKUP(Data!G748,Codes!$A$18:$B$19,2,FALSE()),"Invalid ("&amp;Data!G748&amp;")"))</f>
        <v>Yes</v>
      </c>
      <c r="H748" s="28" t="str">
        <f aca="false">IF(Data!H748="","",IFERROR(VLOOKUP(Data!H748,Codes!$A$23:$B$25,2,FALSE()),"Invalid ("&amp;Data!H748&amp;")"))</f>
        <v>ST-T wave abnormality</v>
      </c>
      <c r="I748" s="20" t="str">
        <f aca="false">IF(Data!I748="","",Data!I748)</f>
        <v/>
      </c>
      <c r="J748" s="28" t="str">
        <f aca="false">IF(Data!J748="","",IFERROR(VLOOKUP(Data!J748,Codes!$A$29:$B$30,2,FALSE()),"Invalid ("&amp;Data!J748&amp;")"))</f>
        <v/>
      </c>
      <c r="K748" s="21" t="str">
        <f aca="false">IF(Data!K748="","",Data!K748)</f>
        <v/>
      </c>
      <c r="L748" s="28" t="str">
        <f aca="false">IF(Data!L748="","",IFERROR(VLOOKUP(Data!L748,Codes!$A$34:$B$36,2,FALSE()),"Invalid ("&amp;Data!L748&amp;")"))</f>
        <v/>
      </c>
      <c r="M748" s="20" t="str">
        <f aca="false">IF(Data!M748="","",Data!M748)</f>
        <v/>
      </c>
      <c r="N748" s="28" t="str">
        <f aca="false">IF(Data!N748="","",IFERROR(VLOOKUP(Data!N748,Codes!$A$47:$B$49,2,FALSE()),"Invalid ("&amp;Data!N748&amp;")"))</f>
        <v/>
      </c>
      <c r="O748" s="28" t="str">
        <f aca="false">IF(Data!O748="","",IFERROR(VLOOKUP(Data!O748,Codes!$A$53:$B$57,2,FALSE()),"Invalid ("&amp;Data!O748&amp;")"))</f>
        <v>Disease (2)</v>
      </c>
      <c r="P748" s="22" t="str">
        <f aca="false">IF(Data!P748="","",IFERROR(VLOOKUP(Data!P748,Codes!$A$61:$B$64,2,FALSE()),"Invalid ("&amp;Data!P748&amp;")"))</f>
        <v>VA Medical Center, Long Beach</v>
      </c>
    </row>
    <row r="749" customFormat="false" ht="15" hidden="false" customHeight="false" outlineLevel="0" collapsed="false">
      <c r="A749" s="19" t="n">
        <f aca="false">Data!A749</f>
        <v>748</v>
      </c>
      <c r="B749" s="20" t="n">
        <f aca="false">IF(Data!B749="","",Data!B749)</f>
        <v>60</v>
      </c>
      <c r="C749" s="28" t="str">
        <f aca="false">IF(Data!C749="","",IFERROR(VLOOKUP(Data!C749,Codes!$A$6:$B$7,2,FALSE()),"Invalid ("&amp;Data!C749&amp;")"))</f>
        <v>Male</v>
      </c>
      <c r="D749" s="28" t="str">
        <f aca="false">IF(Data!D749="","",IFERROR(VLOOKUP(Data!D749,Codes!$A$11:$B$14,2,FALSE()),"Invalid ("&amp;Data!D749&amp;")"))</f>
        <v>Asymptomatic</v>
      </c>
      <c r="E749" s="20" t="n">
        <f aca="false">IF(Data!E749="","",Data!E749)</f>
        <v>130</v>
      </c>
      <c r="F749" s="20" t="n">
        <f aca="false">IF(Data!F749="","",Data!F749)</f>
        <v>186</v>
      </c>
      <c r="G749" s="28" t="str">
        <f aca="false">IF(Data!G749="","",IFERROR(VLOOKUP(Data!G749,Codes!$A$18:$B$19,2,FALSE()),"Invalid ("&amp;Data!G749&amp;")"))</f>
        <v>Yes</v>
      </c>
      <c r="H749" s="28" t="str">
        <f aca="false">IF(Data!H749="","",IFERROR(VLOOKUP(Data!H749,Codes!$A$23:$B$25,2,FALSE()),"Invalid ("&amp;Data!H749&amp;")"))</f>
        <v>ST-T wave abnormality</v>
      </c>
      <c r="I749" s="20" t="n">
        <f aca="false">IF(Data!I749="","",Data!I749)</f>
        <v>140</v>
      </c>
      <c r="J749" s="28" t="str">
        <f aca="false">IF(Data!J749="","",IFERROR(VLOOKUP(Data!J749,Codes!$A$29:$B$30,2,FALSE()),"Invalid ("&amp;Data!J749&amp;")"))</f>
        <v>Yes</v>
      </c>
      <c r="K749" s="21" t="n">
        <f aca="false">IF(Data!K749="","",Data!K749)</f>
        <v>0.5</v>
      </c>
      <c r="L749" s="28" t="str">
        <f aca="false">IF(Data!L749="","",IFERROR(VLOOKUP(Data!L749,Codes!$A$34:$B$36,2,FALSE()),"Invalid ("&amp;Data!L749&amp;")"))</f>
        <v>Flat</v>
      </c>
      <c r="M749" s="20" t="str">
        <f aca="false">IF(Data!M749="","",Data!M749)</f>
        <v/>
      </c>
      <c r="N749" s="28" t="str">
        <f aca="false">IF(Data!N749="","",IFERROR(VLOOKUP(Data!N749,Codes!$A$47:$B$49,2,FALSE()),"Invalid ("&amp;Data!N749&amp;")"))</f>
        <v/>
      </c>
      <c r="O749" s="28" t="str">
        <f aca="false">IF(Data!O749="","",IFERROR(VLOOKUP(Data!O749,Codes!$A$53:$B$57,2,FALSE()),"Invalid ("&amp;Data!O749&amp;")"))</f>
        <v>Disease (1)</v>
      </c>
      <c r="P749" s="22" t="str">
        <f aca="false">IF(Data!P749="","",IFERROR(VLOOKUP(Data!P749,Codes!$A$61:$B$64,2,FALSE()),"Invalid ("&amp;Data!P749&amp;")"))</f>
        <v>VA Medical Center, Long Beach</v>
      </c>
    </row>
    <row r="750" customFormat="false" ht="15" hidden="false" customHeight="false" outlineLevel="0" collapsed="false">
      <c r="A750" s="19" t="n">
        <f aca="false">Data!A750</f>
        <v>749</v>
      </c>
      <c r="B750" s="20" t="n">
        <f aca="false">IF(Data!B750="","",Data!B750)</f>
        <v>56</v>
      </c>
      <c r="C750" s="28" t="str">
        <f aca="false">IF(Data!C750="","",IFERROR(VLOOKUP(Data!C750,Codes!$A$6:$B$7,2,FALSE()),"Invalid ("&amp;Data!C750&amp;")"))</f>
        <v>Male</v>
      </c>
      <c r="D750" s="28" t="str">
        <f aca="false">IF(Data!D750="","",IFERROR(VLOOKUP(Data!D750,Codes!$A$11:$B$14,2,FALSE()),"Invalid ("&amp;Data!D750&amp;")"))</f>
        <v>Asymptomatic</v>
      </c>
      <c r="E750" s="20" t="n">
        <f aca="false">IF(Data!E750="","",Data!E750)</f>
        <v>120</v>
      </c>
      <c r="F750" s="20" t="n">
        <f aca="false">IF(Data!F750="","",Data!F750)</f>
        <v>100</v>
      </c>
      <c r="G750" s="28" t="str">
        <f aca="false">IF(Data!G750="","",IFERROR(VLOOKUP(Data!G750,Codes!$A$18:$B$19,2,FALSE()),"Invalid ("&amp;Data!G750&amp;")"))</f>
        <v>No</v>
      </c>
      <c r="H750" s="28" t="str">
        <f aca="false">IF(Data!H750="","",IFERROR(VLOOKUP(Data!H750,Codes!$A$23:$B$25,2,FALSE()),"Invalid ("&amp;Data!H750&amp;")"))</f>
        <v>Normal</v>
      </c>
      <c r="I750" s="20" t="n">
        <f aca="false">IF(Data!I750="","",Data!I750)</f>
        <v>120</v>
      </c>
      <c r="J750" s="28" t="str">
        <f aca="false">IF(Data!J750="","",IFERROR(VLOOKUP(Data!J750,Codes!$A$29:$B$30,2,FALSE()),"Invalid ("&amp;Data!J750&amp;")"))</f>
        <v>Yes</v>
      </c>
      <c r="K750" s="21" t="n">
        <f aca="false">IF(Data!K750="","",Data!K750)</f>
        <v>1.5</v>
      </c>
      <c r="L750" s="28" t="str">
        <f aca="false">IF(Data!L750="","",IFERROR(VLOOKUP(Data!L750,Codes!$A$34:$B$36,2,FALSE()),"Invalid ("&amp;Data!L750&amp;")"))</f>
        <v>Flat</v>
      </c>
      <c r="M750" s="20" t="n">
        <f aca="false">IF(Data!M750="","",Data!M750)</f>
        <v>0</v>
      </c>
      <c r="N750" s="28" t="str">
        <f aca="false">IF(Data!N750="","",IFERROR(VLOOKUP(Data!N750,Codes!$A$47:$B$49,2,FALSE()),"Invalid ("&amp;Data!N750&amp;")"))</f>
        <v>Reversible defect</v>
      </c>
      <c r="O750" s="28" t="str">
        <f aca="false">IF(Data!O750="","",IFERROR(VLOOKUP(Data!O750,Codes!$A$53:$B$57,2,FALSE()),"Invalid ("&amp;Data!O750&amp;")"))</f>
        <v>Disease (1)</v>
      </c>
      <c r="P750" s="22" t="str">
        <f aca="false">IF(Data!P750="","",IFERROR(VLOOKUP(Data!P750,Codes!$A$61:$B$64,2,FALSE()),"Invalid ("&amp;Data!P750&amp;")"))</f>
        <v>VA Medical Center, Long Beach</v>
      </c>
    </row>
    <row r="751" customFormat="false" ht="15" hidden="false" customHeight="false" outlineLevel="0" collapsed="false">
      <c r="A751" s="19" t="n">
        <f aca="false">Data!A751</f>
        <v>750</v>
      </c>
      <c r="B751" s="20" t="n">
        <f aca="false">IF(Data!B751="","",Data!B751)</f>
        <v>55</v>
      </c>
      <c r="C751" s="28" t="str">
        <f aca="false">IF(Data!C751="","",IFERROR(VLOOKUP(Data!C751,Codes!$A$6:$B$7,2,FALSE()),"Invalid ("&amp;Data!C751&amp;")"))</f>
        <v>Male</v>
      </c>
      <c r="D751" s="28" t="str">
        <f aca="false">IF(Data!D751="","",IFERROR(VLOOKUP(Data!D751,Codes!$A$11:$B$14,2,FALSE()),"Invalid ("&amp;Data!D751&amp;")"))</f>
        <v>Non-anginal pain</v>
      </c>
      <c r="E751" s="20" t="str">
        <f aca="false">IF(Data!E751="","",Data!E751)</f>
        <v/>
      </c>
      <c r="F751" s="20" t="n">
        <f aca="false">IF(Data!F751="","",Data!F751)</f>
        <v>228</v>
      </c>
      <c r="G751" s="28" t="str">
        <f aca="false">IF(Data!G751="","",IFERROR(VLOOKUP(Data!G751,Codes!$A$18:$B$19,2,FALSE()),"Invalid ("&amp;Data!G751&amp;")"))</f>
        <v>No</v>
      </c>
      <c r="H751" s="28" t="str">
        <f aca="false">IF(Data!H751="","",IFERROR(VLOOKUP(Data!H751,Codes!$A$23:$B$25,2,FALSE()),"Invalid ("&amp;Data!H751&amp;")"))</f>
        <v>ST-T wave abnormality</v>
      </c>
      <c r="I751" s="20" t="str">
        <f aca="false">IF(Data!I751="","",Data!I751)</f>
        <v/>
      </c>
      <c r="J751" s="28" t="str">
        <f aca="false">IF(Data!J751="","",IFERROR(VLOOKUP(Data!J751,Codes!$A$29:$B$30,2,FALSE()),"Invalid ("&amp;Data!J751&amp;")"))</f>
        <v/>
      </c>
      <c r="K751" s="21" t="str">
        <f aca="false">IF(Data!K751="","",Data!K751)</f>
        <v/>
      </c>
      <c r="L751" s="28" t="str">
        <f aca="false">IF(Data!L751="","",IFERROR(VLOOKUP(Data!L751,Codes!$A$34:$B$36,2,FALSE()),"Invalid ("&amp;Data!L751&amp;")"))</f>
        <v/>
      </c>
      <c r="M751" s="20" t="str">
        <f aca="false">IF(Data!M751="","",Data!M751)</f>
        <v/>
      </c>
      <c r="N751" s="28" t="str">
        <f aca="false">IF(Data!N751="","",IFERROR(VLOOKUP(Data!N751,Codes!$A$47:$B$49,2,FALSE()),"Invalid ("&amp;Data!N751&amp;")"))</f>
        <v/>
      </c>
      <c r="O751" s="28" t="str">
        <f aca="false">IF(Data!O751="","",IFERROR(VLOOKUP(Data!O751,Codes!$A$53:$B$57,2,FALSE()),"Invalid ("&amp;Data!O751&amp;")"))</f>
        <v>Disease (3)</v>
      </c>
      <c r="P751" s="22" t="str">
        <f aca="false">IF(Data!P751="","",IFERROR(VLOOKUP(Data!P751,Codes!$A$61:$B$64,2,FALSE()),"Invalid ("&amp;Data!P751&amp;")"))</f>
        <v>VA Medical Center, Long Beach</v>
      </c>
    </row>
    <row r="752" customFormat="false" ht="15" hidden="false" customHeight="false" outlineLevel="0" collapsed="false">
      <c r="A752" s="19" t="n">
        <f aca="false">Data!A752</f>
        <v>751</v>
      </c>
      <c r="B752" s="20" t="n">
        <f aca="false">IF(Data!B752="","",Data!B752)</f>
        <v>54</v>
      </c>
      <c r="C752" s="28" t="str">
        <f aca="false">IF(Data!C752="","",IFERROR(VLOOKUP(Data!C752,Codes!$A$6:$B$7,2,FALSE()),"Invalid ("&amp;Data!C752&amp;")"))</f>
        <v>Male</v>
      </c>
      <c r="D752" s="28" t="str">
        <f aca="false">IF(Data!D752="","",IFERROR(VLOOKUP(Data!D752,Codes!$A$11:$B$14,2,FALSE()),"Invalid ("&amp;Data!D752&amp;")"))</f>
        <v>Asymptomatic</v>
      </c>
      <c r="E752" s="20" t="str">
        <f aca="false">IF(Data!E752="","",Data!E752)</f>
        <v/>
      </c>
      <c r="F752" s="20" t="n">
        <f aca="false">IF(Data!F752="","",Data!F752)</f>
        <v>0</v>
      </c>
      <c r="G752" s="28" t="str">
        <f aca="false">IF(Data!G752="","",IFERROR(VLOOKUP(Data!G752,Codes!$A$18:$B$19,2,FALSE()),"Invalid ("&amp;Data!G752&amp;")"))</f>
        <v>No</v>
      </c>
      <c r="H752" s="28" t="str">
        <f aca="false">IF(Data!H752="","",IFERROR(VLOOKUP(Data!H752,Codes!$A$23:$B$25,2,FALSE()),"Invalid ("&amp;Data!H752&amp;")"))</f>
        <v>ST-T wave abnormality</v>
      </c>
      <c r="I752" s="20" t="str">
        <f aca="false">IF(Data!I752="","",Data!I752)</f>
        <v/>
      </c>
      <c r="J752" s="28" t="str">
        <f aca="false">IF(Data!J752="","",IFERROR(VLOOKUP(Data!J752,Codes!$A$29:$B$30,2,FALSE()),"Invalid ("&amp;Data!J752&amp;")"))</f>
        <v/>
      </c>
      <c r="K752" s="21" t="str">
        <f aca="false">IF(Data!K752="","",Data!K752)</f>
        <v/>
      </c>
      <c r="L752" s="28" t="str">
        <f aca="false">IF(Data!L752="","",IFERROR(VLOOKUP(Data!L752,Codes!$A$34:$B$36,2,FALSE()),"Invalid ("&amp;Data!L752&amp;")"))</f>
        <v/>
      </c>
      <c r="M752" s="20" t="str">
        <f aca="false">IF(Data!M752="","",Data!M752)</f>
        <v/>
      </c>
      <c r="N752" s="28" t="str">
        <f aca="false">IF(Data!N752="","",IFERROR(VLOOKUP(Data!N752,Codes!$A$47:$B$49,2,FALSE()),"Invalid ("&amp;Data!N752&amp;")"))</f>
        <v/>
      </c>
      <c r="O752" s="28" t="str">
        <f aca="false">IF(Data!O752="","",IFERROR(VLOOKUP(Data!O752,Codes!$A$53:$B$57,2,FALSE()),"Invalid ("&amp;Data!O752&amp;")"))</f>
        <v>Disease (3)</v>
      </c>
      <c r="P752" s="22" t="str">
        <f aca="false">IF(Data!P752="","",IFERROR(VLOOKUP(Data!P752,Codes!$A$61:$B$64,2,FALSE()),"Invalid ("&amp;Data!P752&amp;")"))</f>
        <v>VA Medical Center, Long Beach</v>
      </c>
    </row>
    <row r="753" customFormat="false" ht="15" hidden="false" customHeight="false" outlineLevel="0" collapsed="false">
      <c r="A753" s="19" t="n">
        <f aca="false">Data!A753</f>
        <v>752</v>
      </c>
      <c r="B753" s="20" t="n">
        <f aca="false">IF(Data!B753="","",Data!B753)</f>
        <v>77</v>
      </c>
      <c r="C753" s="28" t="str">
        <f aca="false">IF(Data!C753="","",IFERROR(VLOOKUP(Data!C753,Codes!$A$6:$B$7,2,FALSE()),"Invalid ("&amp;Data!C753&amp;")"))</f>
        <v>Male</v>
      </c>
      <c r="D753" s="28" t="str">
        <f aca="false">IF(Data!D753="","",IFERROR(VLOOKUP(Data!D753,Codes!$A$11:$B$14,2,FALSE()),"Invalid ("&amp;Data!D753&amp;")"))</f>
        <v>Asymptomatic</v>
      </c>
      <c r="E753" s="20" t="n">
        <f aca="false">IF(Data!E753="","",Data!E753)</f>
        <v>124</v>
      </c>
      <c r="F753" s="20" t="n">
        <f aca="false">IF(Data!F753="","",Data!F753)</f>
        <v>171</v>
      </c>
      <c r="G753" s="28" t="str">
        <f aca="false">IF(Data!G753="","",IFERROR(VLOOKUP(Data!G753,Codes!$A$18:$B$19,2,FALSE()),"Invalid ("&amp;Data!G753&amp;")"))</f>
        <v>No</v>
      </c>
      <c r="H753" s="28" t="str">
        <f aca="false">IF(Data!H753="","",IFERROR(VLOOKUP(Data!H753,Codes!$A$23:$B$25,2,FALSE()),"Invalid ("&amp;Data!H753&amp;")"))</f>
        <v>ST-T wave abnormality</v>
      </c>
      <c r="I753" s="20" t="n">
        <f aca="false">IF(Data!I753="","",Data!I753)</f>
        <v>110</v>
      </c>
      <c r="J753" s="28" t="str">
        <f aca="false">IF(Data!J753="","",IFERROR(VLOOKUP(Data!J753,Codes!$A$29:$B$30,2,FALSE()),"Invalid ("&amp;Data!J753&amp;")"))</f>
        <v>Yes</v>
      </c>
      <c r="K753" s="21" t="n">
        <f aca="false">IF(Data!K753="","",Data!K753)</f>
        <v>2</v>
      </c>
      <c r="L753" s="28" t="str">
        <f aca="false">IF(Data!L753="","",IFERROR(VLOOKUP(Data!L753,Codes!$A$34:$B$36,2,FALSE()),"Invalid ("&amp;Data!L753&amp;")"))</f>
        <v>Upsloping</v>
      </c>
      <c r="M753" s="20" t="str">
        <f aca="false">IF(Data!M753="","",Data!M753)</f>
        <v/>
      </c>
      <c r="N753" s="28" t="str">
        <f aca="false">IF(Data!N753="","",IFERROR(VLOOKUP(Data!N753,Codes!$A$47:$B$49,2,FALSE()),"Invalid ("&amp;Data!N753&amp;")"))</f>
        <v/>
      </c>
      <c r="O753" s="28" t="str">
        <f aca="false">IF(Data!O753="","",IFERROR(VLOOKUP(Data!O753,Codes!$A$53:$B$57,2,FALSE()),"Invalid ("&amp;Data!O753&amp;")"))</f>
        <v>Disease (3)</v>
      </c>
      <c r="P753" s="22" t="str">
        <f aca="false">IF(Data!P753="","",IFERROR(VLOOKUP(Data!P753,Codes!$A$61:$B$64,2,FALSE()),"Invalid ("&amp;Data!P753&amp;")"))</f>
        <v>VA Medical Center, Long Beach</v>
      </c>
    </row>
    <row r="754" customFormat="false" ht="15" hidden="false" customHeight="false" outlineLevel="0" collapsed="false">
      <c r="A754" s="19" t="n">
        <f aca="false">Data!A754</f>
        <v>753</v>
      </c>
      <c r="B754" s="20" t="n">
        <f aca="false">IF(Data!B754="","",Data!B754)</f>
        <v>63</v>
      </c>
      <c r="C754" s="28" t="str">
        <f aca="false">IF(Data!C754="","",IFERROR(VLOOKUP(Data!C754,Codes!$A$6:$B$7,2,FALSE()),"Invalid ("&amp;Data!C754&amp;")"))</f>
        <v>Male</v>
      </c>
      <c r="D754" s="28" t="str">
        <f aca="false">IF(Data!D754="","",IFERROR(VLOOKUP(Data!D754,Codes!$A$11:$B$14,2,FALSE()),"Invalid ("&amp;Data!D754&amp;")"))</f>
        <v>Asymptomatic</v>
      </c>
      <c r="E754" s="20" t="n">
        <f aca="false">IF(Data!E754="","",Data!E754)</f>
        <v>160</v>
      </c>
      <c r="F754" s="20" t="n">
        <f aca="false">IF(Data!F754="","",Data!F754)</f>
        <v>230</v>
      </c>
      <c r="G754" s="28" t="str">
        <f aca="false">IF(Data!G754="","",IFERROR(VLOOKUP(Data!G754,Codes!$A$18:$B$19,2,FALSE()),"Invalid ("&amp;Data!G754&amp;")"))</f>
        <v>Yes</v>
      </c>
      <c r="H754" s="28" t="str">
        <f aca="false">IF(Data!H754="","",IFERROR(VLOOKUP(Data!H754,Codes!$A$23:$B$25,2,FALSE()),"Invalid ("&amp;Data!H754&amp;")"))</f>
        <v>Normal</v>
      </c>
      <c r="I754" s="20" t="n">
        <f aca="false">IF(Data!I754="","",Data!I754)</f>
        <v>105</v>
      </c>
      <c r="J754" s="28" t="str">
        <f aca="false">IF(Data!J754="","",IFERROR(VLOOKUP(Data!J754,Codes!$A$29:$B$30,2,FALSE()),"Invalid ("&amp;Data!J754&amp;")"))</f>
        <v>Yes</v>
      </c>
      <c r="K754" s="21" t="n">
        <f aca="false">IF(Data!K754="","",Data!K754)</f>
        <v>1</v>
      </c>
      <c r="L754" s="28" t="str">
        <f aca="false">IF(Data!L754="","",IFERROR(VLOOKUP(Data!L754,Codes!$A$34:$B$36,2,FALSE()),"Invalid ("&amp;Data!L754&amp;")"))</f>
        <v>Flat</v>
      </c>
      <c r="M754" s="20" t="str">
        <f aca="false">IF(Data!M754="","",Data!M754)</f>
        <v/>
      </c>
      <c r="N754" s="28" t="str">
        <f aca="false">IF(Data!N754="","",IFERROR(VLOOKUP(Data!N754,Codes!$A$47:$B$49,2,FALSE()),"Invalid ("&amp;Data!N754&amp;")"))</f>
        <v/>
      </c>
      <c r="O754" s="28" t="str">
        <f aca="false">IF(Data!O754="","",IFERROR(VLOOKUP(Data!O754,Codes!$A$53:$B$57,2,FALSE()),"Invalid ("&amp;Data!O754&amp;")"))</f>
        <v>Disease (3)</v>
      </c>
      <c r="P754" s="22" t="str">
        <f aca="false">IF(Data!P754="","",IFERROR(VLOOKUP(Data!P754,Codes!$A$61:$B$64,2,FALSE()),"Invalid ("&amp;Data!P754&amp;")"))</f>
        <v>VA Medical Center, Long Beach</v>
      </c>
    </row>
    <row r="755" customFormat="false" ht="15" hidden="false" customHeight="false" outlineLevel="0" collapsed="false">
      <c r="A755" s="19" t="n">
        <f aca="false">Data!A755</f>
        <v>754</v>
      </c>
      <c r="B755" s="20" t="n">
        <f aca="false">IF(Data!B755="","",Data!B755)</f>
        <v>55</v>
      </c>
      <c r="C755" s="28" t="str">
        <f aca="false">IF(Data!C755="","",IFERROR(VLOOKUP(Data!C755,Codes!$A$6:$B$7,2,FALSE()),"Invalid ("&amp;Data!C755&amp;")"))</f>
        <v>Male</v>
      </c>
      <c r="D755" s="28" t="str">
        <f aca="false">IF(Data!D755="","",IFERROR(VLOOKUP(Data!D755,Codes!$A$11:$B$14,2,FALSE()),"Invalid ("&amp;Data!D755&amp;")"))</f>
        <v>Non-anginal pain</v>
      </c>
      <c r="E755" s="20" t="n">
        <f aca="false">IF(Data!E755="","",Data!E755)</f>
        <v>0</v>
      </c>
      <c r="F755" s="20" t="n">
        <f aca="false">IF(Data!F755="","",Data!F755)</f>
        <v>0</v>
      </c>
      <c r="G755" s="28" t="str">
        <f aca="false">IF(Data!G755="","",IFERROR(VLOOKUP(Data!G755,Codes!$A$18:$B$19,2,FALSE()),"Invalid ("&amp;Data!G755&amp;")"))</f>
        <v>No</v>
      </c>
      <c r="H755" s="28" t="str">
        <f aca="false">IF(Data!H755="","",IFERROR(VLOOKUP(Data!H755,Codes!$A$23:$B$25,2,FALSE()),"Invalid ("&amp;Data!H755&amp;")"))</f>
        <v>Normal</v>
      </c>
      <c r="I755" s="20" t="n">
        <f aca="false">IF(Data!I755="","",Data!I755)</f>
        <v>155</v>
      </c>
      <c r="J755" s="28" t="str">
        <f aca="false">IF(Data!J755="","",IFERROR(VLOOKUP(Data!J755,Codes!$A$29:$B$30,2,FALSE()),"Invalid ("&amp;Data!J755&amp;")"))</f>
        <v>No</v>
      </c>
      <c r="K755" s="21" t="n">
        <f aca="false">IF(Data!K755="","",Data!K755)</f>
        <v>1.5</v>
      </c>
      <c r="L755" s="28" t="str">
        <f aca="false">IF(Data!L755="","",IFERROR(VLOOKUP(Data!L755,Codes!$A$34:$B$36,2,FALSE()),"Invalid ("&amp;Data!L755&amp;")"))</f>
        <v>Flat</v>
      </c>
      <c r="M755" s="20" t="str">
        <f aca="false">IF(Data!M755="","",Data!M755)</f>
        <v/>
      </c>
      <c r="N755" s="28" t="str">
        <f aca="false">IF(Data!N755="","",IFERROR(VLOOKUP(Data!N755,Codes!$A$47:$B$49,2,FALSE()),"Invalid ("&amp;Data!N755&amp;")"))</f>
        <v/>
      </c>
      <c r="O755" s="28" t="str">
        <f aca="false">IF(Data!O755="","",IFERROR(VLOOKUP(Data!O755,Codes!$A$53:$B$57,2,FALSE()),"Invalid ("&amp;Data!O755&amp;")"))</f>
        <v>Disease (3)</v>
      </c>
      <c r="P755" s="22" t="str">
        <f aca="false">IF(Data!P755="","",IFERROR(VLOOKUP(Data!P755,Codes!$A$61:$B$64,2,FALSE()),"Invalid ("&amp;Data!P755&amp;")"))</f>
        <v>VA Medical Center, Long Beach</v>
      </c>
    </row>
    <row r="756" customFormat="false" ht="15" hidden="false" customHeight="false" outlineLevel="0" collapsed="false">
      <c r="A756" s="19" t="n">
        <f aca="false">Data!A756</f>
        <v>755</v>
      </c>
      <c r="B756" s="20" t="n">
        <f aca="false">IF(Data!B756="","",Data!B756)</f>
        <v>52</v>
      </c>
      <c r="C756" s="28" t="str">
        <f aca="false">IF(Data!C756="","",IFERROR(VLOOKUP(Data!C756,Codes!$A$6:$B$7,2,FALSE()),"Invalid ("&amp;Data!C756&amp;")"))</f>
        <v>Male</v>
      </c>
      <c r="D756" s="28" t="str">
        <f aca="false">IF(Data!D756="","",IFERROR(VLOOKUP(Data!D756,Codes!$A$11:$B$14,2,FALSE()),"Invalid ("&amp;Data!D756&amp;")"))</f>
        <v>Non-anginal pain</v>
      </c>
      <c r="E756" s="20" t="n">
        <f aca="false">IF(Data!E756="","",Data!E756)</f>
        <v>122</v>
      </c>
      <c r="F756" s="20" t="n">
        <f aca="false">IF(Data!F756="","",Data!F756)</f>
        <v>0</v>
      </c>
      <c r="G756" s="28" t="str">
        <f aca="false">IF(Data!G756="","",IFERROR(VLOOKUP(Data!G756,Codes!$A$18:$B$19,2,FALSE()),"Invalid ("&amp;Data!G756&amp;")"))</f>
        <v>No</v>
      </c>
      <c r="H756" s="28" t="str">
        <f aca="false">IF(Data!H756="","",IFERROR(VLOOKUP(Data!H756,Codes!$A$23:$B$25,2,FALSE()),"Invalid ("&amp;Data!H756&amp;")"))</f>
        <v>Normal</v>
      </c>
      <c r="I756" s="20" t="n">
        <f aca="false">IF(Data!I756="","",Data!I756)</f>
        <v>110</v>
      </c>
      <c r="J756" s="28" t="str">
        <f aca="false">IF(Data!J756="","",IFERROR(VLOOKUP(Data!J756,Codes!$A$29:$B$30,2,FALSE()),"Invalid ("&amp;Data!J756&amp;")"))</f>
        <v>Yes</v>
      </c>
      <c r="K756" s="21" t="n">
        <f aca="false">IF(Data!K756="","",Data!K756)</f>
        <v>2</v>
      </c>
      <c r="L756" s="28" t="str">
        <f aca="false">IF(Data!L756="","",IFERROR(VLOOKUP(Data!L756,Codes!$A$34:$B$36,2,FALSE()),"Invalid ("&amp;Data!L756&amp;")"))</f>
        <v>Downsloping</v>
      </c>
      <c r="M756" s="20" t="str">
        <f aca="false">IF(Data!M756="","",Data!M756)</f>
        <v/>
      </c>
      <c r="N756" s="28" t="str">
        <f aca="false">IF(Data!N756="","",IFERROR(VLOOKUP(Data!N756,Codes!$A$47:$B$49,2,FALSE()),"Invalid ("&amp;Data!N756&amp;")"))</f>
        <v/>
      </c>
      <c r="O756" s="28" t="str">
        <f aca="false">IF(Data!O756="","",IFERROR(VLOOKUP(Data!O756,Codes!$A$53:$B$57,2,FALSE()),"Invalid ("&amp;Data!O756&amp;")"))</f>
        <v>Disease (2)</v>
      </c>
      <c r="P756" s="22" t="str">
        <f aca="false">IF(Data!P756="","",IFERROR(VLOOKUP(Data!P756,Codes!$A$61:$B$64,2,FALSE()),"Invalid ("&amp;Data!P756&amp;")"))</f>
        <v>VA Medical Center, Long Beach</v>
      </c>
    </row>
    <row r="757" customFormat="false" ht="15" hidden="false" customHeight="false" outlineLevel="0" collapsed="false">
      <c r="A757" s="19" t="n">
        <f aca="false">Data!A757</f>
        <v>756</v>
      </c>
      <c r="B757" s="20" t="n">
        <f aca="false">IF(Data!B757="","",Data!B757)</f>
        <v>64</v>
      </c>
      <c r="C757" s="28" t="str">
        <f aca="false">IF(Data!C757="","",IFERROR(VLOOKUP(Data!C757,Codes!$A$6:$B$7,2,FALSE()),"Invalid ("&amp;Data!C757&amp;")"))</f>
        <v>Male</v>
      </c>
      <c r="D757" s="28" t="str">
        <f aca="false">IF(Data!D757="","",IFERROR(VLOOKUP(Data!D757,Codes!$A$11:$B$14,2,FALSE()),"Invalid ("&amp;Data!D757&amp;")"))</f>
        <v>Asymptomatic</v>
      </c>
      <c r="E757" s="20" t="n">
        <f aca="false">IF(Data!E757="","",Data!E757)</f>
        <v>144</v>
      </c>
      <c r="F757" s="20" t="n">
        <f aca="false">IF(Data!F757="","",Data!F757)</f>
        <v>0</v>
      </c>
      <c r="G757" s="28" t="str">
        <f aca="false">IF(Data!G757="","",IFERROR(VLOOKUP(Data!G757,Codes!$A$18:$B$19,2,FALSE()),"Invalid ("&amp;Data!G757&amp;")"))</f>
        <v>No</v>
      </c>
      <c r="H757" s="28" t="str">
        <f aca="false">IF(Data!H757="","",IFERROR(VLOOKUP(Data!H757,Codes!$A$23:$B$25,2,FALSE()),"Invalid ("&amp;Data!H757&amp;")"))</f>
        <v>ST-T wave abnormality</v>
      </c>
      <c r="I757" s="20" t="n">
        <f aca="false">IF(Data!I757="","",Data!I757)</f>
        <v>122</v>
      </c>
      <c r="J757" s="28" t="str">
        <f aca="false">IF(Data!J757="","",IFERROR(VLOOKUP(Data!J757,Codes!$A$29:$B$30,2,FALSE()),"Invalid ("&amp;Data!J757&amp;")"))</f>
        <v>Yes</v>
      </c>
      <c r="K757" s="21" t="n">
        <f aca="false">IF(Data!K757="","",Data!K757)</f>
        <v>1</v>
      </c>
      <c r="L757" s="28" t="str">
        <f aca="false">IF(Data!L757="","",IFERROR(VLOOKUP(Data!L757,Codes!$A$34:$B$36,2,FALSE()),"Invalid ("&amp;Data!L757&amp;")"))</f>
        <v>Flat</v>
      </c>
      <c r="M757" s="20" t="str">
        <f aca="false">IF(Data!M757="","",Data!M757)</f>
        <v/>
      </c>
      <c r="N757" s="28" t="str">
        <f aca="false">IF(Data!N757="","",IFERROR(VLOOKUP(Data!N757,Codes!$A$47:$B$49,2,FALSE()),"Invalid ("&amp;Data!N757&amp;")"))</f>
        <v/>
      </c>
      <c r="O757" s="28" t="str">
        <f aca="false">IF(Data!O757="","",IFERROR(VLOOKUP(Data!O757,Codes!$A$53:$B$57,2,FALSE()),"Invalid ("&amp;Data!O757&amp;")"))</f>
        <v>Disease (3)</v>
      </c>
      <c r="P757" s="22" t="str">
        <f aca="false">IF(Data!P757="","",IFERROR(VLOOKUP(Data!P757,Codes!$A$61:$B$64,2,FALSE()),"Invalid ("&amp;Data!P757&amp;")"))</f>
        <v>VA Medical Center, Long Beach</v>
      </c>
    </row>
    <row r="758" customFormat="false" ht="15" hidden="false" customHeight="false" outlineLevel="0" collapsed="false">
      <c r="A758" s="19" t="n">
        <f aca="false">Data!A758</f>
        <v>757</v>
      </c>
      <c r="B758" s="20" t="n">
        <f aca="false">IF(Data!B758="","",Data!B758)</f>
        <v>60</v>
      </c>
      <c r="C758" s="28" t="str">
        <f aca="false">IF(Data!C758="","",IFERROR(VLOOKUP(Data!C758,Codes!$A$6:$B$7,2,FALSE()),"Invalid ("&amp;Data!C758&amp;")"))</f>
        <v>Male</v>
      </c>
      <c r="D758" s="28" t="str">
        <f aca="false">IF(Data!D758="","",IFERROR(VLOOKUP(Data!D758,Codes!$A$11:$B$14,2,FALSE()),"Invalid ("&amp;Data!D758&amp;")"))</f>
        <v>Asymptomatic</v>
      </c>
      <c r="E758" s="20" t="str">
        <f aca="false">IF(Data!E758="","",Data!E758)</f>
        <v/>
      </c>
      <c r="F758" s="20" t="n">
        <f aca="false">IF(Data!F758="","",Data!F758)</f>
        <v>281</v>
      </c>
      <c r="G758" s="28" t="str">
        <f aca="false">IF(Data!G758="","",IFERROR(VLOOKUP(Data!G758,Codes!$A$18:$B$19,2,FALSE()),"Invalid ("&amp;Data!G758&amp;")"))</f>
        <v>No</v>
      </c>
      <c r="H758" s="28" t="str">
        <f aca="false">IF(Data!H758="","",IFERROR(VLOOKUP(Data!H758,Codes!$A$23:$B$25,2,FALSE()),"Invalid ("&amp;Data!H758&amp;")"))</f>
        <v>ST-T wave abnormality</v>
      </c>
      <c r="I758" s="20" t="str">
        <f aca="false">IF(Data!I758="","",Data!I758)</f>
        <v/>
      </c>
      <c r="J758" s="28" t="str">
        <f aca="false">IF(Data!J758="","",IFERROR(VLOOKUP(Data!J758,Codes!$A$29:$B$30,2,FALSE()),"Invalid ("&amp;Data!J758&amp;")"))</f>
        <v/>
      </c>
      <c r="K758" s="21" t="str">
        <f aca="false">IF(Data!K758="","",Data!K758)</f>
        <v/>
      </c>
      <c r="L758" s="28" t="str">
        <f aca="false">IF(Data!L758="","",IFERROR(VLOOKUP(Data!L758,Codes!$A$34:$B$36,2,FALSE()),"Invalid ("&amp;Data!L758&amp;")"))</f>
        <v/>
      </c>
      <c r="M758" s="20" t="str">
        <f aca="false">IF(Data!M758="","",Data!M758)</f>
        <v/>
      </c>
      <c r="N758" s="28" t="str">
        <f aca="false">IF(Data!N758="","",IFERROR(VLOOKUP(Data!N758,Codes!$A$47:$B$49,2,FALSE()),"Invalid ("&amp;Data!N758&amp;")"))</f>
        <v/>
      </c>
      <c r="O758" s="28" t="str">
        <f aca="false">IF(Data!O758="","",IFERROR(VLOOKUP(Data!O758,Codes!$A$53:$B$57,2,FALSE()),"Invalid ("&amp;Data!O758&amp;")"))</f>
        <v>Disease (2)</v>
      </c>
      <c r="P758" s="22" t="str">
        <f aca="false">IF(Data!P758="","",IFERROR(VLOOKUP(Data!P758,Codes!$A$61:$B$64,2,FALSE()),"Invalid ("&amp;Data!P758&amp;")"))</f>
        <v>VA Medical Center, Long Beach</v>
      </c>
    </row>
    <row r="759" customFormat="false" ht="15" hidden="false" customHeight="false" outlineLevel="0" collapsed="false">
      <c r="A759" s="19" t="n">
        <f aca="false">Data!A759</f>
        <v>758</v>
      </c>
      <c r="B759" s="20" t="n">
        <f aca="false">IF(Data!B759="","",Data!B759)</f>
        <v>60</v>
      </c>
      <c r="C759" s="28" t="str">
        <f aca="false">IF(Data!C759="","",IFERROR(VLOOKUP(Data!C759,Codes!$A$6:$B$7,2,FALSE()),"Invalid ("&amp;Data!C759&amp;")"))</f>
        <v>Male</v>
      </c>
      <c r="D759" s="28" t="str">
        <f aca="false">IF(Data!D759="","",IFERROR(VLOOKUP(Data!D759,Codes!$A$11:$B$14,2,FALSE()),"Invalid ("&amp;Data!D759&amp;")"))</f>
        <v>Asymptomatic</v>
      </c>
      <c r="E759" s="20" t="n">
        <f aca="false">IF(Data!E759="","",Data!E759)</f>
        <v>120</v>
      </c>
      <c r="F759" s="20" t="n">
        <f aca="false">IF(Data!F759="","",Data!F759)</f>
        <v>0</v>
      </c>
      <c r="G759" s="28" t="str">
        <f aca="false">IF(Data!G759="","",IFERROR(VLOOKUP(Data!G759,Codes!$A$18:$B$19,2,FALSE()),"Invalid ("&amp;Data!G759&amp;")"))</f>
        <v>No</v>
      </c>
      <c r="H759" s="28" t="str">
        <f aca="false">IF(Data!H759="","",IFERROR(VLOOKUP(Data!H759,Codes!$A$23:$B$25,2,FALSE()),"Invalid ("&amp;Data!H759&amp;")"))</f>
        <v>Normal</v>
      </c>
      <c r="I759" s="20" t="n">
        <f aca="false">IF(Data!I759="","",Data!I759)</f>
        <v>133</v>
      </c>
      <c r="J759" s="28" t="str">
        <f aca="false">IF(Data!J759="","",IFERROR(VLOOKUP(Data!J759,Codes!$A$29:$B$30,2,FALSE()),"Invalid ("&amp;Data!J759&amp;")"))</f>
        <v>Yes</v>
      </c>
      <c r="K759" s="21" t="n">
        <f aca="false">IF(Data!K759="","",Data!K759)</f>
        <v>2</v>
      </c>
      <c r="L759" s="28" t="str">
        <f aca="false">IF(Data!L759="","",IFERROR(VLOOKUP(Data!L759,Codes!$A$34:$B$36,2,FALSE()),"Invalid ("&amp;Data!L759&amp;")"))</f>
        <v>Upsloping</v>
      </c>
      <c r="M759" s="20" t="str">
        <f aca="false">IF(Data!M759="","",Data!M759)</f>
        <v/>
      </c>
      <c r="N759" s="28" t="str">
        <f aca="false">IF(Data!N759="","",IFERROR(VLOOKUP(Data!N759,Codes!$A$47:$B$49,2,FALSE()),"Invalid ("&amp;Data!N759&amp;")"))</f>
        <v>Reversible defect</v>
      </c>
      <c r="O759" s="28" t="str">
        <f aca="false">IF(Data!O759="","",IFERROR(VLOOKUP(Data!O759,Codes!$A$53:$B$57,2,FALSE()),"Invalid ("&amp;Data!O759&amp;")"))</f>
        <v>No disease</v>
      </c>
      <c r="P759" s="22" t="str">
        <f aca="false">IF(Data!P759="","",IFERROR(VLOOKUP(Data!P759,Codes!$A$61:$B$64,2,FALSE()),"Invalid ("&amp;Data!P759&amp;")"))</f>
        <v>VA Medical Center, Long Beach</v>
      </c>
    </row>
    <row r="760" customFormat="false" ht="15" hidden="false" customHeight="false" outlineLevel="0" collapsed="false">
      <c r="A760" s="19" t="n">
        <f aca="false">Data!A760</f>
        <v>759</v>
      </c>
      <c r="B760" s="20" t="n">
        <f aca="false">IF(Data!B760="","",Data!B760)</f>
        <v>58</v>
      </c>
      <c r="C760" s="28" t="str">
        <f aca="false">IF(Data!C760="","",IFERROR(VLOOKUP(Data!C760,Codes!$A$6:$B$7,2,FALSE()),"Invalid ("&amp;Data!C760&amp;")"))</f>
        <v>Male</v>
      </c>
      <c r="D760" s="28" t="str">
        <f aca="false">IF(Data!D760="","",IFERROR(VLOOKUP(Data!D760,Codes!$A$11:$B$14,2,FALSE()),"Invalid ("&amp;Data!D760&amp;")"))</f>
        <v>Asymptomatic</v>
      </c>
      <c r="E760" s="20" t="str">
        <f aca="false">IF(Data!E760="","",Data!E760)</f>
        <v/>
      </c>
      <c r="F760" s="20" t="n">
        <f aca="false">IF(Data!F760="","",Data!F760)</f>
        <v>203</v>
      </c>
      <c r="G760" s="28" t="str">
        <f aca="false">IF(Data!G760="","",IFERROR(VLOOKUP(Data!G760,Codes!$A$18:$B$19,2,FALSE()),"Invalid ("&amp;Data!G760&amp;")"))</f>
        <v>Yes</v>
      </c>
      <c r="H760" s="28" t="str">
        <f aca="false">IF(Data!H760="","",IFERROR(VLOOKUP(Data!H760,Codes!$A$23:$B$25,2,FALSE()),"Invalid ("&amp;Data!H760&amp;")"))</f>
        <v>Normal</v>
      </c>
      <c r="I760" s="20" t="str">
        <f aca="false">IF(Data!I760="","",Data!I760)</f>
        <v/>
      </c>
      <c r="J760" s="28" t="str">
        <f aca="false">IF(Data!J760="","",IFERROR(VLOOKUP(Data!J760,Codes!$A$29:$B$30,2,FALSE()),"Invalid ("&amp;Data!J760&amp;")"))</f>
        <v/>
      </c>
      <c r="K760" s="21" t="str">
        <f aca="false">IF(Data!K760="","",Data!K760)</f>
        <v/>
      </c>
      <c r="L760" s="28" t="str">
        <f aca="false">IF(Data!L760="","",IFERROR(VLOOKUP(Data!L760,Codes!$A$34:$B$36,2,FALSE()),"Invalid ("&amp;Data!L760&amp;")"))</f>
        <v/>
      </c>
      <c r="M760" s="20" t="str">
        <f aca="false">IF(Data!M760="","",Data!M760)</f>
        <v/>
      </c>
      <c r="N760" s="28" t="str">
        <f aca="false">IF(Data!N760="","",IFERROR(VLOOKUP(Data!N760,Codes!$A$47:$B$49,2,FALSE()),"Invalid ("&amp;Data!N760&amp;")"))</f>
        <v/>
      </c>
      <c r="O760" s="28" t="str">
        <f aca="false">IF(Data!O760="","",IFERROR(VLOOKUP(Data!O760,Codes!$A$53:$B$57,2,FALSE()),"Invalid ("&amp;Data!O760&amp;")"))</f>
        <v>Disease (1)</v>
      </c>
      <c r="P760" s="22" t="str">
        <f aca="false">IF(Data!P760="","",IFERROR(VLOOKUP(Data!P760,Codes!$A$61:$B$64,2,FALSE()),"Invalid ("&amp;Data!P760&amp;")"))</f>
        <v>VA Medical Center, Long Beach</v>
      </c>
    </row>
    <row r="761" customFormat="false" ht="15" hidden="false" customHeight="false" outlineLevel="0" collapsed="false">
      <c r="A761" s="19" t="n">
        <f aca="false">Data!A761</f>
        <v>760</v>
      </c>
      <c r="B761" s="20" t="n">
        <f aca="false">IF(Data!B761="","",Data!B761)</f>
        <v>59</v>
      </c>
      <c r="C761" s="28" t="str">
        <f aca="false">IF(Data!C761="","",IFERROR(VLOOKUP(Data!C761,Codes!$A$6:$B$7,2,FALSE()),"Invalid ("&amp;Data!C761&amp;")"))</f>
        <v>Male</v>
      </c>
      <c r="D761" s="28" t="str">
        <f aca="false">IF(Data!D761="","",IFERROR(VLOOKUP(Data!D761,Codes!$A$11:$B$14,2,FALSE()),"Invalid ("&amp;Data!D761&amp;")"))</f>
        <v>Asymptomatic</v>
      </c>
      <c r="E761" s="20" t="n">
        <f aca="false">IF(Data!E761="","",Data!E761)</f>
        <v>154</v>
      </c>
      <c r="F761" s="20" t="n">
        <f aca="false">IF(Data!F761="","",Data!F761)</f>
        <v>0</v>
      </c>
      <c r="G761" s="28" t="str">
        <f aca="false">IF(Data!G761="","",IFERROR(VLOOKUP(Data!G761,Codes!$A$18:$B$19,2,FALSE()),"Invalid ("&amp;Data!G761&amp;")"))</f>
        <v>No</v>
      </c>
      <c r="H761" s="28" t="str">
        <f aca="false">IF(Data!H761="","",IFERROR(VLOOKUP(Data!H761,Codes!$A$23:$B$25,2,FALSE()),"Invalid ("&amp;Data!H761&amp;")"))</f>
        <v>ST-T wave abnormality</v>
      </c>
      <c r="I761" s="20" t="n">
        <f aca="false">IF(Data!I761="","",Data!I761)</f>
        <v>131</v>
      </c>
      <c r="J761" s="28" t="str">
        <f aca="false">IF(Data!J761="","",IFERROR(VLOOKUP(Data!J761,Codes!$A$29:$B$30,2,FALSE()),"Invalid ("&amp;Data!J761&amp;")"))</f>
        <v>Yes</v>
      </c>
      <c r="K761" s="21" t="n">
        <f aca="false">IF(Data!K761="","",Data!K761)</f>
        <v>1.5</v>
      </c>
      <c r="L761" s="28" t="str">
        <f aca="false">IF(Data!L761="","",IFERROR(VLOOKUP(Data!L761,Codes!$A$34:$B$36,2,FALSE()),"Invalid ("&amp;Data!L761&amp;")"))</f>
        <v/>
      </c>
      <c r="M761" s="20" t="n">
        <f aca="false">IF(Data!M761="","",Data!M761)</f>
        <v>0</v>
      </c>
      <c r="N761" s="28" t="str">
        <f aca="false">IF(Data!N761="","",IFERROR(VLOOKUP(Data!N761,Codes!$A$47:$B$49,2,FALSE()),"Invalid ("&amp;Data!N761&amp;")"))</f>
        <v/>
      </c>
      <c r="O761" s="28" t="str">
        <f aca="false">IF(Data!O761="","",IFERROR(VLOOKUP(Data!O761,Codes!$A$53:$B$57,2,FALSE()),"Invalid ("&amp;Data!O761&amp;")"))</f>
        <v>No disease</v>
      </c>
      <c r="P761" s="22" t="str">
        <f aca="false">IF(Data!P761="","",IFERROR(VLOOKUP(Data!P761,Codes!$A$61:$B$64,2,FALSE()),"Invalid ("&amp;Data!P761&amp;")"))</f>
        <v>VA Medical Center, Long Beach</v>
      </c>
    </row>
    <row r="762" customFormat="false" ht="15" hidden="false" customHeight="false" outlineLevel="0" collapsed="false">
      <c r="A762" s="19" t="n">
        <f aca="false">Data!A762</f>
        <v>761</v>
      </c>
      <c r="B762" s="20" t="n">
        <f aca="false">IF(Data!B762="","",Data!B762)</f>
        <v>61</v>
      </c>
      <c r="C762" s="28" t="str">
        <f aca="false">IF(Data!C762="","",IFERROR(VLOOKUP(Data!C762,Codes!$A$6:$B$7,2,FALSE()),"Invalid ("&amp;Data!C762&amp;")"))</f>
        <v>Male</v>
      </c>
      <c r="D762" s="28" t="str">
        <f aca="false">IF(Data!D762="","",IFERROR(VLOOKUP(Data!D762,Codes!$A$11:$B$14,2,FALSE()),"Invalid ("&amp;Data!D762&amp;")"))</f>
        <v>Non-anginal pain</v>
      </c>
      <c r="E762" s="20" t="n">
        <f aca="false">IF(Data!E762="","",Data!E762)</f>
        <v>120</v>
      </c>
      <c r="F762" s="20" t="n">
        <f aca="false">IF(Data!F762="","",Data!F762)</f>
        <v>0</v>
      </c>
      <c r="G762" s="28" t="str">
        <f aca="false">IF(Data!G762="","",IFERROR(VLOOKUP(Data!G762,Codes!$A$18:$B$19,2,FALSE()),"Invalid ("&amp;Data!G762&amp;")"))</f>
        <v>No</v>
      </c>
      <c r="H762" s="28" t="str">
        <f aca="false">IF(Data!H762="","",IFERROR(VLOOKUP(Data!H762,Codes!$A$23:$B$25,2,FALSE()),"Invalid ("&amp;Data!H762&amp;")"))</f>
        <v>Normal</v>
      </c>
      <c r="I762" s="20" t="n">
        <f aca="false">IF(Data!I762="","",Data!I762)</f>
        <v>80</v>
      </c>
      <c r="J762" s="28" t="str">
        <f aca="false">IF(Data!J762="","",IFERROR(VLOOKUP(Data!J762,Codes!$A$29:$B$30,2,FALSE()),"Invalid ("&amp;Data!J762&amp;")"))</f>
        <v>Yes</v>
      </c>
      <c r="K762" s="21" t="n">
        <f aca="false">IF(Data!K762="","",Data!K762)</f>
        <v>0</v>
      </c>
      <c r="L762" s="28" t="str">
        <f aca="false">IF(Data!L762="","",IFERROR(VLOOKUP(Data!L762,Codes!$A$34:$B$36,2,FALSE()),"Invalid ("&amp;Data!L762&amp;")"))</f>
        <v>Flat</v>
      </c>
      <c r="M762" s="20" t="str">
        <f aca="false">IF(Data!M762="","",Data!M762)</f>
        <v/>
      </c>
      <c r="N762" s="28" t="str">
        <f aca="false">IF(Data!N762="","",IFERROR(VLOOKUP(Data!N762,Codes!$A$47:$B$49,2,FALSE()),"Invalid ("&amp;Data!N762&amp;")"))</f>
        <v/>
      </c>
      <c r="O762" s="28" t="str">
        <f aca="false">IF(Data!O762="","",IFERROR(VLOOKUP(Data!O762,Codes!$A$53:$B$57,2,FALSE()),"Invalid ("&amp;Data!O762&amp;")"))</f>
        <v>Disease (3)</v>
      </c>
      <c r="P762" s="22" t="str">
        <f aca="false">IF(Data!P762="","",IFERROR(VLOOKUP(Data!P762,Codes!$A$61:$B$64,2,FALSE()),"Invalid ("&amp;Data!P762&amp;")"))</f>
        <v>VA Medical Center, Long Beach</v>
      </c>
    </row>
    <row r="763" customFormat="false" ht="15" hidden="false" customHeight="false" outlineLevel="0" collapsed="false">
      <c r="A763" s="19" t="n">
        <f aca="false">Data!A763</f>
        <v>762</v>
      </c>
      <c r="B763" s="20" t="n">
        <f aca="false">IF(Data!B763="","",Data!B763)</f>
        <v>40</v>
      </c>
      <c r="C763" s="28" t="str">
        <f aca="false">IF(Data!C763="","",IFERROR(VLOOKUP(Data!C763,Codes!$A$6:$B$7,2,FALSE()),"Invalid ("&amp;Data!C763&amp;")"))</f>
        <v>Male</v>
      </c>
      <c r="D763" s="28" t="str">
        <f aca="false">IF(Data!D763="","",IFERROR(VLOOKUP(Data!D763,Codes!$A$11:$B$14,2,FALSE()),"Invalid ("&amp;Data!D763&amp;")"))</f>
        <v>Asymptomatic</v>
      </c>
      <c r="E763" s="20" t="n">
        <f aca="false">IF(Data!E763="","",Data!E763)</f>
        <v>125</v>
      </c>
      <c r="F763" s="20" t="n">
        <f aca="false">IF(Data!F763="","",Data!F763)</f>
        <v>0</v>
      </c>
      <c r="G763" s="28" t="str">
        <f aca="false">IF(Data!G763="","",IFERROR(VLOOKUP(Data!G763,Codes!$A$18:$B$19,2,FALSE()),"Invalid ("&amp;Data!G763&amp;")"))</f>
        <v>Yes</v>
      </c>
      <c r="H763" s="28" t="str">
        <f aca="false">IF(Data!H763="","",IFERROR(VLOOKUP(Data!H763,Codes!$A$23:$B$25,2,FALSE()),"Invalid ("&amp;Data!H763&amp;")"))</f>
        <v>Normal</v>
      </c>
      <c r="I763" s="20" t="n">
        <f aca="false">IF(Data!I763="","",Data!I763)</f>
        <v>165</v>
      </c>
      <c r="J763" s="28" t="str">
        <f aca="false">IF(Data!J763="","",IFERROR(VLOOKUP(Data!J763,Codes!$A$29:$B$30,2,FALSE()),"Invalid ("&amp;Data!J763&amp;")"))</f>
        <v>No</v>
      </c>
      <c r="K763" s="21" t="n">
        <f aca="false">IF(Data!K763="","",Data!K763)</f>
        <v>0</v>
      </c>
      <c r="L763" s="28" t="str">
        <f aca="false">IF(Data!L763="","",IFERROR(VLOOKUP(Data!L763,Codes!$A$34:$B$36,2,FALSE()),"Invalid ("&amp;Data!L763&amp;")"))</f>
        <v/>
      </c>
      <c r="M763" s="20" t="str">
        <f aca="false">IF(Data!M763="","",Data!M763)</f>
        <v/>
      </c>
      <c r="N763" s="28" t="str">
        <f aca="false">IF(Data!N763="","",IFERROR(VLOOKUP(Data!N763,Codes!$A$47:$B$49,2,FALSE()),"Invalid ("&amp;Data!N763&amp;")"))</f>
        <v>Reversible defect</v>
      </c>
      <c r="O763" s="28" t="str">
        <f aca="false">IF(Data!O763="","",IFERROR(VLOOKUP(Data!O763,Codes!$A$53:$B$57,2,FALSE()),"Invalid ("&amp;Data!O763&amp;")"))</f>
        <v>Disease (1)</v>
      </c>
      <c r="P763" s="22" t="str">
        <f aca="false">IF(Data!P763="","",IFERROR(VLOOKUP(Data!P763,Codes!$A$61:$B$64,2,FALSE()),"Invalid ("&amp;Data!P763&amp;")"))</f>
        <v>VA Medical Center, Long Beach</v>
      </c>
    </row>
    <row r="764" customFormat="false" ht="15" hidden="false" customHeight="false" outlineLevel="0" collapsed="false">
      <c r="A764" s="19" t="n">
        <f aca="false">Data!A764</f>
        <v>763</v>
      </c>
      <c r="B764" s="20" t="n">
        <f aca="false">IF(Data!B764="","",Data!B764)</f>
        <v>61</v>
      </c>
      <c r="C764" s="28" t="str">
        <f aca="false">IF(Data!C764="","",IFERROR(VLOOKUP(Data!C764,Codes!$A$6:$B$7,2,FALSE()),"Invalid ("&amp;Data!C764&amp;")"))</f>
        <v>Male</v>
      </c>
      <c r="D764" s="28" t="str">
        <f aca="false">IF(Data!D764="","",IFERROR(VLOOKUP(Data!D764,Codes!$A$11:$B$14,2,FALSE()),"Invalid ("&amp;Data!D764&amp;")"))</f>
        <v>Asymptomatic</v>
      </c>
      <c r="E764" s="20" t="str">
        <f aca="false">IF(Data!E764="","",Data!E764)</f>
        <v/>
      </c>
      <c r="F764" s="20" t="n">
        <f aca="false">IF(Data!F764="","",Data!F764)</f>
        <v>0</v>
      </c>
      <c r="G764" s="28" t="str">
        <f aca="false">IF(Data!G764="","",IFERROR(VLOOKUP(Data!G764,Codes!$A$18:$B$19,2,FALSE()),"Invalid ("&amp;Data!G764&amp;")"))</f>
        <v>Yes</v>
      </c>
      <c r="H764" s="28" t="str">
        <f aca="false">IF(Data!H764="","",IFERROR(VLOOKUP(Data!H764,Codes!$A$23:$B$25,2,FALSE()),"Invalid ("&amp;Data!H764&amp;")"))</f>
        <v>ST-T wave abnormality</v>
      </c>
      <c r="I764" s="20" t="n">
        <f aca="false">IF(Data!I764="","",Data!I764)</f>
        <v>86</v>
      </c>
      <c r="J764" s="28" t="str">
        <f aca="false">IF(Data!J764="","",IFERROR(VLOOKUP(Data!J764,Codes!$A$29:$B$30,2,FALSE()),"Invalid ("&amp;Data!J764&amp;")"))</f>
        <v>No</v>
      </c>
      <c r="K764" s="21" t="n">
        <f aca="false">IF(Data!K764="","",Data!K764)</f>
        <v>1.5</v>
      </c>
      <c r="L764" s="28" t="str">
        <f aca="false">IF(Data!L764="","",IFERROR(VLOOKUP(Data!L764,Codes!$A$34:$B$36,2,FALSE()),"Invalid ("&amp;Data!L764&amp;")"))</f>
        <v>Flat</v>
      </c>
      <c r="M764" s="20" t="str">
        <f aca="false">IF(Data!M764="","",Data!M764)</f>
        <v/>
      </c>
      <c r="N764" s="28" t="str">
        <f aca="false">IF(Data!N764="","",IFERROR(VLOOKUP(Data!N764,Codes!$A$47:$B$49,2,FALSE()),"Invalid ("&amp;Data!N764&amp;")"))</f>
        <v>Reversible defect</v>
      </c>
      <c r="O764" s="28" t="str">
        <f aca="false">IF(Data!O764="","",IFERROR(VLOOKUP(Data!O764,Codes!$A$53:$B$57,2,FALSE()),"Invalid ("&amp;Data!O764&amp;")"))</f>
        <v>Disease (3)</v>
      </c>
      <c r="P764" s="22" t="str">
        <f aca="false">IF(Data!P764="","",IFERROR(VLOOKUP(Data!P764,Codes!$A$61:$B$64,2,FALSE()),"Invalid ("&amp;Data!P764&amp;")"))</f>
        <v>VA Medical Center, Long Beach</v>
      </c>
    </row>
    <row r="765" customFormat="false" ht="15" hidden="false" customHeight="false" outlineLevel="0" collapsed="false">
      <c r="A765" s="19" t="n">
        <f aca="false">Data!A765</f>
        <v>764</v>
      </c>
      <c r="B765" s="20" t="n">
        <f aca="false">IF(Data!B765="","",Data!B765)</f>
        <v>41</v>
      </c>
      <c r="C765" s="28" t="str">
        <f aca="false">IF(Data!C765="","",IFERROR(VLOOKUP(Data!C765,Codes!$A$6:$B$7,2,FALSE()),"Invalid ("&amp;Data!C765&amp;")"))</f>
        <v>Male</v>
      </c>
      <c r="D765" s="28" t="str">
        <f aca="false">IF(Data!D765="","",IFERROR(VLOOKUP(Data!D765,Codes!$A$11:$B$14,2,FALSE()),"Invalid ("&amp;Data!D765&amp;")"))</f>
        <v>Asymptomatic</v>
      </c>
      <c r="E765" s="20" t="n">
        <f aca="false">IF(Data!E765="","",Data!E765)</f>
        <v>104</v>
      </c>
      <c r="F765" s="20" t="n">
        <f aca="false">IF(Data!F765="","",Data!F765)</f>
        <v>0</v>
      </c>
      <c r="G765" s="28" t="str">
        <f aca="false">IF(Data!G765="","",IFERROR(VLOOKUP(Data!G765,Codes!$A$18:$B$19,2,FALSE()),"Invalid ("&amp;Data!G765&amp;")"))</f>
        <v>No</v>
      </c>
      <c r="H765" s="28" t="str">
        <f aca="false">IF(Data!H765="","",IFERROR(VLOOKUP(Data!H765,Codes!$A$23:$B$25,2,FALSE()),"Invalid ("&amp;Data!H765&amp;")"))</f>
        <v>ST-T wave abnormality</v>
      </c>
      <c r="I765" s="20" t="n">
        <f aca="false">IF(Data!I765="","",Data!I765)</f>
        <v>111</v>
      </c>
      <c r="J765" s="28" t="str">
        <f aca="false">IF(Data!J765="","",IFERROR(VLOOKUP(Data!J765,Codes!$A$29:$B$30,2,FALSE()),"Invalid ("&amp;Data!J765&amp;")"))</f>
        <v>No</v>
      </c>
      <c r="K765" s="21" t="n">
        <f aca="false">IF(Data!K765="","",Data!K765)</f>
        <v>0</v>
      </c>
      <c r="L765" s="28" t="str">
        <f aca="false">IF(Data!L765="","",IFERROR(VLOOKUP(Data!L765,Codes!$A$34:$B$36,2,FALSE()),"Invalid ("&amp;Data!L765&amp;")"))</f>
        <v/>
      </c>
      <c r="M765" s="20" t="str">
        <f aca="false">IF(Data!M765="","",Data!M765)</f>
        <v/>
      </c>
      <c r="N765" s="28" t="str">
        <f aca="false">IF(Data!N765="","",IFERROR(VLOOKUP(Data!N765,Codes!$A$47:$B$49,2,FALSE()),"Invalid ("&amp;Data!N765&amp;")"))</f>
        <v/>
      </c>
      <c r="O765" s="28" t="str">
        <f aca="false">IF(Data!O765="","",IFERROR(VLOOKUP(Data!O765,Codes!$A$53:$B$57,2,FALSE()),"Invalid ("&amp;Data!O765&amp;")"))</f>
        <v>No disease</v>
      </c>
      <c r="P765" s="22" t="str">
        <f aca="false">IF(Data!P765="","",IFERROR(VLOOKUP(Data!P765,Codes!$A$61:$B$64,2,FALSE()),"Invalid ("&amp;Data!P765&amp;")"))</f>
        <v>VA Medical Center, Long Beach</v>
      </c>
    </row>
    <row r="766" customFormat="false" ht="15" hidden="false" customHeight="false" outlineLevel="0" collapsed="false">
      <c r="A766" s="19" t="n">
        <f aca="false">Data!A766</f>
        <v>765</v>
      </c>
      <c r="B766" s="20" t="n">
        <f aca="false">IF(Data!B766="","",Data!B766)</f>
        <v>57</v>
      </c>
      <c r="C766" s="28" t="str">
        <f aca="false">IF(Data!C766="","",IFERROR(VLOOKUP(Data!C766,Codes!$A$6:$B$7,2,FALSE()),"Invalid ("&amp;Data!C766&amp;")"))</f>
        <v>Male</v>
      </c>
      <c r="D766" s="28" t="str">
        <f aca="false">IF(Data!D766="","",IFERROR(VLOOKUP(Data!D766,Codes!$A$11:$B$14,2,FALSE()),"Invalid ("&amp;Data!D766&amp;")"))</f>
        <v>Asymptomatic</v>
      </c>
      <c r="E766" s="20" t="str">
        <f aca="false">IF(Data!E766="","",Data!E766)</f>
        <v/>
      </c>
      <c r="F766" s="20" t="n">
        <f aca="false">IF(Data!F766="","",Data!F766)</f>
        <v>277</v>
      </c>
      <c r="G766" s="28" t="str">
        <f aca="false">IF(Data!G766="","",IFERROR(VLOOKUP(Data!G766,Codes!$A$18:$B$19,2,FALSE()),"Invalid ("&amp;Data!G766&amp;")"))</f>
        <v>Yes</v>
      </c>
      <c r="H766" s="28" t="str">
        <f aca="false">IF(Data!H766="","",IFERROR(VLOOKUP(Data!H766,Codes!$A$23:$B$25,2,FALSE()),"Invalid ("&amp;Data!H766&amp;")"))</f>
        <v>ST-T wave abnormality</v>
      </c>
      <c r="I766" s="20" t="str">
        <f aca="false">IF(Data!I766="","",Data!I766)</f>
        <v/>
      </c>
      <c r="J766" s="28" t="str">
        <f aca="false">IF(Data!J766="","",IFERROR(VLOOKUP(Data!J766,Codes!$A$29:$B$30,2,FALSE()),"Invalid ("&amp;Data!J766&amp;")"))</f>
        <v/>
      </c>
      <c r="K766" s="21" t="str">
        <f aca="false">IF(Data!K766="","",Data!K766)</f>
        <v/>
      </c>
      <c r="L766" s="28" t="str">
        <f aca="false">IF(Data!L766="","",IFERROR(VLOOKUP(Data!L766,Codes!$A$34:$B$36,2,FALSE()),"Invalid ("&amp;Data!L766&amp;")"))</f>
        <v/>
      </c>
      <c r="M766" s="20" t="str">
        <f aca="false">IF(Data!M766="","",Data!M766)</f>
        <v/>
      </c>
      <c r="N766" s="28" t="str">
        <f aca="false">IF(Data!N766="","",IFERROR(VLOOKUP(Data!N766,Codes!$A$47:$B$49,2,FALSE()),"Invalid ("&amp;Data!N766&amp;")"))</f>
        <v/>
      </c>
      <c r="O766" s="28" t="str">
        <f aca="false">IF(Data!O766="","",IFERROR(VLOOKUP(Data!O766,Codes!$A$53:$B$57,2,FALSE()),"Invalid ("&amp;Data!O766&amp;")"))</f>
        <v>Disease (4)</v>
      </c>
      <c r="P766" s="22" t="str">
        <f aca="false">IF(Data!P766="","",IFERROR(VLOOKUP(Data!P766,Codes!$A$61:$B$64,2,FALSE()),"Invalid ("&amp;Data!P766&amp;")"))</f>
        <v>VA Medical Center, Long Beach</v>
      </c>
    </row>
    <row r="767" customFormat="false" ht="15" hidden="false" customHeight="false" outlineLevel="0" collapsed="false">
      <c r="A767" s="19" t="n">
        <f aca="false">Data!A767</f>
        <v>766</v>
      </c>
      <c r="B767" s="20" t="n">
        <f aca="false">IF(Data!B767="","",Data!B767)</f>
        <v>63</v>
      </c>
      <c r="C767" s="28" t="str">
        <f aca="false">IF(Data!C767="","",IFERROR(VLOOKUP(Data!C767,Codes!$A$6:$B$7,2,FALSE()),"Invalid ("&amp;Data!C767&amp;")"))</f>
        <v>Male</v>
      </c>
      <c r="D767" s="28" t="str">
        <f aca="false">IF(Data!D767="","",IFERROR(VLOOKUP(Data!D767,Codes!$A$11:$B$14,2,FALSE()),"Invalid ("&amp;Data!D767&amp;")"))</f>
        <v>Asymptomatic</v>
      </c>
      <c r="E767" s="20" t="n">
        <f aca="false">IF(Data!E767="","",Data!E767)</f>
        <v>136</v>
      </c>
      <c r="F767" s="20" t="n">
        <f aca="false">IF(Data!F767="","",Data!F767)</f>
        <v>0</v>
      </c>
      <c r="G767" s="28" t="str">
        <f aca="false">IF(Data!G767="","",IFERROR(VLOOKUP(Data!G767,Codes!$A$18:$B$19,2,FALSE()),"Invalid ("&amp;Data!G767&amp;")"))</f>
        <v>No</v>
      </c>
      <c r="H767" s="28" t="str">
        <f aca="false">IF(Data!H767="","",IFERROR(VLOOKUP(Data!H767,Codes!$A$23:$B$25,2,FALSE()),"Invalid ("&amp;Data!H767&amp;")"))</f>
        <v>Normal</v>
      </c>
      <c r="I767" s="20" t="n">
        <f aca="false">IF(Data!I767="","",Data!I767)</f>
        <v>84</v>
      </c>
      <c r="J767" s="28" t="str">
        <f aca="false">IF(Data!J767="","",IFERROR(VLOOKUP(Data!J767,Codes!$A$29:$B$30,2,FALSE()),"Invalid ("&amp;Data!J767&amp;")"))</f>
        <v>Yes</v>
      </c>
      <c r="K767" s="21" t="n">
        <f aca="false">IF(Data!K767="","",Data!K767)</f>
        <v>0</v>
      </c>
      <c r="L767" s="28" t="str">
        <f aca="false">IF(Data!L767="","",IFERROR(VLOOKUP(Data!L767,Codes!$A$34:$B$36,2,FALSE()),"Invalid ("&amp;Data!L767&amp;")"))</f>
        <v/>
      </c>
      <c r="M767" s="20" t="str">
        <f aca="false">IF(Data!M767="","",Data!M767)</f>
        <v/>
      </c>
      <c r="N767" s="28" t="str">
        <f aca="false">IF(Data!N767="","",IFERROR(VLOOKUP(Data!N767,Codes!$A$47:$B$49,2,FALSE()),"Invalid ("&amp;Data!N767&amp;")"))</f>
        <v>Reversible defect</v>
      </c>
      <c r="O767" s="28" t="str">
        <f aca="false">IF(Data!O767="","",IFERROR(VLOOKUP(Data!O767,Codes!$A$53:$B$57,2,FALSE()),"Invalid ("&amp;Data!O767&amp;")"))</f>
        <v>Disease (2)</v>
      </c>
      <c r="P767" s="22" t="str">
        <f aca="false">IF(Data!P767="","",IFERROR(VLOOKUP(Data!P767,Codes!$A$61:$B$64,2,FALSE()),"Invalid ("&amp;Data!P767&amp;")"))</f>
        <v>VA Medical Center, Long Beach</v>
      </c>
    </row>
    <row r="768" customFormat="false" ht="15" hidden="false" customHeight="false" outlineLevel="0" collapsed="false">
      <c r="A768" s="19" t="n">
        <f aca="false">Data!A768</f>
        <v>767</v>
      </c>
      <c r="B768" s="20" t="n">
        <f aca="false">IF(Data!B768="","",Data!B768)</f>
        <v>59</v>
      </c>
      <c r="C768" s="28" t="str">
        <f aca="false">IF(Data!C768="","",IFERROR(VLOOKUP(Data!C768,Codes!$A$6:$B$7,2,FALSE()),"Invalid ("&amp;Data!C768&amp;")"))</f>
        <v>Male</v>
      </c>
      <c r="D768" s="28" t="str">
        <f aca="false">IF(Data!D768="","",IFERROR(VLOOKUP(Data!D768,Codes!$A$11:$B$14,2,FALSE()),"Invalid ("&amp;Data!D768&amp;")"))</f>
        <v>Asymptomatic</v>
      </c>
      <c r="E768" s="20" t="n">
        <f aca="false">IF(Data!E768="","",Data!E768)</f>
        <v>122</v>
      </c>
      <c r="F768" s="20" t="n">
        <f aca="false">IF(Data!F768="","",Data!F768)</f>
        <v>233</v>
      </c>
      <c r="G768" s="28" t="str">
        <f aca="false">IF(Data!G768="","",IFERROR(VLOOKUP(Data!G768,Codes!$A$18:$B$19,2,FALSE()),"Invalid ("&amp;Data!G768&amp;")"))</f>
        <v>No</v>
      </c>
      <c r="H768" s="28" t="str">
        <f aca="false">IF(Data!H768="","",IFERROR(VLOOKUP(Data!H768,Codes!$A$23:$B$25,2,FALSE()),"Invalid ("&amp;Data!H768&amp;")"))</f>
        <v>Normal</v>
      </c>
      <c r="I768" s="20" t="n">
        <f aca="false">IF(Data!I768="","",Data!I768)</f>
        <v>117</v>
      </c>
      <c r="J768" s="28" t="str">
        <f aca="false">IF(Data!J768="","",IFERROR(VLOOKUP(Data!J768,Codes!$A$29:$B$30,2,FALSE()),"Invalid ("&amp;Data!J768&amp;")"))</f>
        <v>Yes</v>
      </c>
      <c r="K768" s="21" t="n">
        <f aca="false">IF(Data!K768="","",Data!K768)</f>
        <v>1.3</v>
      </c>
      <c r="L768" s="28" t="str">
        <f aca="false">IF(Data!L768="","",IFERROR(VLOOKUP(Data!L768,Codes!$A$34:$B$36,2,FALSE()),"Invalid ("&amp;Data!L768&amp;")"))</f>
        <v>Downsloping</v>
      </c>
      <c r="M768" s="20" t="str">
        <f aca="false">IF(Data!M768="","",Data!M768)</f>
        <v/>
      </c>
      <c r="N768" s="28" t="str">
        <f aca="false">IF(Data!N768="","",IFERROR(VLOOKUP(Data!N768,Codes!$A$47:$B$49,2,FALSE()),"Invalid ("&amp;Data!N768&amp;")"))</f>
        <v/>
      </c>
      <c r="O768" s="28" t="str">
        <f aca="false">IF(Data!O768="","",IFERROR(VLOOKUP(Data!O768,Codes!$A$53:$B$57,2,FALSE()),"Invalid ("&amp;Data!O768&amp;")"))</f>
        <v>Disease (1)</v>
      </c>
      <c r="P768" s="22" t="str">
        <f aca="false">IF(Data!P768="","",IFERROR(VLOOKUP(Data!P768,Codes!$A$61:$B$64,2,FALSE()),"Invalid ("&amp;Data!P768&amp;")"))</f>
        <v>VA Medical Center, Long Beach</v>
      </c>
    </row>
    <row r="769" customFormat="false" ht="15" hidden="false" customHeight="false" outlineLevel="0" collapsed="false">
      <c r="A769" s="19" t="n">
        <f aca="false">Data!A769</f>
        <v>768</v>
      </c>
      <c r="B769" s="20" t="n">
        <f aca="false">IF(Data!B769="","",Data!B769)</f>
        <v>51</v>
      </c>
      <c r="C769" s="28" t="str">
        <f aca="false">IF(Data!C769="","",IFERROR(VLOOKUP(Data!C769,Codes!$A$6:$B$7,2,FALSE()),"Invalid ("&amp;Data!C769&amp;")"))</f>
        <v>Male</v>
      </c>
      <c r="D769" s="28" t="str">
        <f aca="false">IF(Data!D769="","",IFERROR(VLOOKUP(Data!D769,Codes!$A$11:$B$14,2,FALSE()),"Invalid ("&amp;Data!D769&amp;")"))</f>
        <v>Asymptomatic</v>
      </c>
      <c r="E769" s="20" t="n">
        <f aca="false">IF(Data!E769="","",Data!E769)</f>
        <v>128</v>
      </c>
      <c r="F769" s="20" t="n">
        <f aca="false">IF(Data!F769="","",Data!F769)</f>
        <v>0</v>
      </c>
      <c r="G769" s="28" t="str">
        <f aca="false">IF(Data!G769="","",IFERROR(VLOOKUP(Data!G769,Codes!$A$18:$B$19,2,FALSE()),"Invalid ("&amp;Data!G769&amp;")"))</f>
        <v>No</v>
      </c>
      <c r="H769" s="28" t="str">
        <f aca="false">IF(Data!H769="","",IFERROR(VLOOKUP(Data!H769,Codes!$A$23:$B$25,2,FALSE()),"Invalid ("&amp;Data!H769&amp;")"))</f>
        <v>Normal</v>
      </c>
      <c r="I769" s="20" t="n">
        <f aca="false">IF(Data!I769="","",Data!I769)</f>
        <v>107</v>
      </c>
      <c r="J769" s="28" t="str">
        <f aca="false">IF(Data!J769="","",IFERROR(VLOOKUP(Data!J769,Codes!$A$29:$B$30,2,FALSE()),"Invalid ("&amp;Data!J769&amp;")"))</f>
        <v>No</v>
      </c>
      <c r="K769" s="21" t="n">
        <f aca="false">IF(Data!K769="","",Data!K769)</f>
        <v>0</v>
      </c>
      <c r="L769" s="28" t="str">
        <f aca="false">IF(Data!L769="","",IFERROR(VLOOKUP(Data!L769,Codes!$A$34:$B$36,2,FALSE()),"Invalid ("&amp;Data!L769&amp;")"))</f>
        <v/>
      </c>
      <c r="M769" s="20" t="str">
        <f aca="false">IF(Data!M769="","",Data!M769)</f>
        <v/>
      </c>
      <c r="N769" s="28" t="str">
        <f aca="false">IF(Data!N769="","",IFERROR(VLOOKUP(Data!N769,Codes!$A$47:$B$49,2,FALSE()),"Invalid ("&amp;Data!N769&amp;")"))</f>
        <v/>
      </c>
      <c r="O769" s="28" t="str">
        <f aca="false">IF(Data!O769="","",IFERROR(VLOOKUP(Data!O769,Codes!$A$53:$B$57,2,FALSE()),"Invalid ("&amp;Data!O769&amp;")"))</f>
        <v>No disease</v>
      </c>
      <c r="P769" s="22" t="str">
        <f aca="false">IF(Data!P769="","",IFERROR(VLOOKUP(Data!P769,Codes!$A$61:$B$64,2,FALSE()),"Invalid ("&amp;Data!P769&amp;")"))</f>
        <v>VA Medical Center, Long Beach</v>
      </c>
    </row>
    <row r="770" customFormat="false" ht="15" hidden="false" customHeight="false" outlineLevel="0" collapsed="false">
      <c r="A770" s="19" t="n">
        <f aca="false">Data!A770</f>
        <v>769</v>
      </c>
      <c r="B770" s="20" t="n">
        <f aca="false">IF(Data!B770="","",Data!B770)</f>
        <v>59</v>
      </c>
      <c r="C770" s="28" t="str">
        <f aca="false">IF(Data!C770="","",IFERROR(VLOOKUP(Data!C770,Codes!$A$6:$B$7,2,FALSE()),"Invalid ("&amp;Data!C770&amp;")"))</f>
        <v>Male</v>
      </c>
      <c r="D770" s="28" t="str">
        <f aca="false">IF(Data!D770="","",IFERROR(VLOOKUP(Data!D770,Codes!$A$11:$B$14,2,FALSE()),"Invalid ("&amp;Data!D770&amp;")"))</f>
        <v>Non-anginal pain</v>
      </c>
      <c r="E770" s="20" t="str">
        <f aca="false">IF(Data!E770="","",Data!E770)</f>
        <v/>
      </c>
      <c r="F770" s="20" t="n">
        <f aca="false">IF(Data!F770="","",Data!F770)</f>
        <v>0</v>
      </c>
      <c r="G770" s="28" t="str">
        <f aca="false">IF(Data!G770="","",IFERROR(VLOOKUP(Data!G770,Codes!$A$18:$B$19,2,FALSE()),"Invalid ("&amp;Data!G770&amp;")"))</f>
        <v>No</v>
      </c>
      <c r="H770" s="28" t="str">
        <f aca="false">IF(Data!H770="","",IFERROR(VLOOKUP(Data!H770,Codes!$A$23:$B$25,2,FALSE()),"Invalid ("&amp;Data!H770&amp;")"))</f>
        <v>Normal</v>
      </c>
      <c r="I770" s="20" t="n">
        <f aca="false">IF(Data!I770="","",Data!I770)</f>
        <v>128</v>
      </c>
      <c r="J770" s="28" t="str">
        <f aca="false">IF(Data!J770="","",IFERROR(VLOOKUP(Data!J770,Codes!$A$29:$B$30,2,FALSE()),"Invalid ("&amp;Data!J770&amp;")"))</f>
        <v>Yes</v>
      </c>
      <c r="K770" s="21" t="n">
        <f aca="false">IF(Data!K770="","",Data!K770)</f>
        <v>2</v>
      </c>
      <c r="L770" s="28" t="str">
        <f aca="false">IF(Data!L770="","",IFERROR(VLOOKUP(Data!L770,Codes!$A$34:$B$36,2,FALSE()),"Invalid ("&amp;Data!L770&amp;")"))</f>
        <v>Downsloping</v>
      </c>
      <c r="M770" s="20" t="str">
        <f aca="false">IF(Data!M770="","",Data!M770)</f>
        <v/>
      </c>
      <c r="N770" s="28" t="str">
        <f aca="false">IF(Data!N770="","",IFERROR(VLOOKUP(Data!N770,Codes!$A$47:$B$49,2,FALSE()),"Invalid ("&amp;Data!N770&amp;")"))</f>
        <v/>
      </c>
      <c r="O770" s="28" t="str">
        <f aca="false">IF(Data!O770="","",IFERROR(VLOOKUP(Data!O770,Codes!$A$53:$B$57,2,FALSE()),"Invalid ("&amp;Data!O770&amp;")"))</f>
        <v>Disease (2)</v>
      </c>
      <c r="P770" s="22" t="str">
        <f aca="false">IF(Data!P770="","",IFERROR(VLOOKUP(Data!P770,Codes!$A$61:$B$64,2,FALSE()),"Invalid ("&amp;Data!P770&amp;")"))</f>
        <v>VA Medical Center, Long Beach</v>
      </c>
    </row>
    <row r="771" customFormat="false" ht="15" hidden="false" customHeight="false" outlineLevel="0" collapsed="false">
      <c r="A771" s="19" t="n">
        <f aca="false">Data!A771</f>
        <v>770</v>
      </c>
      <c r="B771" s="20" t="n">
        <f aca="false">IF(Data!B771="","",Data!B771)</f>
        <v>42</v>
      </c>
      <c r="C771" s="28" t="str">
        <f aca="false">IF(Data!C771="","",IFERROR(VLOOKUP(Data!C771,Codes!$A$6:$B$7,2,FALSE()),"Invalid ("&amp;Data!C771&amp;")"))</f>
        <v>Male</v>
      </c>
      <c r="D771" s="28" t="str">
        <f aca="false">IF(Data!D771="","",IFERROR(VLOOKUP(Data!D771,Codes!$A$11:$B$14,2,FALSE()),"Invalid ("&amp;Data!D771&amp;")"))</f>
        <v>Non-anginal pain</v>
      </c>
      <c r="E771" s="20" t="n">
        <f aca="false">IF(Data!E771="","",Data!E771)</f>
        <v>134</v>
      </c>
      <c r="F771" s="20" t="n">
        <f aca="false">IF(Data!F771="","",Data!F771)</f>
        <v>240</v>
      </c>
      <c r="G771" s="28" t="str">
        <f aca="false">IF(Data!G771="","",IFERROR(VLOOKUP(Data!G771,Codes!$A$18:$B$19,2,FALSE()),"Invalid ("&amp;Data!G771&amp;")"))</f>
        <v/>
      </c>
      <c r="H771" s="28" t="str">
        <f aca="false">IF(Data!H771="","",IFERROR(VLOOKUP(Data!H771,Codes!$A$23:$B$25,2,FALSE()),"Invalid ("&amp;Data!H771&amp;")"))</f>
        <v>Normal</v>
      </c>
      <c r="I771" s="20" t="n">
        <f aca="false">IF(Data!I771="","",Data!I771)</f>
        <v>160</v>
      </c>
      <c r="J771" s="28" t="str">
        <f aca="false">IF(Data!J771="","",IFERROR(VLOOKUP(Data!J771,Codes!$A$29:$B$30,2,FALSE()),"Invalid ("&amp;Data!J771&amp;")"))</f>
        <v>No</v>
      </c>
      <c r="K771" s="21" t="n">
        <f aca="false">IF(Data!K771="","",Data!K771)</f>
        <v>0</v>
      </c>
      <c r="L771" s="28" t="str">
        <f aca="false">IF(Data!L771="","",IFERROR(VLOOKUP(Data!L771,Codes!$A$34:$B$36,2,FALSE()),"Invalid ("&amp;Data!L771&amp;")"))</f>
        <v/>
      </c>
      <c r="M771" s="20" t="str">
        <f aca="false">IF(Data!M771="","",Data!M771)</f>
        <v/>
      </c>
      <c r="N771" s="28" t="str">
        <f aca="false">IF(Data!N771="","",IFERROR(VLOOKUP(Data!N771,Codes!$A$47:$B$49,2,FALSE()),"Invalid ("&amp;Data!N771&amp;")"))</f>
        <v/>
      </c>
      <c r="O771" s="28" t="str">
        <f aca="false">IF(Data!O771="","",IFERROR(VLOOKUP(Data!O771,Codes!$A$53:$B$57,2,FALSE()),"Invalid ("&amp;Data!O771&amp;")"))</f>
        <v>No disease</v>
      </c>
      <c r="P771" s="22" t="str">
        <f aca="false">IF(Data!P771="","",IFERROR(VLOOKUP(Data!P771,Codes!$A$61:$B$64,2,FALSE()),"Invalid ("&amp;Data!P771&amp;")"))</f>
        <v>VA Medical Center, Long Beach</v>
      </c>
    </row>
    <row r="772" customFormat="false" ht="15" hidden="false" customHeight="false" outlineLevel="0" collapsed="false">
      <c r="A772" s="19" t="n">
        <f aca="false">Data!A772</f>
        <v>771</v>
      </c>
      <c r="B772" s="20" t="n">
        <f aca="false">IF(Data!B772="","",Data!B772)</f>
        <v>55</v>
      </c>
      <c r="C772" s="28" t="str">
        <f aca="false">IF(Data!C772="","",IFERROR(VLOOKUP(Data!C772,Codes!$A$6:$B$7,2,FALSE()),"Invalid ("&amp;Data!C772&amp;")"))</f>
        <v>Male</v>
      </c>
      <c r="D772" s="28" t="str">
        <f aca="false">IF(Data!D772="","",IFERROR(VLOOKUP(Data!D772,Codes!$A$11:$B$14,2,FALSE()),"Invalid ("&amp;Data!D772&amp;")"))</f>
        <v>Non-anginal pain</v>
      </c>
      <c r="E772" s="20" t="n">
        <f aca="false">IF(Data!E772="","",Data!E772)</f>
        <v>120</v>
      </c>
      <c r="F772" s="20" t="n">
        <f aca="false">IF(Data!F772="","",Data!F772)</f>
        <v>0</v>
      </c>
      <c r="G772" s="28" t="str">
        <f aca="false">IF(Data!G772="","",IFERROR(VLOOKUP(Data!G772,Codes!$A$18:$B$19,2,FALSE()),"Invalid ("&amp;Data!G772&amp;")"))</f>
        <v>No</v>
      </c>
      <c r="H772" s="28" t="str">
        <f aca="false">IF(Data!H772="","",IFERROR(VLOOKUP(Data!H772,Codes!$A$23:$B$25,2,FALSE()),"Invalid ("&amp;Data!H772&amp;")"))</f>
        <v>ST-T wave abnormality</v>
      </c>
      <c r="I772" s="20" t="n">
        <f aca="false">IF(Data!I772="","",Data!I772)</f>
        <v>125</v>
      </c>
      <c r="J772" s="28" t="str">
        <f aca="false">IF(Data!J772="","",IFERROR(VLOOKUP(Data!J772,Codes!$A$29:$B$30,2,FALSE()),"Invalid ("&amp;Data!J772&amp;")"))</f>
        <v>Yes</v>
      </c>
      <c r="K772" s="21" t="n">
        <f aca="false">IF(Data!K772="","",Data!K772)</f>
        <v>2.5</v>
      </c>
      <c r="L772" s="28" t="str">
        <f aca="false">IF(Data!L772="","",IFERROR(VLOOKUP(Data!L772,Codes!$A$34:$B$36,2,FALSE()),"Invalid ("&amp;Data!L772&amp;")"))</f>
        <v>Flat</v>
      </c>
      <c r="M772" s="20" t="str">
        <f aca="false">IF(Data!M772="","",Data!M772)</f>
        <v/>
      </c>
      <c r="N772" s="28" t="str">
        <f aca="false">IF(Data!N772="","",IFERROR(VLOOKUP(Data!N772,Codes!$A$47:$B$49,2,FALSE()),"Invalid ("&amp;Data!N772&amp;")"))</f>
        <v>Reversible defect</v>
      </c>
      <c r="O772" s="28" t="str">
        <f aca="false">IF(Data!O772="","",IFERROR(VLOOKUP(Data!O772,Codes!$A$53:$B$57,2,FALSE()),"Invalid ("&amp;Data!O772&amp;")"))</f>
        <v>Disease (1)</v>
      </c>
      <c r="P772" s="22" t="str">
        <f aca="false">IF(Data!P772="","",IFERROR(VLOOKUP(Data!P772,Codes!$A$61:$B$64,2,FALSE()),"Invalid ("&amp;Data!P772&amp;")"))</f>
        <v>VA Medical Center, Long Beach</v>
      </c>
    </row>
    <row r="773" customFormat="false" ht="15" hidden="false" customHeight="false" outlineLevel="0" collapsed="false">
      <c r="A773" s="19" t="n">
        <f aca="false">Data!A773</f>
        <v>772</v>
      </c>
      <c r="B773" s="20" t="n">
        <f aca="false">IF(Data!B773="","",Data!B773)</f>
        <v>63</v>
      </c>
      <c r="C773" s="28" t="str">
        <f aca="false">IF(Data!C773="","",IFERROR(VLOOKUP(Data!C773,Codes!$A$6:$B$7,2,FALSE()),"Invalid ("&amp;Data!C773&amp;")"))</f>
        <v>Female</v>
      </c>
      <c r="D773" s="28" t="str">
        <f aca="false">IF(Data!D773="","",IFERROR(VLOOKUP(Data!D773,Codes!$A$11:$B$14,2,FALSE()),"Invalid ("&amp;Data!D773&amp;")"))</f>
        <v>Atypical angina</v>
      </c>
      <c r="E773" s="20" t="str">
        <f aca="false">IF(Data!E773="","",Data!E773)</f>
        <v/>
      </c>
      <c r="F773" s="20" t="n">
        <f aca="false">IF(Data!F773="","",Data!F773)</f>
        <v>0</v>
      </c>
      <c r="G773" s="28" t="str">
        <f aca="false">IF(Data!G773="","",IFERROR(VLOOKUP(Data!G773,Codes!$A$18:$B$19,2,FALSE()),"Invalid ("&amp;Data!G773&amp;")"))</f>
        <v>No</v>
      </c>
      <c r="H773" s="28" t="str">
        <f aca="false">IF(Data!H773="","",IFERROR(VLOOKUP(Data!H773,Codes!$A$23:$B$25,2,FALSE()),"Invalid ("&amp;Data!H773&amp;")"))</f>
        <v>Normal</v>
      </c>
      <c r="I773" s="20" t="str">
        <f aca="false">IF(Data!I773="","",Data!I773)</f>
        <v/>
      </c>
      <c r="J773" s="28" t="str">
        <f aca="false">IF(Data!J773="","",IFERROR(VLOOKUP(Data!J773,Codes!$A$29:$B$30,2,FALSE()),"Invalid ("&amp;Data!J773&amp;")"))</f>
        <v/>
      </c>
      <c r="K773" s="21" t="str">
        <f aca="false">IF(Data!K773="","",Data!K773)</f>
        <v/>
      </c>
      <c r="L773" s="28" t="str">
        <f aca="false">IF(Data!L773="","",IFERROR(VLOOKUP(Data!L773,Codes!$A$34:$B$36,2,FALSE()),"Invalid ("&amp;Data!L773&amp;")"))</f>
        <v/>
      </c>
      <c r="M773" s="20" t="str">
        <f aca="false">IF(Data!M773="","",Data!M773)</f>
        <v/>
      </c>
      <c r="N773" s="28" t="str">
        <f aca="false">IF(Data!N773="","",IFERROR(VLOOKUP(Data!N773,Codes!$A$47:$B$49,2,FALSE()),"Invalid ("&amp;Data!N773&amp;")"))</f>
        <v/>
      </c>
      <c r="O773" s="28" t="str">
        <f aca="false">IF(Data!O773="","",IFERROR(VLOOKUP(Data!O773,Codes!$A$53:$B$57,2,FALSE()),"Invalid ("&amp;Data!O773&amp;")"))</f>
        <v>No disease</v>
      </c>
      <c r="P773" s="22" t="str">
        <f aca="false">IF(Data!P773="","",IFERROR(VLOOKUP(Data!P773,Codes!$A$61:$B$64,2,FALSE()),"Invalid ("&amp;Data!P773&amp;")"))</f>
        <v>VA Medical Center, Long Beach</v>
      </c>
    </row>
    <row r="774" customFormat="false" ht="15" hidden="false" customHeight="false" outlineLevel="0" collapsed="false">
      <c r="A774" s="19" t="n">
        <f aca="false">Data!A774</f>
        <v>773</v>
      </c>
      <c r="B774" s="20" t="n">
        <f aca="false">IF(Data!B774="","",Data!B774)</f>
        <v>62</v>
      </c>
      <c r="C774" s="28" t="str">
        <f aca="false">IF(Data!C774="","",IFERROR(VLOOKUP(Data!C774,Codes!$A$6:$B$7,2,FALSE()),"Invalid ("&amp;Data!C774&amp;")"))</f>
        <v>Male</v>
      </c>
      <c r="D774" s="28" t="str">
        <f aca="false">IF(Data!D774="","",IFERROR(VLOOKUP(Data!D774,Codes!$A$11:$B$14,2,FALSE()),"Invalid ("&amp;Data!D774&amp;")"))</f>
        <v>Asymptomatic</v>
      </c>
      <c r="E774" s="20" t="n">
        <f aca="false">IF(Data!E774="","",Data!E774)</f>
        <v>152</v>
      </c>
      <c r="F774" s="20" t="n">
        <f aca="false">IF(Data!F774="","",Data!F774)</f>
        <v>153</v>
      </c>
      <c r="G774" s="28" t="str">
        <f aca="false">IF(Data!G774="","",IFERROR(VLOOKUP(Data!G774,Codes!$A$18:$B$19,2,FALSE()),"Invalid ("&amp;Data!G774&amp;")"))</f>
        <v>No</v>
      </c>
      <c r="H774" s="28" t="str">
        <f aca="false">IF(Data!H774="","",IFERROR(VLOOKUP(Data!H774,Codes!$A$23:$B$25,2,FALSE()),"Invalid ("&amp;Data!H774&amp;")"))</f>
        <v>ST-T wave abnormality</v>
      </c>
      <c r="I774" s="20" t="n">
        <f aca="false">IF(Data!I774="","",Data!I774)</f>
        <v>97</v>
      </c>
      <c r="J774" s="28" t="str">
        <f aca="false">IF(Data!J774="","",IFERROR(VLOOKUP(Data!J774,Codes!$A$29:$B$30,2,FALSE()),"Invalid ("&amp;Data!J774&amp;")"))</f>
        <v>Yes</v>
      </c>
      <c r="K774" s="21" t="n">
        <f aca="false">IF(Data!K774="","",Data!K774)</f>
        <v>1.6</v>
      </c>
      <c r="L774" s="28" t="str">
        <f aca="false">IF(Data!L774="","",IFERROR(VLOOKUP(Data!L774,Codes!$A$34:$B$36,2,FALSE()),"Invalid ("&amp;Data!L774&amp;")"))</f>
        <v>Upsloping</v>
      </c>
      <c r="M774" s="20" t="str">
        <f aca="false">IF(Data!M774="","",Data!M774)</f>
        <v/>
      </c>
      <c r="N774" s="28" t="str">
        <f aca="false">IF(Data!N774="","",IFERROR(VLOOKUP(Data!N774,Codes!$A$47:$B$49,2,FALSE()),"Invalid ("&amp;Data!N774&amp;")"))</f>
        <v>Reversible defect</v>
      </c>
      <c r="O774" s="28" t="str">
        <f aca="false">IF(Data!O774="","",IFERROR(VLOOKUP(Data!O774,Codes!$A$53:$B$57,2,FALSE()),"Invalid ("&amp;Data!O774&amp;")"))</f>
        <v>Disease (2)</v>
      </c>
      <c r="P774" s="22" t="str">
        <f aca="false">IF(Data!P774="","",IFERROR(VLOOKUP(Data!P774,Codes!$A$61:$B$64,2,FALSE()),"Invalid ("&amp;Data!P774&amp;")"))</f>
        <v>VA Medical Center, Long Beach</v>
      </c>
    </row>
    <row r="775" customFormat="false" ht="15" hidden="false" customHeight="false" outlineLevel="0" collapsed="false">
      <c r="A775" s="19" t="n">
        <f aca="false">Data!A775</f>
        <v>774</v>
      </c>
      <c r="B775" s="20" t="n">
        <f aca="false">IF(Data!B775="","",Data!B775)</f>
        <v>56</v>
      </c>
      <c r="C775" s="28" t="str">
        <f aca="false">IF(Data!C775="","",IFERROR(VLOOKUP(Data!C775,Codes!$A$6:$B$7,2,FALSE()),"Invalid ("&amp;Data!C775&amp;")"))</f>
        <v>Male</v>
      </c>
      <c r="D775" s="28" t="str">
        <f aca="false">IF(Data!D775="","",IFERROR(VLOOKUP(Data!D775,Codes!$A$11:$B$14,2,FALSE()),"Invalid ("&amp;Data!D775&amp;")"))</f>
        <v>Atypical angina</v>
      </c>
      <c r="E775" s="20" t="n">
        <f aca="false">IF(Data!E775="","",Data!E775)</f>
        <v>124</v>
      </c>
      <c r="F775" s="20" t="n">
        <f aca="false">IF(Data!F775="","",Data!F775)</f>
        <v>224</v>
      </c>
      <c r="G775" s="28" t="str">
        <f aca="false">IF(Data!G775="","",IFERROR(VLOOKUP(Data!G775,Codes!$A$18:$B$19,2,FALSE()),"Invalid ("&amp;Data!G775&amp;")"))</f>
        <v>Yes</v>
      </c>
      <c r="H775" s="28" t="str">
        <f aca="false">IF(Data!H775="","",IFERROR(VLOOKUP(Data!H775,Codes!$A$23:$B$25,2,FALSE()),"Invalid ("&amp;Data!H775&amp;")"))</f>
        <v>Normal</v>
      </c>
      <c r="I775" s="20" t="n">
        <f aca="false">IF(Data!I775="","",Data!I775)</f>
        <v>161</v>
      </c>
      <c r="J775" s="28" t="str">
        <f aca="false">IF(Data!J775="","",IFERROR(VLOOKUP(Data!J775,Codes!$A$29:$B$30,2,FALSE()),"Invalid ("&amp;Data!J775&amp;")"))</f>
        <v>No</v>
      </c>
      <c r="K775" s="21" t="n">
        <f aca="false">IF(Data!K775="","",Data!K775)</f>
        <v>2</v>
      </c>
      <c r="L775" s="28" t="str">
        <f aca="false">IF(Data!L775="","",IFERROR(VLOOKUP(Data!L775,Codes!$A$34:$B$36,2,FALSE()),"Invalid ("&amp;Data!L775&amp;")"))</f>
        <v>Flat</v>
      </c>
      <c r="M775" s="20" t="str">
        <f aca="false">IF(Data!M775="","",Data!M775)</f>
        <v/>
      </c>
      <c r="N775" s="28" t="str">
        <f aca="false">IF(Data!N775="","",IFERROR(VLOOKUP(Data!N775,Codes!$A$47:$B$49,2,FALSE()),"Invalid ("&amp;Data!N775&amp;")"))</f>
        <v/>
      </c>
      <c r="O775" s="28" t="str">
        <f aca="false">IF(Data!O775="","",IFERROR(VLOOKUP(Data!O775,Codes!$A$53:$B$57,2,FALSE()),"Invalid ("&amp;Data!O775&amp;")"))</f>
        <v>No disease</v>
      </c>
      <c r="P775" s="22" t="str">
        <f aca="false">IF(Data!P775="","",IFERROR(VLOOKUP(Data!P775,Codes!$A$61:$B$64,2,FALSE()),"Invalid ("&amp;Data!P775&amp;")"))</f>
        <v>VA Medical Center, Long Beach</v>
      </c>
    </row>
    <row r="776" customFormat="false" ht="15" hidden="false" customHeight="false" outlineLevel="0" collapsed="false">
      <c r="A776" s="19" t="n">
        <f aca="false">Data!A776</f>
        <v>775</v>
      </c>
      <c r="B776" s="20" t="n">
        <f aca="false">IF(Data!B776="","",Data!B776)</f>
        <v>53</v>
      </c>
      <c r="C776" s="28" t="str">
        <f aca="false">IF(Data!C776="","",IFERROR(VLOOKUP(Data!C776,Codes!$A$6:$B$7,2,FALSE()),"Invalid ("&amp;Data!C776&amp;")"))</f>
        <v>Male</v>
      </c>
      <c r="D776" s="28" t="str">
        <f aca="false">IF(Data!D776="","",IFERROR(VLOOKUP(Data!D776,Codes!$A$11:$B$14,2,FALSE()),"Invalid ("&amp;Data!D776&amp;")"))</f>
        <v>Asymptomatic</v>
      </c>
      <c r="E776" s="20" t="n">
        <f aca="false">IF(Data!E776="","",Data!E776)</f>
        <v>126</v>
      </c>
      <c r="F776" s="20" t="n">
        <f aca="false">IF(Data!F776="","",Data!F776)</f>
        <v>0</v>
      </c>
      <c r="G776" s="28" t="str">
        <f aca="false">IF(Data!G776="","",IFERROR(VLOOKUP(Data!G776,Codes!$A$18:$B$19,2,FALSE()),"Invalid ("&amp;Data!G776&amp;")"))</f>
        <v>No</v>
      </c>
      <c r="H776" s="28" t="str">
        <f aca="false">IF(Data!H776="","",IFERROR(VLOOKUP(Data!H776,Codes!$A$23:$B$25,2,FALSE()),"Invalid ("&amp;Data!H776&amp;")"))</f>
        <v>Normal</v>
      </c>
      <c r="I776" s="20" t="n">
        <f aca="false">IF(Data!I776="","",Data!I776)</f>
        <v>106</v>
      </c>
      <c r="J776" s="28" t="str">
        <f aca="false">IF(Data!J776="","",IFERROR(VLOOKUP(Data!J776,Codes!$A$29:$B$30,2,FALSE()),"Invalid ("&amp;Data!J776&amp;")"))</f>
        <v>No</v>
      </c>
      <c r="K776" s="21" t="n">
        <f aca="false">IF(Data!K776="","",Data!K776)</f>
        <v>0</v>
      </c>
      <c r="L776" s="28" t="str">
        <f aca="false">IF(Data!L776="","",IFERROR(VLOOKUP(Data!L776,Codes!$A$34:$B$36,2,FALSE()),"Invalid ("&amp;Data!L776&amp;")"))</f>
        <v/>
      </c>
      <c r="M776" s="20" t="str">
        <f aca="false">IF(Data!M776="","",Data!M776)</f>
        <v/>
      </c>
      <c r="N776" s="28" t="str">
        <f aca="false">IF(Data!N776="","",IFERROR(VLOOKUP(Data!N776,Codes!$A$47:$B$49,2,FALSE()),"Invalid ("&amp;Data!N776&amp;")"))</f>
        <v/>
      </c>
      <c r="O776" s="28" t="str">
        <f aca="false">IF(Data!O776="","",IFERROR(VLOOKUP(Data!O776,Codes!$A$53:$B$57,2,FALSE()),"Invalid ("&amp;Data!O776&amp;")"))</f>
        <v>Disease (1)</v>
      </c>
      <c r="P776" s="22" t="str">
        <f aca="false">IF(Data!P776="","",IFERROR(VLOOKUP(Data!P776,Codes!$A$61:$B$64,2,FALSE()),"Invalid ("&amp;Data!P776&amp;")"))</f>
        <v>VA Medical Center, Long Beach</v>
      </c>
    </row>
    <row r="777" customFormat="false" ht="15" hidden="false" customHeight="false" outlineLevel="0" collapsed="false">
      <c r="A777" s="19" t="n">
        <f aca="false">Data!A777</f>
        <v>776</v>
      </c>
      <c r="B777" s="20" t="n">
        <f aca="false">IF(Data!B777="","",Data!B777)</f>
        <v>68</v>
      </c>
      <c r="C777" s="28" t="str">
        <f aca="false">IF(Data!C777="","",IFERROR(VLOOKUP(Data!C777,Codes!$A$6:$B$7,2,FALSE()),"Invalid ("&amp;Data!C777&amp;")"))</f>
        <v>Male</v>
      </c>
      <c r="D777" s="28" t="str">
        <f aca="false">IF(Data!D777="","",IFERROR(VLOOKUP(Data!D777,Codes!$A$11:$B$14,2,FALSE()),"Invalid ("&amp;Data!D777&amp;")"))</f>
        <v>Asymptomatic</v>
      </c>
      <c r="E777" s="20" t="n">
        <f aca="false">IF(Data!E777="","",Data!E777)</f>
        <v>138</v>
      </c>
      <c r="F777" s="20" t="n">
        <f aca="false">IF(Data!F777="","",Data!F777)</f>
        <v>0</v>
      </c>
      <c r="G777" s="28" t="str">
        <f aca="false">IF(Data!G777="","",IFERROR(VLOOKUP(Data!G777,Codes!$A$18:$B$19,2,FALSE()),"Invalid ("&amp;Data!G777&amp;")"))</f>
        <v>No</v>
      </c>
      <c r="H777" s="28" t="str">
        <f aca="false">IF(Data!H777="","",IFERROR(VLOOKUP(Data!H777,Codes!$A$23:$B$25,2,FALSE()),"Invalid ("&amp;Data!H777&amp;")"))</f>
        <v>Normal</v>
      </c>
      <c r="I777" s="20" t="n">
        <f aca="false">IF(Data!I777="","",Data!I777)</f>
        <v>130</v>
      </c>
      <c r="J777" s="28" t="str">
        <f aca="false">IF(Data!J777="","",IFERROR(VLOOKUP(Data!J777,Codes!$A$29:$B$30,2,FALSE()),"Invalid ("&amp;Data!J777&amp;")"))</f>
        <v>Yes</v>
      </c>
      <c r="K777" s="21" t="n">
        <f aca="false">IF(Data!K777="","",Data!K777)</f>
        <v>3</v>
      </c>
      <c r="L777" s="28" t="str">
        <f aca="false">IF(Data!L777="","",IFERROR(VLOOKUP(Data!L777,Codes!$A$34:$B$36,2,FALSE()),"Invalid ("&amp;Data!L777&amp;")"))</f>
        <v>Flat</v>
      </c>
      <c r="M777" s="20" t="str">
        <f aca="false">IF(Data!M777="","",Data!M777)</f>
        <v/>
      </c>
      <c r="N777" s="28" t="str">
        <f aca="false">IF(Data!N777="","",IFERROR(VLOOKUP(Data!N777,Codes!$A$47:$B$49,2,FALSE()),"Invalid ("&amp;Data!N777&amp;")"))</f>
        <v/>
      </c>
      <c r="O777" s="28" t="str">
        <f aca="false">IF(Data!O777="","",IFERROR(VLOOKUP(Data!O777,Codes!$A$53:$B$57,2,FALSE()),"Invalid ("&amp;Data!O777&amp;")"))</f>
        <v>Disease (2)</v>
      </c>
      <c r="P777" s="22" t="str">
        <f aca="false">IF(Data!P777="","",IFERROR(VLOOKUP(Data!P777,Codes!$A$61:$B$64,2,FALSE()),"Invalid ("&amp;Data!P777&amp;")"))</f>
        <v>VA Medical Center, Long Beach</v>
      </c>
    </row>
    <row r="778" customFormat="false" ht="15" hidden="false" customHeight="false" outlineLevel="0" collapsed="false">
      <c r="A778" s="19" t="n">
        <f aca="false">Data!A778</f>
        <v>777</v>
      </c>
      <c r="B778" s="20" t="n">
        <f aca="false">IF(Data!B778="","",Data!B778)</f>
        <v>53</v>
      </c>
      <c r="C778" s="28" t="str">
        <f aca="false">IF(Data!C778="","",IFERROR(VLOOKUP(Data!C778,Codes!$A$6:$B$7,2,FALSE()),"Invalid ("&amp;Data!C778&amp;")"))</f>
        <v>Male</v>
      </c>
      <c r="D778" s="28" t="str">
        <f aca="false">IF(Data!D778="","",IFERROR(VLOOKUP(Data!D778,Codes!$A$11:$B$14,2,FALSE()),"Invalid ("&amp;Data!D778&amp;")"))</f>
        <v>Asymptomatic</v>
      </c>
      <c r="E778" s="20" t="n">
        <f aca="false">IF(Data!E778="","",Data!E778)</f>
        <v>154</v>
      </c>
      <c r="F778" s="20" t="n">
        <f aca="false">IF(Data!F778="","",Data!F778)</f>
        <v>0</v>
      </c>
      <c r="G778" s="28" t="str">
        <f aca="false">IF(Data!G778="","",IFERROR(VLOOKUP(Data!G778,Codes!$A$18:$B$19,2,FALSE()),"Invalid ("&amp;Data!G778&amp;")"))</f>
        <v/>
      </c>
      <c r="H778" s="28" t="str">
        <f aca="false">IF(Data!H778="","",IFERROR(VLOOKUP(Data!H778,Codes!$A$23:$B$25,2,FALSE()),"Invalid ("&amp;Data!H778&amp;")"))</f>
        <v>ST-T wave abnormality</v>
      </c>
      <c r="I778" s="20" t="n">
        <f aca="false">IF(Data!I778="","",Data!I778)</f>
        <v>140</v>
      </c>
      <c r="J778" s="28" t="str">
        <f aca="false">IF(Data!J778="","",IFERROR(VLOOKUP(Data!J778,Codes!$A$29:$B$30,2,FALSE()),"Invalid ("&amp;Data!J778&amp;")"))</f>
        <v>Yes</v>
      </c>
      <c r="K778" s="21" t="n">
        <f aca="false">IF(Data!K778="","",Data!K778)</f>
        <v>1.5</v>
      </c>
      <c r="L778" s="28" t="str">
        <f aca="false">IF(Data!L778="","",IFERROR(VLOOKUP(Data!L778,Codes!$A$34:$B$36,2,FALSE()),"Invalid ("&amp;Data!L778&amp;")"))</f>
        <v>Flat</v>
      </c>
      <c r="M778" s="20" t="str">
        <f aca="false">IF(Data!M778="","",Data!M778)</f>
        <v/>
      </c>
      <c r="N778" s="28" t="str">
        <f aca="false">IF(Data!N778="","",IFERROR(VLOOKUP(Data!N778,Codes!$A$47:$B$49,2,FALSE()),"Invalid ("&amp;Data!N778&amp;")"))</f>
        <v/>
      </c>
      <c r="O778" s="28" t="str">
        <f aca="false">IF(Data!O778="","",IFERROR(VLOOKUP(Data!O778,Codes!$A$53:$B$57,2,FALSE()),"Invalid ("&amp;Data!O778&amp;")"))</f>
        <v>Disease (2)</v>
      </c>
      <c r="P778" s="22" t="str">
        <f aca="false">IF(Data!P778="","",IFERROR(VLOOKUP(Data!P778,Codes!$A$61:$B$64,2,FALSE()),"Invalid ("&amp;Data!P778&amp;")"))</f>
        <v>VA Medical Center, Long Beach</v>
      </c>
    </row>
    <row r="779" customFormat="false" ht="15" hidden="false" customHeight="false" outlineLevel="0" collapsed="false">
      <c r="A779" s="19" t="n">
        <f aca="false">Data!A779</f>
        <v>778</v>
      </c>
      <c r="B779" s="20" t="n">
        <f aca="false">IF(Data!B779="","",Data!B779)</f>
        <v>60</v>
      </c>
      <c r="C779" s="28" t="str">
        <f aca="false">IF(Data!C779="","",IFERROR(VLOOKUP(Data!C779,Codes!$A$6:$B$7,2,FALSE()),"Invalid ("&amp;Data!C779&amp;")"))</f>
        <v>Male</v>
      </c>
      <c r="D779" s="28" t="str">
        <f aca="false">IF(Data!D779="","",IFERROR(VLOOKUP(Data!D779,Codes!$A$11:$B$14,2,FALSE()),"Invalid ("&amp;Data!D779&amp;")"))</f>
        <v>Non-anginal pain</v>
      </c>
      <c r="E779" s="20" t="str">
        <f aca="false">IF(Data!E779="","",Data!E779)</f>
        <v/>
      </c>
      <c r="F779" s="20" t="n">
        <f aca="false">IF(Data!F779="","",Data!F779)</f>
        <v>316</v>
      </c>
      <c r="G779" s="28" t="str">
        <f aca="false">IF(Data!G779="","",IFERROR(VLOOKUP(Data!G779,Codes!$A$18:$B$19,2,FALSE()),"Invalid ("&amp;Data!G779&amp;")"))</f>
        <v>Yes</v>
      </c>
      <c r="H779" s="28" t="str">
        <f aca="false">IF(Data!H779="","",IFERROR(VLOOKUP(Data!H779,Codes!$A$23:$B$25,2,FALSE()),"Invalid ("&amp;Data!H779&amp;")"))</f>
        <v>ST-T wave abnormality</v>
      </c>
      <c r="I779" s="20" t="str">
        <f aca="false">IF(Data!I779="","",Data!I779)</f>
        <v/>
      </c>
      <c r="J779" s="28" t="str">
        <f aca="false">IF(Data!J779="","",IFERROR(VLOOKUP(Data!J779,Codes!$A$29:$B$30,2,FALSE()),"Invalid ("&amp;Data!J779&amp;")"))</f>
        <v/>
      </c>
      <c r="K779" s="21" t="str">
        <f aca="false">IF(Data!K779="","",Data!K779)</f>
        <v/>
      </c>
      <c r="L779" s="28" t="str">
        <f aca="false">IF(Data!L779="","",IFERROR(VLOOKUP(Data!L779,Codes!$A$34:$B$36,2,FALSE()),"Invalid ("&amp;Data!L779&amp;")"))</f>
        <v/>
      </c>
      <c r="M779" s="20" t="str">
        <f aca="false">IF(Data!M779="","",Data!M779)</f>
        <v/>
      </c>
      <c r="N779" s="28" t="str">
        <f aca="false">IF(Data!N779="","",IFERROR(VLOOKUP(Data!N779,Codes!$A$47:$B$49,2,FALSE()),"Invalid ("&amp;Data!N779&amp;")"))</f>
        <v/>
      </c>
      <c r="O779" s="28" t="str">
        <f aca="false">IF(Data!O779="","",IFERROR(VLOOKUP(Data!O779,Codes!$A$53:$B$57,2,FALSE()),"Invalid ("&amp;Data!O779&amp;")"))</f>
        <v>Disease (3)</v>
      </c>
      <c r="P779" s="22" t="str">
        <f aca="false">IF(Data!P779="","",IFERROR(VLOOKUP(Data!P779,Codes!$A$61:$B$64,2,FALSE()),"Invalid ("&amp;Data!P779&amp;")"))</f>
        <v>VA Medical Center, Long Beach</v>
      </c>
    </row>
    <row r="780" customFormat="false" ht="15" hidden="false" customHeight="false" outlineLevel="0" collapsed="false">
      <c r="A780" s="19" t="n">
        <f aca="false">Data!A780</f>
        <v>779</v>
      </c>
      <c r="B780" s="20" t="n">
        <f aca="false">IF(Data!B780="","",Data!B780)</f>
        <v>62</v>
      </c>
      <c r="C780" s="28" t="str">
        <f aca="false">IF(Data!C780="","",IFERROR(VLOOKUP(Data!C780,Codes!$A$6:$B$7,2,FALSE()),"Invalid ("&amp;Data!C780&amp;")"))</f>
        <v>Male</v>
      </c>
      <c r="D780" s="28" t="str">
        <f aca="false">IF(Data!D780="","",IFERROR(VLOOKUP(Data!D780,Codes!$A$11:$B$14,2,FALSE()),"Invalid ("&amp;Data!D780&amp;")"))</f>
        <v>Atypical angina</v>
      </c>
      <c r="E780" s="20" t="str">
        <f aca="false">IF(Data!E780="","",Data!E780)</f>
        <v/>
      </c>
      <c r="F780" s="20" t="n">
        <f aca="false">IF(Data!F780="","",Data!F780)</f>
        <v>0</v>
      </c>
      <c r="G780" s="28" t="str">
        <f aca="false">IF(Data!G780="","",IFERROR(VLOOKUP(Data!G780,Codes!$A$18:$B$19,2,FALSE()),"Invalid ("&amp;Data!G780&amp;")"))</f>
        <v>No</v>
      </c>
      <c r="H780" s="28" t="str">
        <f aca="false">IF(Data!H780="","",IFERROR(VLOOKUP(Data!H780,Codes!$A$23:$B$25,2,FALSE()),"Invalid ("&amp;Data!H780&amp;")"))</f>
        <v>Normal</v>
      </c>
      <c r="I780" s="20" t="str">
        <f aca="false">IF(Data!I780="","",Data!I780)</f>
        <v/>
      </c>
      <c r="J780" s="28" t="str">
        <f aca="false">IF(Data!J780="","",IFERROR(VLOOKUP(Data!J780,Codes!$A$29:$B$30,2,FALSE()),"Invalid ("&amp;Data!J780&amp;")"))</f>
        <v/>
      </c>
      <c r="K780" s="21" t="str">
        <f aca="false">IF(Data!K780="","",Data!K780)</f>
        <v/>
      </c>
      <c r="L780" s="28" t="str">
        <f aca="false">IF(Data!L780="","",IFERROR(VLOOKUP(Data!L780,Codes!$A$34:$B$36,2,FALSE()),"Invalid ("&amp;Data!L780&amp;")"))</f>
        <v/>
      </c>
      <c r="M780" s="20" t="str">
        <f aca="false">IF(Data!M780="","",Data!M780)</f>
        <v/>
      </c>
      <c r="N780" s="28" t="str">
        <f aca="false">IF(Data!N780="","",IFERROR(VLOOKUP(Data!N780,Codes!$A$47:$B$49,2,FALSE()),"Invalid ("&amp;Data!N780&amp;")"))</f>
        <v/>
      </c>
      <c r="O780" s="28" t="str">
        <f aca="false">IF(Data!O780="","",IFERROR(VLOOKUP(Data!O780,Codes!$A$53:$B$57,2,FALSE()),"Invalid ("&amp;Data!O780&amp;")"))</f>
        <v>No disease</v>
      </c>
      <c r="P780" s="22" t="str">
        <f aca="false">IF(Data!P780="","",IFERROR(VLOOKUP(Data!P780,Codes!$A$61:$B$64,2,FALSE()),"Invalid ("&amp;Data!P780&amp;")"))</f>
        <v>VA Medical Center, Long Beach</v>
      </c>
    </row>
    <row r="781" customFormat="false" ht="15" hidden="false" customHeight="false" outlineLevel="0" collapsed="false">
      <c r="A781" s="19" t="n">
        <f aca="false">Data!A781</f>
        <v>780</v>
      </c>
      <c r="B781" s="20" t="n">
        <f aca="false">IF(Data!B781="","",Data!B781)</f>
        <v>59</v>
      </c>
      <c r="C781" s="28" t="str">
        <f aca="false">IF(Data!C781="","",IFERROR(VLOOKUP(Data!C781,Codes!$A$6:$B$7,2,FALSE()),"Invalid ("&amp;Data!C781&amp;")"))</f>
        <v>Male</v>
      </c>
      <c r="D781" s="28" t="str">
        <f aca="false">IF(Data!D781="","",IFERROR(VLOOKUP(Data!D781,Codes!$A$11:$B$14,2,FALSE()),"Invalid ("&amp;Data!D781&amp;")"))</f>
        <v>Asymptomatic</v>
      </c>
      <c r="E781" s="20" t="n">
        <f aca="false">IF(Data!E781="","",Data!E781)</f>
        <v>178</v>
      </c>
      <c r="F781" s="20" t="n">
        <f aca="false">IF(Data!F781="","",Data!F781)</f>
        <v>0</v>
      </c>
      <c r="G781" s="28" t="str">
        <f aca="false">IF(Data!G781="","",IFERROR(VLOOKUP(Data!G781,Codes!$A$18:$B$19,2,FALSE()),"Invalid ("&amp;Data!G781&amp;")"))</f>
        <v>Yes</v>
      </c>
      <c r="H781" s="28" t="str">
        <f aca="false">IF(Data!H781="","",IFERROR(VLOOKUP(Data!H781,Codes!$A$23:$B$25,2,FALSE()),"Invalid ("&amp;Data!H781&amp;")"))</f>
        <v>Left ventricular hypertrophy</v>
      </c>
      <c r="I781" s="20" t="n">
        <f aca="false">IF(Data!I781="","",Data!I781)</f>
        <v>120</v>
      </c>
      <c r="J781" s="28" t="str">
        <f aca="false">IF(Data!J781="","",IFERROR(VLOOKUP(Data!J781,Codes!$A$29:$B$30,2,FALSE()),"Invalid ("&amp;Data!J781&amp;")"))</f>
        <v>Yes</v>
      </c>
      <c r="K781" s="21" t="n">
        <f aca="false">IF(Data!K781="","",Data!K781)</f>
        <v>0</v>
      </c>
      <c r="L781" s="28" t="str">
        <f aca="false">IF(Data!L781="","",IFERROR(VLOOKUP(Data!L781,Codes!$A$34:$B$36,2,FALSE()),"Invalid ("&amp;Data!L781&amp;")"))</f>
        <v/>
      </c>
      <c r="M781" s="20" t="str">
        <f aca="false">IF(Data!M781="","",Data!M781)</f>
        <v/>
      </c>
      <c r="N781" s="28" t="str">
        <f aca="false">IF(Data!N781="","",IFERROR(VLOOKUP(Data!N781,Codes!$A$47:$B$49,2,FALSE()),"Invalid ("&amp;Data!N781&amp;")"))</f>
        <v>Reversible defect</v>
      </c>
      <c r="O781" s="28" t="str">
        <f aca="false">IF(Data!O781="","",IFERROR(VLOOKUP(Data!O781,Codes!$A$53:$B$57,2,FALSE()),"Invalid ("&amp;Data!O781&amp;")"))</f>
        <v>Disease (1)</v>
      </c>
      <c r="P781" s="22" t="str">
        <f aca="false">IF(Data!P781="","",IFERROR(VLOOKUP(Data!P781,Codes!$A$61:$B$64,2,FALSE()),"Invalid ("&amp;Data!P781&amp;")"))</f>
        <v>VA Medical Center, Long Beach</v>
      </c>
    </row>
    <row r="782" customFormat="false" ht="15" hidden="false" customHeight="false" outlineLevel="0" collapsed="false">
      <c r="A782" s="19" t="n">
        <f aca="false">Data!A782</f>
        <v>781</v>
      </c>
      <c r="B782" s="20" t="n">
        <f aca="false">IF(Data!B782="","",Data!B782)</f>
        <v>51</v>
      </c>
      <c r="C782" s="28" t="str">
        <f aca="false">IF(Data!C782="","",IFERROR(VLOOKUP(Data!C782,Codes!$A$6:$B$7,2,FALSE()),"Invalid ("&amp;Data!C782&amp;")"))</f>
        <v>Male</v>
      </c>
      <c r="D782" s="28" t="str">
        <f aca="false">IF(Data!D782="","",IFERROR(VLOOKUP(Data!D782,Codes!$A$11:$B$14,2,FALSE()),"Invalid ("&amp;Data!D782&amp;")"))</f>
        <v>Asymptomatic</v>
      </c>
      <c r="E782" s="20" t="str">
        <f aca="false">IF(Data!E782="","",Data!E782)</f>
        <v/>
      </c>
      <c r="F782" s="20" t="n">
        <f aca="false">IF(Data!F782="","",Data!F782)</f>
        <v>218</v>
      </c>
      <c r="G782" s="28" t="str">
        <f aca="false">IF(Data!G782="","",IFERROR(VLOOKUP(Data!G782,Codes!$A$18:$B$19,2,FALSE()),"Invalid ("&amp;Data!G782&amp;")"))</f>
        <v>Yes</v>
      </c>
      <c r="H782" s="28" t="str">
        <f aca="false">IF(Data!H782="","",IFERROR(VLOOKUP(Data!H782,Codes!$A$23:$B$25,2,FALSE()),"Invalid ("&amp;Data!H782&amp;")"))</f>
        <v>Left ventricular hypertrophy</v>
      </c>
      <c r="I782" s="20" t="str">
        <f aca="false">IF(Data!I782="","",Data!I782)</f>
        <v/>
      </c>
      <c r="J782" s="28" t="str">
        <f aca="false">IF(Data!J782="","",IFERROR(VLOOKUP(Data!J782,Codes!$A$29:$B$30,2,FALSE()),"Invalid ("&amp;Data!J782&amp;")"))</f>
        <v/>
      </c>
      <c r="K782" s="21" t="str">
        <f aca="false">IF(Data!K782="","",Data!K782)</f>
        <v/>
      </c>
      <c r="L782" s="28" t="str">
        <f aca="false">IF(Data!L782="","",IFERROR(VLOOKUP(Data!L782,Codes!$A$34:$B$36,2,FALSE()),"Invalid ("&amp;Data!L782&amp;")"))</f>
        <v/>
      </c>
      <c r="M782" s="20" t="str">
        <f aca="false">IF(Data!M782="","",Data!M782)</f>
        <v/>
      </c>
      <c r="N782" s="28" t="str">
        <f aca="false">IF(Data!N782="","",IFERROR(VLOOKUP(Data!N782,Codes!$A$47:$B$49,2,FALSE()),"Invalid ("&amp;Data!N782&amp;")"))</f>
        <v/>
      </c>
      <c r="O782" s="28" t="str">
        <f aca="false">IF(Data!O782="","",IFERROR(VLOOKUP(Data!O782,Codes!$A$53:$B$57,2,FALSE()),"Invalid ("&amp;Data!O782&amp;")"))</f>
        <v>No disease</v>
      </c>
      <c r="P782" s="22" t="str">
        <f aca="false">IF(Data!P782="","",IFERROR(VLOOKUP(Data!P782,Codes!$A$61:$B$64,2,FALSE()),"Invalid ("&amp;Data!P782&amp;")"))</f>
        <v>VA Medical Center, Long Beach</v>
      </c>
    </row>
    <row r="783" customFormat="false" ht="15" hidden="false" customHeight="false" outlineLevel="0" collapsed="false">
      <c r="A783" s="19" t="n">
        <f aca="false">Data!A783</f>
        <v>782</v>
      </c>
      <c r="B783" s="20" t="n">
        <f aca="false">IF(Data!B783="","",Data!B783)</f>
        <v>61</v>
      </c>
      <c r="C783" s="28" t="str">
        <f aca="false">IF(Data!C783="","",IFERROR(VLOOKUP(Data!C783,Codes!$A$6:$B$7,2,FALSE()),"Invalid ("&amp;Data!C783&amp;")"))</f>
        <v>Male</v>
      </c>
      <c r="D783" s="28" t="str">
        <f aca="false">IF(Data!D783="","",IFERROR(VLOOKUP(Data!D783,Codes!$A$11:$B$14,2,FALSE()),"Invalid ("&amp;Data!D783&amp;")"))</f>
        <v>Asymptomatic</v>
      </c>
      <c r="E783" s="20" t="n">
        <f aca="false">IF(Data!E783="","",Data!E783)</f>
        <v>110</v>
      </c>
      <c r="F783" s="20" t="n">
        <f aca="false">IF(Data!F783="","",Data!F783)</f>
        <v>0</v>
      </c>
      <c r="G783" s="28" t="str">
        <f aca="false">IF(Data!G783="","",IFERROR(VLOOKUP(Data!G783,Codes!$A$18:$B$19,2,FALSE()),"Invalid ("&amp;Data!G783&amp;")"))</f>
        <v/>
      </c>
      <c r="H783" s="28" t="str">
        <f aca="false">IF(Data!H783="","",IFERROR(VLOOKUP(Data!H783,Codes!$A$23:$B$25,2,FALSE()),"Invalid ("&amp;Data!H783&amp;")"))</f>
        <v>Normal</v>
      </c>
      <c r="I783" s="20" t="n">
        <f aca="false">IF(Data!I783="","",Data!I783)</f>
        <v>108</v>
      </c>
      <c r="J783" s="28" t="str">
        <f aca="false">IF(Data!J783="","",IFERROR(VLOOKUP(Data!J783,Codes!$A$29:$B$30,2,FALSE()),"Invalid ("&amp;Data!J783&amp;")"))</f>
        <v>Yes</v>
      </c>
      <c r="K783" s="21" t="n">
        <f aca="false">IF(Data!K783="","",Data!K783)</f>
        <v>2</v>
      </c>
      <c r="L783" s="28" t="str">
        <f aca="false">IF(Data!L783="","",IFERROR(VLOOKUP(Data!L783,Codes!$A$34:$B$36,2,FALSE()),"Invalid ("&amp;Data!L783&amp;")"))</f>
        <v>Downsloping</v>
      </c>
      <c r="M783" s="20" t="str">
        <f aca="false">IF(Data!M783="","",Data!M783)</f>
        <v/>
      </c>
      <c r="N783" s="28" t="str">
        <f aca="false">IF(Data!N783="","",IFERROR(VLOOKUP(Data!N783,Codes!$A$47:$B$49,2,FALSE()),"Invalid ("&amp;Data!N783&amp;")"))</f>
        <v/>
      </c>
      <c r="O783" s="28" t="str">
        <f aca="false">IF(Data!O783="","",IFERROR(VLOOKUP(Data!O783,Codes!$A$53:$B$57,2,FALSE()),"Invalid ("&amp;Data!O783&amp;")"))</f>
        <v>Disease (2)</v>
      </c>
      <c r="P783" s="22" t="str">
        <f aca="false">IF(Data!P783="","",IFERROR(VLOOKUP(Data!P783,Codes!$A$61:$B$64,2,FALSE()),"Invalid ("&amp;Data!P783&amp;")"))</f>
        <v>VA Medical Center, Long Beach</v>
      </c>
    </row>
    <row r="784" customFormat="false" ht="15" hidden="false" customHeight="false" outlineLevel="0" collapsed="false">
      <c r="A784" s="19" t="n">
        <f aca="false">Data!A784</f>
        <v>783</v>
      </c>
      <c r="B784" s="20" t="n">
        <f aca="false">IF(Data!B784="","",Data!B784)</f>
        <v>57</v>
      </c>
      <c r="C784" s="28" t="str">
        <f aca="false">IF(Data!C784="","",IFERROR(VLOOKUP(Data!C784,Codes!$A$6:$B$7,2,FALSE()),"Invalid ("&amp;Data!C784&amp;")"))</f>
        <v>Male</v>
      </c>
      <c r="D784" s="28" t="str">
        <f aca="false">IF(Data!D784="","",IFERROR(VLOOKUP(Data!D784,Codes!$A$11:$B$14,2,FALSE()),"Invalid ("&amp;Data!D784&amp;")"))</f>
        <v>Asymptomatic</v>
      </c>
      <c r="E784" s="20" t="n">
        <f aca="false">IF(Data!E784="","",Data!E784)</f>
        <v>130</v>
      </c>
      <c r="F784" s="20" t="n">
        <f aca="false">IF(Data!F784="","",Data!F784)</f>
        <v>311</v>
      </c>
      <c r="G784" s="28" t="str">
        <f aca="false">IF(Data!G784="","",IFERROR(VLOOKUP(Data!G784,Codes!$A$18:$B$19,2,FALSE()),"Invalid ("&amp;Data!G784&amp;")"))</f>
        <v/>
      </c>
      <c r="H784" s="28" t="str">
        <f aca="false">IF(Data!H784="","",IFERROR(VLOOKUP(Data!H784,Codes!$A$23:$B$25,2,FALSE()),"Invalid ("&amp;Data!H784&amp;")"))</f>
        <v>ST-T wave abnormality</v>
      </c>
      <c r="I784" s="20" t="n">
        <f aca="false">IF(Data!I784="","",Data!I784)</f>
        <v>148</v>
      </c>
      <c r="J784" s="28" t="str">
        <f aca="false">IF(Data!J784="","",IFERROR(VLOOKUP(Data!J784,Codes!$A$29:$B$30,2,FALSE()),"Invalid ("&amp;Data!J784&amp;")"))</f>
        <v>Yes</v>
      </c>
      <c r="K784" s="21" t="n">
        <f aca="false">IF(Data!K784="","",Data!K784)</f>
        <v>2</v>
      </c>
      <c r="L784" s="28" t="str">
        <f aca="false">IF(Data!L784="","",IFERROR(VLOOKUP(Data!L784,Codes!$A$34:$B$36,2,FALSE()),"Invalid ("&amp;Data!L784&amp;")"))</f>
        <v>Flat</v>
      </c>
      <c r="M784" s="20" t="str">
        <f aca="false">IF(Data!M784="","",Data!M784)</f>
        <v/>
      </c>
      <c r="N784" s="28" t="str">
        <f aca="false">IF(Data!N784="","",IFERROR(VLOOKUP(Data!N784,Codes!$A$47:$B$49,2,FALSE()),"Invalid ("&amp;Data!N784&amp;")"))</f>
        <v/>
      </c>
      <c r="O784" s="28" t="str">
        <f aca="false">IF(Data!O784="","",IFERROR(VLOOKUP(Data!O784,Codes!$A$53:$B$57,2,FALSE()),"Invalid ("&amp;Data!O784&amp;")"))</f>
        <v>Disease (1)</v>
      </c>
      <c r="P784" s="22" t="str">
        <f aca="false">IF(Data!P784="","",IFERROR(VLOOKUP(Data!P784,Codes!$A$61:$B$64,2,FALSE()),"Invalid ("&amp;Data!P784&amp;")"))</f>
        <v>VA Medical Center, Long Beach</v>
      </c>
    </row>
    <row r="785" customFormat="false" ht="15" hidden="false" customHeight="false" outlineLevel="0" collapsed="false">
      <c r="A785" s="19" t="n">
        <f aca="false">Data!A785</f>
        <v>784</v>
      </c>
      <c r="B785" s="20" t="n">
        <f aca="false">IF(Data!B785="","",Data!B785)</f>
        <v>56</v>
      </c>
      <c r="C785" s="28" t="str">
        <f aca="false">IF(Data!C785="","",IFERROR(VLOOKUP(Data!C785,Codes!$A$6:$B$7,2,FALSE()),"Invalid ("&amp;Data!C785&amp;")"))</f>
        <v>Male</v>
      </c>
      <c r="D785" s="28" t="str">
        <f aca="false">IF(Data!D785="","",IFERROR(VLOOKUP(Data!D785,Codes!$A$11:$B$14,2,FALSE()),"Invalid ("&amp;Data!D785&amp;")"))</f>
        <v>Non-anginal pain</v>
      </c>
      <c r="E785" s="20" t="n">
        <f aca="false">IF(Data!E785="","",Data!E785)</f>
        <v>170</v>
      </c>
      <c r="F785" s="20" t="n">
        <f aca="false">IF(Data!F785="","",Data!F785)</f>
        <v>0</v>
      </c>
      <c r="G785" s="28" t="str">
        <f aca="false">IF(Data!G785="","",IFERROR(VLOOKUP(Data!G785,Codes!$A$18:$B$19,2,FALSE()),"Invalid ("&amp;Data!G785&amp;")"))</f>
        <v>No</v>
      </c>
      <c r="H785" s="28" t="str">
        <f aca="false">IF(Data!H785="","",IFERROR(VLOOKUP(Data!H785,Codes!$A$23:$B$25,2,FALSE()),"Invalid ("&amp;Data!H785&amp;")"))</f>
        <v>Left ventricular hypertrophy</v>
      </c>
      <c r="I785" s="20" t="n">
        <f aca="false">IF(Data!I785="","",Data!I785)</f>
        <v>123</v>
      </c>
      <c r="J785" s="28" t="str">
        <f aca="false">IF(Data!J785="","",IFERROR(VLOOKUP(Data!J785,Codes!$A$29:$B$30,2,FALSE()),"Invalid ("&amp;Data!J785&amp;")"))</f>
        <v>Yes</v>
      </c>
      <c r="K785" s="21" t="n">
        <f aca="false">IF(Data!K785="","",Data!K785)</f>
        <v>2.5</v>
      </c>
      <c r="L785" s="28" t="str">
        <f aca="false">IF(Data!L785="","",IFERROR(VLOOKUP(Data!L785,Codes!$A$34:$B$36,2,FALSE()),"Invalid ("&amp;Data!L785&amp;")"))</f>
        <v/>
      </c>
      <c r="M785" s="20" t="str">
        <f aca="false">IF(Data!M785="","",Data!M785)</f>
        <v/>
      </c>
      <c r="N785" s="28" t="str">
        <f aca="false">IF(Data!N785="","",IFERROR(VLOOKUP(Data!N785,Codes!$A$47:$B$49,2,FALSE()),"Invalid ("&amp;Data!N785&amp;")"))</f>
        <v/>
      </c>
      <c r="O785" s="28" t="str">
        <f aca="false">IF(Data!O785="","",IFERROR(VLOOKUP(Data!O785,Codes!$A$53:$B$57,2,FALSE()),"Invalid ("&amp;Data!O785&amp;")"))</f>
        <v>Disease (4)</v>
      </c>
      <c r="P785" s="22" t="str">
        <f aca="false">IF(Data!P785="","",IFERROR(VLOOKUP(Data!P785,Codes!$A$61:$B$64,2,FALSE()),"Invalid ("&amp;Data!P785&amp;")"))</f>
        <v>VA Medical Center, Long Beach</v>
      </c>
    </row>
    <row r="786" customFormat="false" ht="15" hidden="false" customHeight="false" outlineLevel="0" collapsed="false">
      <c r="A786" s="19" t="n">
        <f aca="false">Data!A786</f>
        <v>785</v>
      </c>
      <c r="B786" s="20" t="n">
        <f aca="false">IF(Data!B786="","",Data!B786)</f>
        <v>58</v>
      </c>
      <c r="C786" s="28" t="str">
        <f aca="false">IF(Data!C786="","",IFERROR(VLOOKUP(Data!C786,Codes!$A$6:$B$7,2,FALSE()),"Invalid ("&amp;Data!C786&amp;")"))</f>
        <v>Male</v>
      </c>
      <c r="D786" s="28" t="str">
        <f aca="false">IF(Data!D786="","",IFERROR(VLOOKUP(Data!D786,Codes!$A$11:$B$14,2,FALSE()),"Invalid ("&amp;Data!D786&amp;")"))</f>
        <v>Atypical angina</v>
      </c>
      <c r="E786" s="20" t="n">
        <f aca="false">IF(Data!E786="","",Data!E786)</f>
        <v>126</v>
      </c>
      <c r="F786" s="20" t="n">
        <f aca="false">IF(Data!F786="","",Data!F786)</f>
        <v>0</v>
      </c>
      <c r="G786" s="28" t="str">
        <f aca="false">IF(Data!G786="","",IFERROR(VLOOKUP(Data!G786,Codes!$A$18:$B$19,2,FALSE()),"Invalid ("&amp;Data!G786&amp;")"))</f>
        <v>Yes</v>
      </c>
      <c r="H786" s="28" t="str">
        <f aca="false">IF(Data!H786="","",IFERROR(VLOOKUP(Data!H786,Codes!$A$23:$B$25,2,FALSE()),"Invalid ("&amp;Data!H786&amp;")"))</f>
        <v>Normal</v>
      </c>
      <c r="I786" s="20" t="n">
        <f aca="false">IF(Data!I786="","",Data!I786)</f>
        <v>110</v>
      </c>
      <c r="J786" s="28" t="str">
        <f aca="false">IF(Data!J786="","",IFERROR(VLOOKUP(Data!J786,Codes!$A$29:$B$30,2,FALSE()),"Invalid ("&amp;Data!J786&amp;")"))</f>
        <v>Yes</v>
      </c>
      <c r="K786" s="21" t="n">
        <f aca="false">IF(Data!K786="","",Data!K786)</f>
        <v>2</v>
      </c>
      <c r="L786" s="28" t="str">
        <f aca="false">IF(Data!L786="","",IFERROR(VLOOKUP(Data!L786,Codes!$A$34:$B$36,2,FALSE()),"Invalid ("&amp;Data!L786&amp;")"))</f>
        <v>Flat</v>
      </c>
      <c r="M786" s="20" t="str">
        <f aca="false">IF(Data!M786="","",Data!M786)</f>
        <v/>
      </c>
      <c r="N786" s="28" t="str">
        <f aca="false">IF(Data!N786="","",IFERROR(VLOOKUP(Data!N786,Codes!$A$47:$B$49,2,FALSE()),"Invalid ("&amp;Data!N786&amp;")"))</f>
        <v/>
      </c>
      <c r="O786" s="28" t="str">
        <f aca="false">IF(Data!O786="","",IFERROR(VLOOKUP(Data!O786,Codes!$A$53:$B$57,2,FALSE()),"Invalid ("&amp;Data!O786&amp;")"))</f>
        <v>Disease (2)</v>
      </c>
      <c r="P786" s="22" t="str">
        <f aca="false">IF(Data!P786="","",IFERROR(VLOOKUP(Data!P786,Codes!$A$61:$B$64,2,FALSE()),"Invalid ("&amp;Data!P786&amp;")"))</f>
        <v>VA Medical Center, Long Beach</v>
      </c>
    </row>
    <row r="787" customFormat="false" ht="15" hidden="false" customHeight="false" outlineLevel="0" collapsed="false">
      <c r="A787" s="19" t="n">
        <f aca="false">Data!A787</f>
        <v>786</v>
      </c>
      <c r="B787" s="20" t="n">
        <f aca="false">IF(Data!B787="","",Data!B787)</f>
        <v>69</v>
      </c>
      <c r="C787" s="28" t="str">
        <f aca="false">IF(Data!C787="","",IFERROR(VLOOKUP(Data!C787,Codes!$A$6:$B$7,2,FALSE()),"Invalid ("&amp;Data!C787&amp;")"))</f>
        <v>Male</v>
      </c>
      <c r="D787" s="28" t="str">
        <f aca="false">IF(Data!D787="","",IFERROR(VLOOKUP(Data!D787,Codes!$A$11:$B$14,2,FALSE()),"Invalid ("&amp;Data!D787&amp;")"))</f>
        <v>Non-anginal pain</v>
      </c>
      <c r="E787" s="20" t="n">
        <f aca="false">IF(Data!E787="","",Data!E787)</f>
        <v>140</v>
      </c>
      <c r="F787" s="20" t="n">
        <f aca="false">IF(Data!F787="","",Data!F787)</f>
        <v>0</v>
      </c>
      <c r="G787" s="28" t="str">
        <f aca="false">IF(Data!G787="","",IFERROR(VLOOKUP(Data!G787,Codes!$A$18:$B$19,2,FALSE()),"Invalid ("&amp;Data!G787&amp;")"))</f>
        <v/>
      </c>
      <c r="H787" s="28" t="str">
        <f aca="false">IF(Data!H787="","",IFERROR(VLOOKUP(Data!H787,Codes!$A$23:$B$25,2,FALSE()),"Invalid ("&amp;Data!H787&amp;")"))</f>
        <v>ST-T wave abnormality</v>
      </c>
      <c r="I787" s="20" t="n">
        <f aca="false">IF(Data!I787="","",Data!I787)</f>
        <v>118</v>
      </c>
      <c r="J787" s="28" t="str">
        <f aca="false">IF(Data!J787="","",IFERROR(VLOOKUP(Data!J787,Codes!$A$29:$B$30,2,FALSE()),"Invalid ("&amp;Data!J787&amp;")"))</f>
        <v>No</v>
      </c>
      <c r="K787" s="21" t="n">
        <f aca="false">IF(Data!K787="","",Data!K787)</f>
        <v>2.5</v>
      </c>
      <c r="L787" s="28" t="str">
        <f aca="false">IF(Data!L787="","",IFERROR(VLOOKUP(Data!L787,Codes!$A$34:$B$36,2,FALSE()),"Invalid ("&amp;Data!L787&amp;")"))</f>
        <v>Downsloping</v>
      </c>
      <c r="M787" s="20" t="str">
        <f aca="false">IF(Data!M787="","",Data!M787)</f>
        <v/>
      </c>
      <c r="N787" s="28" t="str">
        <f aca="false">IF(Data!N787="","",IFERROR(VLOOKUP(Data!N787,Codes!$A$47:$B$49,2,FALSE()),"Invalid ("&amp;Data!N787&amp;")"))</f>
        <v/>
      </c>
      <c r="O787" s="28" t="str">
        <f aca="false">IF(Data!O787="","",IFERROR(VLOOKUP(Data!O787,Codes!$A$53:$B$57,2,FALSE()),"Invalid ("&amp;Data!O787&amp;")"))</f>
        <v>Disease (2)</v>
      </c>
      <c r="P787" s="22" t="str">
        <f aca="false">IF(Data!P787="","",IFERROR(VLOOKUP(Data!P787,Codes!$A$61:$B$64,2,FALSE()),"Invalid ("&amp;Data!P787&amp;")"))</f>
        <v>VA Medical Center, Long Beach</v>
      </c>
    </row>
    <row r="788" customFormat="false" ht="15" hidden="false" customHeight="false" outlineLevel="0" collapsed="false">
      <c r="A788" s="19" t="n">
        <f aca="false">Data!A788</f>
        <v>787</v>
      </c>
      <c r="B788" s="20" t="n">
        <f aca="false">IF(Data!B788="","",Data!B788)</f>
        <v>67</v>
      </c>
      <c r="C788" s="28" t="str">
        <f aca="false">IF(Data!C788="","",IFERROR(VLOOKUP(Data!C788,Codes!$A$6:$B$7,2,FALSE()),"Invalid ("&amp;Data!C788&amp;")"))</f>
        <v>Male</v>
      </c>
      <c r="D788" s="28" t="str">
        <f aca="false">IF(Data!D788="","",IFERROR(VLOOKUP(Data!D788,Codes!$A$11:$B$14,2,FALSE()),"Invalid ("&amp;Data!D788&amp;")"))</f>
        <v>Typical angina</v>
      </c>
      <c r="E788" s="20" t="n">
        <f aca="false">IF(Data!E788="","",Data!E788)</f>
        <v>142</v>
      </c>
      <c r="F788" s="20" t="n">
        <f aca="false">IF(Data!F788="","",Data!F788)</f>
        <v>270</v>
      </c>
      <c r="G788" s="28" t="str">
        <f aca="false">IF(Data!G788="","",IFERROR(VLOOKUP(Data!G788,Codes!$A$18:$B$19,2,FALSE()),"Invalid ("&amp;Data!G788&amp;")"))</f>
        <v>Yes</v>
      </c>
      <c r="H788" s="28" t="str">
        <f aca="false">IF(Data!H788="","",IFERROR(VLOOKUP(Data!H788,Codes!$A$23:$B$25,2,FALSE()),"Invalid ("&amp;Data!H788&amp;")"))</f>
        <v>Normal</v>
      </c>
      <c r="I788" s="20" t="n">
        <f aca="false">IF(Data!I788="","",Data!I788)</f>
        <v>125</v>
      </c>
      <c r="J788" s="28" t="str">
        <f aca="false">IF(Data!J788="","",IFERROR(VLOOKUP(Data!J788,Codes!$A$29:$B$30,2,FALSE()),"Invalid ("&amp;Data!J788&amp;")"))</f>
        <v>No</v>
      </c>
      <c r="K788" s="21" t="n">
        <f aca="false">IF(Data!K788="","",Data!K788)</f>
        <v>2.5</v>
      </c>
      <c r="L788" s="28" t="str">
        <f aca="false">IF(Data!L788="","",IFERROR(VLOOKUP(Data!L788,Codes!$A$34:$B$36,2,FALSE()),"Invalid ("&amp;Data!L788&amp;")"))</f>
        <v>Upsloping</v>
      </c>
      <c r="M788" s="20" t="str">
        <f aca="false">IF(Data!M788="","",Data!M788)</f>
        <v/>
      </c>
      <c r="N788" s="28" t="str">
        <f aca="false">IF(Data!N788="","",IFERROR(VLOOKUP(Data!N788,Codes!$A$47:$B$49,2,FALSE()),"Invalid ("&amp;Data!N788&amp;")"))</f>
        <v/>
      </c>
      <c r="O788" s="28" t="str">
        <f aca="false">IF(Data!O788="","",IFERROR(VLOOKUP(Data!O788,Codes!$A$53:$B$57,2,FALSE()),"Invalid ("&amp;Data!O788&amp;")"))</f>
        <v>Disease (3)</v>
      </c>
      <c r="P788" s="22" t="str">
        <f aca="false">IF(Data!P788="","",IFERROR(VLOOKUP(Data!P788,Codes!$A$61:$B$64,2,FALSE()),"Invalid ("&amp;Data!P788&amp;")"))</f>
        <v>VA Medical Center, Long Beach</v>
      </c>
    </row>
    <row r="789" customFormat="false" ht="15" hidden="false" customHeight="false" outlineLevel="0" collapsed="false">
      <c r="A789" s="19" t="n">
        <f aca="false">Data!A789</f>
        <v>788</v>
      </c>
      <c r="B789" s="20" t="n">
        <f aca="false">IF(Data!B789="","",Data!B789)</f>
        <v>58</v>
      </c>
      <c r="C789" s="28" t="str">
        <f aca="false">IF(Data!C789="","",IFERROR(VLOOKUP(Data!C789,Codes!$A$6:$B$7,2,FALSE()),"Invalid ("&amp;Data!C789&amp;")"))</f>
        <v>Male</v>
      </c>
      <c r="D789" s="28" t="str">
        <f aca="false">IF(Data!D789="","",IFERROR(VLOOKUP(Data!D789,Codes!$A$11:$B$14,2,FALSE()),"Invalid ("&amp;Data!D789&amp;")"))</f>
        <v>Asymptomatic</v>
      </c>
      <c r="E789" s="20" t="n">
        <f aca="false">IF(Data!E789="","",Data!E789)</f>
        <v>120</v>
      </c>
      <c r="F789" s="20" t="n">
        <f aca="false">IF(Data!F789="","",Data!F789)</f>
        <v>0</v>
      </c>
      <c r="G789" s="28" t="str">
        <f aca="false">IF(Data!G789="","",IFERROR(VLOOKUP(Data!G789,Codes!$A$18:$B$19,2,FALSE()),"Invalid ("&amp;Data!G789&amp;")"))</f>
        <v>No</v>
      </c>
      <c r="H789" s="28" t="str">
        <f aca="false">IF(Data!H789="","",IFERROR(VLOOKUP(Data!H789,Codes!$A$23:$B$25,2,FALSE()),"Invalid ("&amp;Data!H789&amp;")"))</f>
        <v>Left ventricular hypertrophy</v>
      </c>
      <c r="I789" s="20" t="n">
        <f aca="false">IF(Data!I789="","",Data!I789)</f>
        <v>106</v>
      </c>
      <c r="J789" s="28" t="str">
        <f aca="false">IF(Data!J789="","",IFERROR(VLOOKUP(Data!J789,Codes!$A$29:$B$30,2,FALSE()),"Invalid ("&amp;Data!J789&amp;")"))</f>
        <v>Yes</v>
      </c>
      <c r="K789" s="21" t="n">
        <f aca="false">IF(Data!K789="","",Data!K789)</f>
        <v>1.5</v>
      </c>
      <c r="L789" s="28" t="str">
        <f aca="false">IF(Data!L789="","",IFERROR(VLOOKUP(Data!L789,Codes!$A$34:$B$36,2,FALSE()),"Invalid ("&amp;Data!L789&amp;")"))</f>
        <v>Downsloping</v>
      </c>
      <c r="M789" s="20" t="str">
        <f aca="false">IF(Data!M789="","",Data!M789)</f>
        <v/>
      </c>
      <c r="N789" s="28" t="str">
        <f aca="false">IF(Data!N789="","",IFERROR(VLOOKUP(Data!N789,Codes!$A$47:$B$49,2,FALSE()),"Invalid ("&amp;Data!N789&amp;")"))</f>
        <v>Reversible defect</v>
      </c>
      <c r="O789" s="28" t="str">
        <f aca="false">IF(Data!O789="","",IFERROR(VLOOKUP(Data!O789,Codes!$A$53:$B$57,2,FALSE()),"Invalid ("&amp;Data!O789&amp;")"))</f>
        <v>Disease (1)</v>
      </c>
      <c r="P789" s="22" t="str">
        <f aca="false">IF(Data!P789="","",IFERROR(VLOOKUP(Data!P789,Codes!$A$61:$B$64,2,FALSE()),"Invalid ("&amp;Data!P789&amp;")"))</f>
        <v>VA Medical Center, Long Beach</v>
      </c>
    </row>
    <row r="790" customFormat="false" ht="15" hidden="false" customHeight="false" outlineLevel="0" collapsed="false">
      <c r="A790" s="19" t="n">
        <f aca="false">Data!A790</f>
        <v>789</v>
      </c>
      <c r="B790" s="20" t="n">
        <f aca="false">IF(Data!B790="","",Data!B790)</f>
        <v>65</v>
      </c>
      <c r="C790" s="28" t="str">
        <f aca="false">IF(Data!C790="","",IFERROR(VLOOKUP(Data!C790,Codes!$A$6:$B$7,2,FALSE()),"Invalid ("&amp;Data!C790&amp;")"))</f>
        <v>Male</v>
      </c>
      <c r="D790" s="28" t="str">
        <f aca="false">IF(Data!D790="","",IFERROR(VLOOKUP(Data!D790,Codes!$A$11:$B$14,2,FALSE()),"Invalid ("&amp;Data!D790&amp;")"))</f>
        <v>Asymptomatic</v>
      </c>
      <c r="E790" s="20" t="str">
        <f aca="false">IF(Data!E790="","",Data!E790)</f>
        <v/>
      </c>
      <c r="F790" s="20" t="n">
        <f aca="false">IF(Data!F790="","",Data!F790)</f>
        <v>0</v>
      </c>
      <c r="G790" s="28" t="str">
        <f aca="false">IF(Data!G790="","",IFERROR(VLOOKUP(Data!G790,Codes!$A$18:$B$19,2,FALSE()),"Invalid ("&amp;Data!G790&amp;")"))</f>
        <v>No</v>
      </c>
      <c r="H790" s="28" t="str">
        <f aca="false">IF(Data!H790="","",IFERROR(VLOOKUP(Data!H790,Codes!$A$23:$B$25,2,FALSE()),"Invalid ("&amp;Data!H790&amp;")"))</f>
        <v>Normal</v>
      </c>
      <c r="I790" s="20" t="str">
        <f aca="false">IF(Data!I790="","",Data!I790)</f>
        <v/>
      </c>
      <c r="J790" s="28" t="str">
        <f aca="false">IF(Data!J790="","",IFERROR(VLOOKUP(Data!J790,Codes!$A$29:$B$30,2,FALSE()),"Invalid ("&amp;Data!J790&amp;")"))</f>
        <v/>
      </c>
      <c r="K790" s="21" t="str">
        <f aca="false">IF(Data!K790="","",Data!K790)</f>
        <v/>
      </c>
      <c r="L790" s="28" t="str">
        <f aca="false">IF(Data!L790="","",IFERROR(VLOOKUP(Data!L790,Codes!$A$34:$B$36,2,FALSE()),"Invalid ("&amp;Data!L790&amp;")"))</f>
        <v/>
      </c>
      <c r="M790" s="20" t="str">
        <f aca="false">IF(Data!M790="","",Data!M790)</f>
        <v/>
      </c>
      <c r="N790" s="28" t="str">
        <f aca="false">IF(Data!N790="","",IFERROR(VLOOKUP(Data!N790,Codes!$A$47:$B$49,2,FALSE()),"Invalid ("&amp;Data!N790&amp;")"))</f>
        <v/>
      </c>
      <c r="O790" s="28" t="str">
        <f aca="false">IF(Data!O790="","",IFERROR(VLOOKUP(Data!O790,Codes!$A$53:$B$57,2,FALSE()),"Invalid ("&amp;Data!O790&amp;")"))</f>
        <v>Disease (1)</v>
      </c>
      <c r="P790" s="22" t="str">
        <f aca="false">IF(Data!P790="","",IFERROR(VLOOKUP(Data!P790,Codes!$A$61:$B$64,2,FALSE()),"Invalid ("&amp;Data!P790&amp;")"))</f>
        <v>VA Medical Center, Long Beach</v>
      </c>
    </row>
    <row r="791" customFormat="false" ht="15" hidden="false" customHeight="false" outlineLevel="0" collapsed="false">
      <c r="A791" s="19" t="n">
        <f aca="false">Data!A791</f>
        <v>790</v>
      </c>
      <c r="B791" s="20" t="n">
        <f aca="false">IF(Data!B791="","",Data!B791)</f>
        <v>63</v>
      </c>
      <c r="C791" s="28" t="str">
        <f aca="false">IF(Data!C791="","",IFERROR(VLOOKUP(Data!C791,Codes!$A$6:$B$7,2,FALSE()),"Invalid ("&amp;Data!C791&amp;")"))</f>
        <v>Male</v>
      </c>
      <c r="D791" s="28" t="str">
        <f aca="false">IF(Data!D791="","",IFERROR(VLOOKUP(Data!D791,Codes!$A$11:$B$14,2,FALSE()),"Invalid ("&amp;Data!D791&amp;")"))</f>
        <v>Atypical angina</v>
      </c>
      <c r="E791" s="20" t="str">
        <f aca="false">IF(Data!E791="","",Data!E791)</f>
        <v/>
      </c>
      <c r="F791" s="20" t="n">
        <f aca="false">IF(Data!F791="","",Data!F791)</f>
        <v>217</v>
      </c>
      <c r="G791" s="28" t="str">
        <f aca="false">IF(Data!G791="","",IFERROR(VLOOKUP(Data!G791,Codes!$A$18:$B$19,2,FALSE()),"Invalid ("&amp;Data!G791&amp;")"))</f>
        <v>Yes</v>
      </c>
      <c r="H791" s="28" t="str">
        <f aca="false">IF(Data!H791="","",IFERROR(VLOOKUP(Data!H791,Codes!$A$23:$B$25,2,FALSE()),"Invalid ("&amp;Data!H791&amp;")"))</f>
        <v>ST-T wave abnormality</v>
      </c>
      <c r="I791" s="20" t="str">
        <f aca="false">IF(Data!I791="","",Data!I791)</f>
        <v/>
      </c>
      <c r="J791" s="28" t="str">
        <f aca="false">IF(Data!J791="","",IFERROR(VLOOKUP(Data!J791,Codes!$A$29:$B$30,2,FALSE()),"Invalid ("&amp;Data!J791&amp;")"))</f>
        <v/>
      </c>
      <c r="K791" s="21" t="str">
        <f aca="false">IF(Data!K791="","",Data!K791)</f>
        <v/>
      </c>
      <c r="L791" s="28" t="str">
        <f aca="false">IF(Data!L791="","",IFERROR(VLOOKUP(Data!L791,Codes!$A$34:$B$36,2,FALSE()),"Invalid ("&amp;Data!L791&amp;")"))</f>
        <v/>
      </c>
      <c r="M791" s="20" t="str">
        <f aca="false">IF(Data!M791="","",Data!M791)</f>
        <v/>
      </c>
      <c r="N791" s="28" t="str">
        <f aca="false">IF(Data!N791="","",IFERROR(VLOOKUP(Data!N791,Codes!$A$47:$B$49,2,FALSE()),"Invalid ("&amp;Data!N791&amp;")"))</f>
        <v/>
      </c>
      <c r="O791" s="28" t="str">
        <f aca="false">IF(Data!O791="","",IFERROR(VLOOKUP(Data!O791,Codes!$A$53:$B$57,2,FALSE()),"Invalid ("&amp;Data!O791&amp;")"))</f>
        <v>Disease (1)</v>
      </c>
      <c r="P791" s="22" t="str">
        <f aca="false">IF(Data!P791="","",IFERROR(VLOOKUP(Data!P791,Codes!$A$61:$B$64,2,FALSE()),"Invalid ("&amp;Data!P791&amp;")"))</f>
        <v>VA Medical Center, Long Beach</v>
      </c>
    </row>
    <row r="792" customFormat="false" ht="15" hidden="false" customHeight="false" outlineLevel="0" collapsed="false">
      <c r="A792" s="19" t="n">
        <f aca="false">Data!A792</f>
        <v>791</v>
      </c>
      <c r="B792" s="20" t="n">
        <f aca="false">IF(Data!B792="","",Data!B792)</f>
        <v>55</v>
      </c>
      <c r="C792" s="28" t="str">
        <f aca="false">IF(Data!C792="","",IFERROR(VLOOKUP(Data!C792,Codes!$A$6:$B$7,2,FALSE()),"Invalid ("&amp;Data!C792&amp;")"))</f>
        <v>Male</v>
      </c>
      <c r="D792" s="28" t="str">
        <f aca="false">IF(Data!D792="","",IFERROR(VLOOKUP(Data!D792,Codes!$A$11:$B$14,2,FALSE()),"Invalid ("&amp;Data!D792&amp;")"))</f>
        <v>Atypical angina</v>
      </c>
      <c r="E792" s="20" t="n">
        <f aca="false">IF(Data!E792="","",Data!E792)</f>
        <v>110</v>
      </c>
      <c r="F792" s="20" t="n">
        <f aca="false">IF(Data!F792="","",Data!F792)</f>
        <v>214</v>
      </c>
      <c r="G792" s="28" t="str">
        <f aca="false">IF(Data!G792="","",IFERROR(VLOOKUP(Data!G792,Codes!$A$18:$B$19,2,FALSE()),"Invalid ("&amp;Data!G792&amp;")"))</f>
        <v>Yes</v>
      </c>
      <c r="H792" s="28" t="str">
        <f aca="false">IF(Data!H792="","",IFERROR(VLOOKUP(Data!H792,Codes!$A$23:$B$25,2,FALSE()),"Invalid ("&amp;Data!H792&amp;")"))</f>
        <v>ST-T wave abnormality</v>
      </c>
      <c r="I792" s="20" t="n">
        <f aca="false">IF(Data!I792="","",Data!I792)</f>
        <v>180</v>
      </c>
      <c r="J792" s="28" t="str">
        <f aca="false">IF(Data!J792="","",IFERROR(VLOOKUP(Data!J792,Codes!$A$29:$B$30,2,FALSE()),"Invalid ("&amp;Data!J792&amp;")"))</f>
        <v>No</v>
      </c>
      <c r="K792" s="21" t="str">
        <f aca="false">IF(Data!K792="","",Data!K792)</f>
        <v/>
      </c>
      <c r="L792" s="28" t="str">
        <f aca="false">IF(Data!L792="","",IFERROR(VLOOKUP(Data!L792,Codes!$A$34:$B$36,2,FALSE()),"Invalid ("&amp;Data!L792&amp;")"))</f>
        <v/>
      </c>
      <c r="M792" s="20" t="str">
        <f aca="false">IF(Data!M792="","",Data!M792)</f>
        <v/>
      </c>
      <c r="N792" s="28" t="str">
        <f aca="false">IF(Data!N792="","",IFERROR(VLOOKUP(Data!N792,Codes!$A$47:$B$49,2,FALSE()),"Invalid ("&amp;Data!N792&amp;")"))</f>
        <v/>
      </c>
      <c r="O792" s="28" t="str">
        <f aca="false">IF(Data!O792="","",IFERROR(VLOOKUP(Data!O792,Codes!$A$53:$B$57,2,FALSE()),"Invalid ("&amp;Data!O792&amp;")"))</f>
        <v>No disease</v>
      </c>
      <c r="P792" s="22" t="str">
        <f aca="false">IF(Data!P792="","",IFERROR(VLOOKUP(Data!P792,Codes!$A$61:$B$64,2,FALSE()),"Invalid ("&amp;Data!P792&amp;")"))</f>
        <v>VA Medical Center, Long Beach</v>
      </c>
    </row>
    <row r="793" customFormat="false" ht="15" hidden="false" customHeight="false" outlineLevel="0" collapsed="false">
      <c r="A793" s="19" t="n">
        <f aca="false">Data!A793</f>
        <v>792</v>
      </c>
      <c r="B793" s="20" t="n">
        <f aca="false">IF(Data!B793="","",Data!B793)</f>
        <v>57</v>
      </c>
      <c r="C793" s="28" t="str">
        <f aca="false">IF(Data!C793="","",IFERROR(VLOOKUP(Data!C793,Codes!$A$6:$B$7,2,FALSE()),"Invalid ("&amp;Data!C793&amp;")"))</f>
        <v>Male</v>
      </c>
      <c r="D793" s="28" t="str">
        <f aca="false">IF(Data!D793="","",IFERROR(VLOOKUP(Data!D793,Codes!$A$11:$B$14,2,FALSE()),"Invalid ("&amp;Data!D793&amp;")"))</f>
        <v>Asymptomatic</v>
      </c>
      <c r="E793" s="20" t="n">
        <f aca="false">IF(Data!E793="","",Data!E793)</f>
        <v>140</v>
      </c>
      <c r="F793" s="20" t="n">
        <f aca="false">IF(Data!F793="","",Data!F793)</f>
        <v>214</v>
      </c>
      <c r="G793" s="28" t="str">
        <f aca="false">IF(Data!G793="","",IFERROR(VLOOKUP(Data!G793,Codes!$A$18:$B$19,2,FALSE()),"Invalid ("&amp;Data!G793&amp;")"))</f>
        <v>No</v>
      </c>
      <c r="H793" s="28" t="str">
        <f aca="false">IF(Data!H793="","",IFERROR(VLOOKUP(Data!H793,Codes!$A$23:$B$25,2,FALSE()),"Invalid ("&amp;Data!H793&amp;")"))</f>
        <v>ST-T wave abnormality</v>
      </c>
      <c r="I793" s="20" t="n">
        <f aca="false">IF(Data!I793="","",Data!I793)</f>
        <v>144</v>
      </c>
      <c r="J793" s="28" t="str">
        <f aca="false">IF(Data!J793="","",IFERROR(VLOOKUP(Data!J793,Codes!$A$29:$B$30,2,FALSE()),"Invalid ("&amp;Data!J793&amp;")"))</f>
        <v>Yes</v>
      </c>
      <c r="K793" s="21" t="n">
        <f aca="false">IF(Data!K793="","",Data!K793)</f>
        <v>2</v>
      </c>
      <c r="L793" s="28" t="str">
        <f aca="false">IF(Data!L793="","",IFERROR(VLOOKUP(Data!L793,Codes!$A$34:$B$36,2,FALSE()),"Invalid ("&amp;Data!L793&amp;")"))</f>
        <v>Flat</v>
      </c>
      <c r="M793" s="20" t="str">
        <f aca="false">IF(Data!M793="","",Data!M793)</f>
        <v/>
      </c>
      <c r="N793" s="28" t="str">
        <f aca="false">IF(Data!N793="","",IFERROR(VLOOKUP(Data!N793,Codes!$A$47:$B$49,2,FALSE()),"Invalid ("&amp;Data!N793&amp;")"))</f>
        <v>Fixed defect</v>
      </c>
      <c r="O793" s="28" t="str">
        <f aca="false">IF(Data!O793="","",IFERROR(VLOOKUP(Data!O793,Codes!$A$53:$B$57,2,FALSE()),"Invalid ("&amp;Data!O793&amp;")"))</f>
        <v>Disease (2)</v>
      </c>
      <c r="P793" s="22" t="str">
        <f aca="false">IF(Data!P793="","",IFERROR(VLOOKUP(Data!P793,Codes!$A$61:$B$64,2,FALSE()),"Invalid ("&amp;Data!P793&amp;")"))</f>
        <v>VA Medical Center, Long Beach</v>
      </c>
    </row>
    <row r="794" customFormat="false" ht="15" hidden="false" customHeight="false" outlineLevel="0" collapsed="false">
      <c r="A794" s="19" t="n">
        <f aca="false">Data!A794</f>
        <v>793</v>
      </c>
      <c r="B794" s="20" t="n">
        <f aca="false">IF(Data!B794="","",Data!B794)</f>
        <v>65</v>
      </c>
      <c r="C794" s="28" t="str">
        <f aca="false">IF(Data!C794="","",IFERROR(VLOOKUP(Data!C794,Codes!$A$6:$B$7,2,FALSE()),"Invalid ("&amp;Data!C794&amp;")"))</f>
        <v>Male</v>
      </c>
      <c r="D794" s="28" t="str">
        <f aca="false">IF(Data!D794="","",IFERROR(VLOOKUP(Data!D794,Codes!$A$11:$B$14,2,FALSE()),"Invalid ("&amp;Data!D794&amp;")"))</f>
        <v>Typical angina</v>
      </c>
      <c r="E794" s="20" t="str">
        <f aca="false">IF(Data!E794="","",Data!E794)</f>
        <v/>
      </c>
      <c r="F794" s="20" t="n">
        <f aca="false">IF(Data!F794="","",Data!F794)</f>
        <v>252</v>
      </c>
      <c r="G794" s="28" t="str">
        <f aca="false">IF(Data!G794="","",IFERROR(VLOOKUP(Data!G794,Codes!$A$18:$B$19,2,FALSE()),"Invalid ("&amp;Data!G794&amp;")"))</f>
        <v>No</v>
      </c>
      <c r="H794" s="28" t="str">
        <f aca="false">IF(Data!H794="","",IFERROR(VLOOKUP(Data!H794,Codes!$A$23:$B$25,2,FALSE()),"Invalid ("&amp;Data!H794&amp;")"))</f>
        <v>Normal</v>
      </c>
      <c r="I794" s="20" t="str">
        <f aca="false">IF(Data!I794="","",Data!I794)</f>
        <v/>
      </c>
      <c r="J794" s="28" t="str">
        <f aca="false">IF(Data!J794="","",IFERROR(VLOOKUP(Data!J794,Codes!$A$29:$B$30,2,FALSE()),"Invalid ("&amp;Data!J794&amp;")"))</f>
        <v/>
      </c>
      <c r="K794" s="21" t="str">
        <f aca="false">IF(Data!K794="","",Data!K794)</f>
        <v/>
      </c>
      <c r="L794" s="28" t="str">
        <f aca="false">IF(Data!L794="","",IFERROR(VLOOKUP(Data!L794,Codes!$A$34:$B$36,2,FALSE()),"Invalid ("&amp;Data!L794&amp;")"))</f>
        <v/>
      </c>
      <c r="M794" s="20" t="str">
        <f aca="false">IF(Data!M794="","",Data!M794)</f>
        <v/>
      </c>
      <c r="N794" s="28" t="str">
        <f aca="false">IF(Data!N794="","",IFERROR(VLOOKUP(Data!N794,Codes!$A$47:$B$49,2,FALSE()),"Invalid ("&amp;Data!N794&amp;")"))</f>
        <v/>
      </c>
      <c r="O794" s="28" t="str">
        <f aca="false">IF(Data!O794="","",IFERROR(VLOOKUP(Data!O794,Codes!$A$53:$B$57,2,FALSE()),"Invalid ("&amp;Data!O794&amp;")"))</f>
        <v>No disease</v>
      </c>
      <c r="P794" s="22" t="str">
        <f aca="false">IF(Data!P794="","",IFERROR(VLOOKUP(Data!P794,Codes!$A$61:$B$64,2,FALSE()),"Invalid ("&amp;Data!P794&amp;")"))</f>
        <v>VA Medical Center, Long Beach</v>
      </c>
    </row>
    <row r="795" customFormat="false" ht="15" hidden="false" customHeight="false" outlineLevel="0" collapsed="false">
      <c r="A795" s="19" t="n">
        <f aca="false">Data!A795</f>
        <v>794</v>
      </c>
      <c r="B795" s="20" t="n">
        <f aca="false">IF(Data!B795="","",Data!B795)</f>
        <v>54</v>
      </c>
      <c r="C795" s="28" t="str">
        <f aca="false">IF(Data!C795="","",IFERROR(VLOOKUP(Data!C795,Codes!$A$6:$B$7,2,FALSE()),"Invalid ("&amp;Data!C795&amp;")"))</f>
        <v>Male</v>
      </c>
      <c r="D795" s="28" t="str">
        <f aca="false">IF(Data!D795="","",IFERROR(VLOOKUP(Data!D795,Codes!$A$11:$B$14,2,FALSE()),"Invalid ("&amp;Data!D795&amp;")"))</f>
        <v>Asymptomatic</v>
      </c>
      <c r="E795" s="20" t="n">
        <f aca="false">IF(Data!E795="","",Data!E795)</f>
        <v>136</v>
      </c>
      <c r="F795" s="20" t="n">
        <f aca="false">IF(Data!F795="","",Data!F795)</f>
        <v>220</v>
      </c>
      <c r="G795" s="28" t="str">
        <f aca="false">IF(Data!G795="","",IFERROR(VLOOKUP(Data!G795,Codes!$A$18:$B$19,2,FALSE()),"Invalid ("&amp;Data!G795&amp;")"))</f>
        <v>No</v>
      </c>
      <c r="H795" s="28" t="str">
        <f aca="false">IF(Data!H795="","",IFERROR(VLOOKUP(Data!H795,Codes!$A$23:$B$25,2,FALSE()),"Invalid ("&amp;Data!H795&amp;")"))</f>
        <v>Normal</v>
      </c>
      <c r="I795" s="20" t="n">
        <f aca="false">IF(Data!I795="","",Data!I795)</f>
        <v>140</v>
      </c>
      <c r="J795" s="28" t="str">
        <f aca="false">IF(Data!J795="","",IFERROR(VLOOKUP(Data!J795,Codes!$A$29:$B$30,2,FALSE()),"Invalid ("&amp;Data!J795&amp;")"))</f>
        <v>Yes</v>
      </c>
      <c r="K795" s="21" t="n">
        <f aca="false">IF(Data!K795="","",Data!K795)</f>
        <v>3</v>
      </c>
      <c r="L795" s="28" t="str">
        <f aca="false">IF(Data!L795="","",IFERROR(VLOOKUP(Data!L795,Codes!$A$34:$B$36,2,FALSE()),"Invalid ("&amp;Data!L795&amp;")"))</f>
        <v>Flat</v>
      </c>
      <c r="M795" s="20" t="str">
        <f aca="false">IF(Data!M795="","",Data!M795)</f>
        <v/>
      </c>
      <c r="N795" s="28" t="str">
        <f aca="false">IF(Data!N795="","",IFERROR(VLOOKUP(Data!N795,Codes!$A$47:$B$49,2,FALSE()),"Invalid ("&amp;Data!N795&amp;")"))</f>
        <v/>
      </c>
      <c r="O795" s="28" t="str">
        <f aca="false">IF(Data!O795="","",IFERROR(VLOOKUP(Data!O795,Codes!$A$53:$B$57,2,FALSE()),"Invalid ("&amp;Data!O795&amp;")"))</f>
        <v>Disease (3)</v>
      </c>
      <c r="P795" s="22" t="str">
        <f aca="false">IF(Data!P795="","",IFERROR(VLOOKUP(Data!P795,Codes!$A$61:$B$64,2,FALSE()),"Invalid ("&amp;Data!P795&amp;")"))</f>
        <v>VA Medical Center, Long Beach</v>
      </c>
    </row>
    <row r="796" customFormat="false" ht="15" hidden="false" customHeight="false" outlineLevel="0" collapsed="false">
      <c r="A796" s="19" t="n">
        <f aca="false">Data!A796</f>
        <v>795</v>
      </c>
      <c r="B796" s="20" t="n">
        <f aca="false">IF(Data!B796="","",Data!B796)</f>
        <v>72</v>
      </c>
      <c r="C796" s="28" t="str">
        <f aca="false">IF(Data!C796="","",IFERROR(VLOOKUP(Data!C796,Codes!$A$6:$B$7,2,FALSE()),"Invalid ("&amp;Data!C796&amp;")"))</f>
        <v>Male</v>
      </c>
      <c r="D796" s="28" t="str">
        <f aca="false">IF(Data!D796="","",IFERROR(VLOOKUP(Data!D796,Codes!$A$11:$B$14,2,FALSE()),"Invalid ("&amp;Data!D796&amp;")"))</f>
        <v>Non-anginal pain</v>
      </c>
      <c r="E796" s="20" t="n">
        <f aca="false">IF(Data!E796="","",Data!E796)</f>
        <v>120</v>
      </c>
      <c r="F796" s="20" t="n">
        <f aca="false">IF(Data!F796="","",Data!F796)</f>
        <v>214</v>
      </c>
      <c r="G796" s="28" t="str">
        <f aca="false">IF(Data!G796="","",IFERROR(VLOOKUP(Data!G796,Codes!$A$18:$B$19,2,FALSE()),"Invalid ("&amp;Data!G796&amp;")"))</f>
        <v>No</v>
      </c>
      <c r="H796" s="28" t="str">
        <f aca="false">IF(Data!H796="","",IFERROR(VLOOKUP(Data!H796,Codes!$A$23:$B$25,2,FALSE()),"Invalid ("&amp;Data!H796&amp;")"))</f>
        <v>Normal</v>
      </c>
      <c r="I796" s="20" t="n">
        <f aca="false">IF(Data!I796="","",Data!I796)</f>
        <v>102</v>
      </c>
      <c r="J796" s="28" t="str">
        <f aca="false">IF(Data!J796="","",IFERROR(VLOOKUP(Data!J796,Codes!$A$29:$B$30,2,FALSE()),"Invalid ("&amp;Data!J796&amp;")"))</f>
        <v>Yes</v>
      </c>
      <c r="K796" s="21" t="n">
        <f aca="false">IF(Data!K796="","",Data!K796)</f>
        <v>1</v>
      </c>
      <c r="L796" s="28" t="str">
        <f aca="false">IF(Data!L796="","",IFERROR(VLOOKUP(Data!L796,Codes!$A$34:$B$36,2,FALSE()),"Invalid ("&amp;Data!L796&amp;")"))</f>
        <v>Flat</v>
      </c>
      <c r="M796" s="20" t="str">
        <f aca="false">IF(Data!M796="","",Data!M796)</f>
        <v/>
      </c>
      <c r="N796" s="28" t="str">
        <f aca="false">IF(Data!N796="","",IFERROR(VLOOKUP(Data!N796,Codes!$A$47:$B$49,2,FALSE()),"Invalid ("&amp;Data!N796&amp;")"))</f>
        <v/>
      </c>
      <c r="O796" s="28" t="str">
        <f aca="false">IF(Data!O796="","",IFERROR(VLOOKUP(Data!O796,Codes!$A$53:$B$57,2,FALSE()),"Invalid ("&amp;Data!O796&amp;")"))</f>
        <v>Disease (3)</v>
      </c>
      <c r="P796" s="22" t="str">
        <f aca="false">IF(Data!P796="","",IFERROR(VLOOKUP(Data!P796,Codes!$A$61:$B$64,2,FALSE()),"Invalid ("&amp;Data!P796&amp;")"))</f>
        <v>VA Medical Center, Long Beach</v>
      </c>
    </row>
    <row r="797" customFormat="false" ht="15" hidden="false" customHeight="false" outlineLevel="0" collapsed="false">
      <c r="A797" s="19" t="n">
        <f aca="false">Data!A797</f>
        <v>796</v>
      </c>
      <c r="B797" s="20" t="n">
        <f aca="false">IF(Data!B797="","",Data!B797)</f>
        <v>75</v>
      </c>
      <c r="C797" s="28" t="str">
        <f aca="false">IF(Data!C797="","",IFERROR(VLOOKUP(Data!C797,Codes!$A$6:$B$7,2,FALSE()),"Invalid ("&amp;Data!C797&amp;")"))</f>
        <v>Male</v>
      </c>
      <c r="D797" s="28" t="str">
        <f aca="false">IF(Data!D797="","",IFERROR(VLOOKUP(Data!D797,Codes!$A$11:$B$14,2,FALSE()),"Invalid ("&amp;Data!D797&amp;")"))</f>
        <v>Asymptomatic</v>
      </c>
      <c r="E797" s="20" t="n">
        <f aca="false">IF(Data!E797="","",Data!E797)</f>
        <v>170</v>
      </c>
      <c r="F797" s="20" t="n">
        <f aca="false">IF(Data!F797="","",Data!F797)</f>
        <v>203</v>
      </c>
      <c r="G797" s="28" t="str">
        <f aca="false">IF(Data!G797="","",IFERROR(VLOOKUP(Data!G797,Codes!$A$18:$B$19,2,FALSE()),"Invalid ("&amp;Data!G797&amp;")"))</f>
        <v>Yes</v>
      </c>
      <c r="H797" s="28" t="str">
        <f aca="false">IF(Data!H797="","",IFERROR(VLOOKUP(Data!H797,Codes!$A$23:$B$25,2,FALSE()),"Invalid ("&amp;Data!H797&amp;")"))</f>
        <v>ST-T wave abnormality</v>
      </c>
      <c r="I797" s="20" t="n">
        <f aca="false">IF(Data!I797="","",Data!I797)</f>
        <v>108</v>
      </c>
      <c r="J797" s="28" t="str">
        <f aca="false">IF(Data!J797="","",IFERROR(VLOOKUP(Data!J797,Codes!$A$29:$B$30,2,FALSE()),"Invalid ("&amp;Data!J797&amp;")"))</f>
        <v>No</v>
      </c>
      <c r="K797" s="21" t="n">
        <f aca="false">IF(Data!K797="","",Data!K797)</f>
        <v>0</v>
      </c>
      <c r="L797" s="28" t="str">
        <f aca="false">IF(Data!L797="","",IFERROR(VLOOKUP(Data!L797,Codes!$A$34:$B$36,2,FALSE()),"Invalid ("&amp;Data!L797&amp;")"))</f>
        <v/>
      </c>
      <c r="M797" s="20" t="str">
        <f aca="false">IF(Data!M797="","",Data!M797)</f>
        <v/>
      </c>
      <c r="N797" s="28" t="str">
        <f aca="false">IF(Data!N797="","",IFERROR(VLOOKUP(Data!N797,Codes!$A$47:$B$49,2,FALSE()),"Invalid ("&amp;Data!N797&amp;")"))</f>
        <v>Reversible defect</v>
      </c>
      <c r="O797" s="28" t="str">
        <f aca="false">IF(Data!O797="","",IFERROR(VLOOKUP(Data!O797,Codes!$A$53:$B$57,2,FALSE()),"Invalid ("&amp;Data!O797&amp;")"))</f>
        <v>Disease (1)</v>
      </c>
      <c r="P797" s="22" t="str">
        <f aca="false">IF(Data!P797="","",IFERROR(VLOOKUP(Data!P797,Codes!$A$61:$B$64,2,FALSE()),"Invalid ("&amp;Data!P797&amp;")"))</f>
        <v>VA Medical Center, Long Beach</v>
      </c>
    </row>
    <row r="798" customFormat="false" ht="15" hidden="false" customHeight="false" outlineLevel="0" collapsed="false">
      <c r="A798" s="19" t="n">
        <f aca="false">Data!A798</f>
        <v>797</v>
      </c>
      <c r="B798" s="20" t="n">
        <f aca="false">IF(Data!B798="","",Data!B798)</f>
        <v>49</v>
      </c>
      <c r="C798" s="28" t="str">
        <f aca="false">IF(Data!C798="","",IFERROR(VLOOKUP(Data!C798,Codes!$A$6:$B$7,2,FALSE()),"Invalid ("&amp;Data!C798&amp;")"))</f>
        <v>Male</v>
      </c>
      <c r="D798" s="28" t="str">
        <f aca="false">IF(Data!D798="","",IFERROR(VLOOKUP(Data!D798,Codes!$A$11:$B$14,2,FALSE()),"Invalid ("&amp;Data!D798&amp;")"))</f>
        <v>Typical angina</v>
      </c>
      <c r="E798" s="20" t="n">
        <f aca="false">IF(Data!E798="","",Data!E798)</f>
        <v>130</v>
      </c>
      <c r="F798" s="20" t="n">
        <f aca="false">IF(Data!F798="","",Data!F798)</f>
        <v>0</v>
      </c>
      <c r="G798" s="28" t="str">
        <f aca="false">IF(Data!G798="","",IFERROR(VLOOKUP(Data!G798,Codes!$A$18:$B$19,2,FALSE()),"Invalid ("&amp;Data!G798&amp;")"))</f>
        <v>No</v>
      </c>
      <c r="H798" s="28" t="str">
        <f aca="false">IF(Data!H798="","",IFERROR(VLOOKUP(Data!H798,Codes!$A$23:$B$25,2,FALSE()),"Invalid ("&amp;Data!H798&amp;")"))</f>
        <v>ST-T wave abnormality</v>
      </c>
      <c r="I798" s="20" t="n">
        <f aca="false">IF(Data!I798="","",Data!I798)</f>
        <v>145</v>
      </c>
      <c r="J798" s="28" t="str">
        <f aca="false">IF(Data!J798="","",IFERROR(VLOOKUP(Data!J798,Codes!$A$29:$B$30,2,FALSE()),"Invalid ("&amp;Data!J798&amp;")"))</f>
        <v>No</v>
      </c>
      <c r="K798" s="21" t="n">
        <f aca="false">IF(Data!K798="","",Data!K798)</f>
        <v>3</v>
      </c>
      <c r="L798" s="28" t="str">
        <f aca="false">IF(Data!L798="","",IFERROR(VLOOKUP(Data!L798,Codes!$A$34:$B$36,2,FALSE()),"Invalid ("&amp;Data!L798&amp;")"))</f>
        <v>Flat</v>
      </c>
      <c r="M798" s="20" t="str">
        <f aca="false">IF(Data!M798="","",Data!M798)</f>
        <v/>
      </c>
      <c r="N798" s="28" t="str">
        <f aca="false">IF(Data!N798="","",IFERROR(VLOOKUP(Data!N798,Codes!$A$47:$B$49,2,FALSE()),"Invalid ("&amp;Data!N798&amp;")"))</f>
        <v/>
      </c>
      <c r="O798" s="28" t="str">
        <f aca="false">IF(Data!O798="","",IFERROR(VLOOKUP(Data!O798,Codes!$A$53:$B$57,2,FALSE()),"Invalid ("&amp;Data!O798&amp;")"))</f>
        <v>Disease (2)</v>
      </c>
      <c r="P798" s="22" t="str">
        <f aca="false">IF(Data!P798="","",IFERROR(VLOOKUP(Data!P798,Codes!$A$61:$B$64,2,FALSE()),"Invalid ("&amp;Data!P798&amp;")"))</f>
        <v>VA Medical Center, Long Beach</v>
      </c>
    </row>
    <row r="799" customFormat="false" ht="15" hidden="false" customHeight="false" outlineLevel="0" collapsed="false">
      <c r="A799" s="19" t="n">
        <f aca="false">Data!A799</f>
        <v>798</v>
      </c>
      <c r="B799" s="20" t="n">
        <f aca="false">IF(Data!B799="","",Data!B799)</f>
        <v>51</v>
      </c>
      <c r="C799" s="28" t="str">
        <f aca="false">IF(Data!C799="","",IFERROR(VLOOKUP(Data!C799,Codes!$A$6:$B$7,2,FALSE()),"Invalid ("&amp;Data!C799&amp;")"))</f>
        <v>Male</v>
      </c>
      <c r="D799" s="28" t="str">
        <f aca="false">IF(Data!D799="","",IFERROR(VLOOKUP(Data!D799,Codes!$A$11:$B$14,2,FALSE()),"Invalid ("&amp;Data!D799&amp;")"))</f>
        <v>Non-anginal pain</v>
      </c>
      <c r="E799" s="20" t="str">
        <f aca="false">IF(Data!E799="","",Data!E799)</f>
        <v/>
      </c>
      <c r="F799" s="20" t="n">
        <f aca="false">IF(Data!F799="","",Data!F799)</f>
        <v>339</v>
      </c>
      <c r="G799" s="28" t="str">
        <f aca="false">IF(Data!G799="","",IFERROR(VLOOKUP(Data!G799,Codes!$A$18:$B$19,2,FALSE()),"Invalid ("&amp;Data!G799&amp;")"))</f>
        <v>No</v>
      </c>
      <c r="H799" s="28" t="str">
        <f aca="false">IF(Data!H799="","",IFERROR(VLOOKUP(Data!H799,Codes!$A$23:$B$25,2,FALSE()),"Invalid ("&amp;Data!H799&amp;")"))</f>
        <v>Normal</v>
      </c>
      <c r="I799" s="20" t="str">
        <f aca="false">IF(Data!I799="","",Data!I799)</f>
        <v/>
      </c>
      <c r="J799" s="28" t="str">
        <f aca="false">IF(Data!J799="","",IFERROR(VLOOKUP(Data!J799,Codes!$A$29:$B$30,2,FALSE()),"Invalid ("&amp;Data!J799&amp;")"))</f>
        <v/>
      </c>
      <c r="K799" s="21" t="str">
        <f aca="false">IF(Data!K799="","",Data!K799)</f>
        <v/>
      </c>
      <c r="L799" s="28" t="str">
        <f aca="false">IF(Data!L799="","",IFERROR(VLOOKUP(Data!L799,Codes!$A$34:$B$36,2,FALSE()),"Invalid ("&amp;Data!L799&amp;")"))</f>
        <v/>
      </c>
      <c r="M799" s="20" t="str">
        <f aca="false">IF(Data!M799="","",Data!M799)</f>
        <v/>
      </c>
      <c r="N799" s="28" t="str">
        <f aca="false">IF(Data!N799="","",IFERROR(VLOOKUP(Data!N799,Codes!$A$47:$B$49,2,FALSE()),"Invalid ("&amp;Data!N799&amp;")"))</f>
        <v/>
      </c>
      <c r="O799" s="28" t="str">
        <f aca="false">IF(Data!O799="","",IFERROR(VLOOKUP(Data!O799,Codes!$A$53:$B$57,2,FALSE()),"Invalid ("&amp;Data!O799&amp;")"))</f>
        <v>Disease (3)</v>
      </c>
      <c r="P799" s="22" t="str">
        <f aca="false">IF(Data!P799="","",IFERROR(VLOOKUP(Data!P799,Codes!$A$61:$B$64,2,FALSE()),"Invalid ("&amp;Data!P799&amp;")"))</f>
        <v>VA Medical Center, Long Beach</v>
      </c>
    </row>
    <row r="800" customFormat="false" ht="15" hidden="false" customHeight="false" outlineLevel="0" collapsed="false">
      <c r="A800" s="19" t="n">
        <f aca="false">Data!A800</f>
        <v>799</v>
      </c>
      <c r="B800" s="20" t="n">
        <f aca="false">IF(Data!B800="","",Data!B800)</f>
        <v>60</v>
      </c>
      <c r="C800" s="28" t="str">
        <f aca="false">IF(Data!C800="","",IFERROR(VLOOKUP(Data!C800,Codes!$A$6:$B$7,2,FALSE()),"Invalid ("&amp;Data!C800&amp;")"))</f>
        <v>Male</v>
      </c>
      <c r="D800" s="28" t="str">
        <f aca="false">IF(Data!D800="","",IFERROR(VLOOKUP(Data!D800,Codes!$A$11:$B$14,2,FALSE()),"Invalid ("&amp;Data!D800&amp;")"))</f>
        <v>Asymptomatic</v>
      </c>
      <c r="E800" s="20" t="n">
        <f aca="false">IF(Data!E800="","",Data!E800)</f>
        <v>142</v>
      </c>
      <c r="F800" s="20" t="n">
        <f aca="false">IF(Data!F800="","",Data!F800)</f>
        <v>216</v>
      </c>
      <c r="G800" s="28" t="str">
        <f aca="false">IF(Data!G800="","",IFERROR(VLOOKUP(Data!G800,Codes!$A$18:$B$19,2,FALSE()),"Invalid ("&amp;Data!G800&amp;")"))</f>
        <v>No</v>
      </c>
      <c r="H800" s="28" t="str">
        <f aca="false">IF(Data!H800="","",IFERROR(VLOOKUP(Data!H800,Codes!$A$23:$B$25,2,FALSE()),"Invalid ("&amp;Data!H800&amp;")"))</f>
        <v>Normal</v>
      </c>
      <c r="I800" s="20" t="n">
        <f aca="false">IF(Data!I800="","",Data!I800)</f>
        <v>110</v>
      </c>
      <c r="J800" s="28" t="str">
        <f aca="false">IF(Data!J800="","",IFERROR(VLOOKUP(Data!J800,Codes!$A$29:$B$30,2,FALSE()),"Invalid ("&amp;Data!J800&amp;")"))</f>
        <v>Yes</v>
      </c>
      <c r="K800" s="21" t="n">
        <f aca="false">IF(Data!K800="","",Data!K800)</f>
        <v>2.5</v>
      </c>
      <c r="L800" s="28" t="str">
        <f aca="false">IF(Data!L800="","",IFERROR(VLOOKUP(Data!L800,Codes!$A$34:$B$36,2,FALSE()),"Invalid ("&amp;Data!L800&amp;")"))</f>
        <v>Flat</v>
      </c>
      <c r="M800" s="20" t="str">
        <f aca="false">IF(Data!M800="","",Data!M800)</f>
        <v/>
      </c>
      <c r="N800" s="28" t="str">
        <f aca="false">IF(Data!N800="","",IFERROR(VLOOKUP(Data!N800,Codes!$A$47:$B$49,2,FALSE()),"Invalid ("&amp;Data!N800&amp;")"))</f>
        <v/>
      </c>
      <c r="O800" s="28" t="str">
        <f aca="false">IF(Data!O800="","",IFERROR(VLOOKUP(Data!O800,Codes!$A$53:$B$57,2,FALSE()),"Invalid ("&amp;Data!O800&amp;")"))</f>
        <v>Disease (2)</v>
      </c>
      <c r="P800" s="22" t="str">
        <f aca="false">IF(Data!P800="","",IFERROR(VLOOKUP(Data!P800,Codes!$A$61:$B$64,2,FALSE()),"Invalid ("&amp;Data!P800&amp;")"))</f>
        <v>VA Medical Center, Long Beach</v>
      </c>
    </row>
    <row r="801" customFormat="false" ht="15" hidden="false" customHeight="false" outlineLevel="0" collapsed="false">
      <c r="A801" s="19" t="n">
        <f aca="false">Data!A801</f>
        <v>800</v>
      </c>
      <c r="B801" s="20" t="n">
        <f aca="false">IF(Data!B801="","",Data!B801)</f>
        <v>64</v>
      </c>
      <c r="C801" s="28" t="str">
        <f aca="false">IF(Data!C801="","",IFERROR(VLOOKUP(Data!C801,Codes!$A$6:$B$7,2,FALSE()),"Invalid ("&amp;Data!C801&amp;")"))</f>
        <v>Female</v>
      </c>
      <c r="D801" s="28" t="str">
        <f aca="false">IF(Data!D801="","",IFERROR(VLOOKUP(Data!D801,Codes!$A$11:$B$14,2,FALSE()),"Invalid ("&amp;Data!D801&amp;")"))</f>
        <v>Asymptomatic</v>
      </c>
      <c r="E801" s="20" t="n">
        <f aca="false">IF(Data!E801="","",Data!E801)</f>
        <v>142</v>
      </c>
      <c r="F801" s="20" t="n">
        <f aca="false">IF(Data!F801="","",Data!F801)</f>
        <v>276</v>
      </c>
      <c r="G801" s="28" t="str">
        <f aca="false">IF(Data!G801="","",IFERROR(VLOOKUP(Data!G801,Codes!$A$18:$B$19,2,FALSE()),"Invalid ("&amp;Data!G801&amp;")"))</f>
        <v>No</v>
      </c>
      <c r="H801" s="28" t="str">
        <f aca="false">IF(Data!H801="","",IFERROR(VLOOKUP(Data!H801,Codes!$A$23:$B$25,2,FALSE()),"Invalid ("&amp;Data!H801&amp;")"))</f>
        <v>Normal</v>
      </c>
      <c r="I801" s="20" t="n">
        <f aca="false">IF(Data!I801="","",Data!I801)</f>
        <v>140</v>
      </c>
      <c r="J801" s="28" t="str">
        <f aca="false">IF(Data!J801="","",IFERROR(VLOOKUP(Data!J801,Codes!$A$29:$B$30,2,FALSE()),"Invalid ("&amp;Data!J801&amp;")"))</f>
        <v>Yes</v>
      </c>
      <c r="K801" s="21" t="n">
        <f aca="false">IF(Data!K801="","",Data!K801)</f>
        <v>1</v>
      </c>
      <c r="L801" s="28" t="str">
        <f aca="false">IF(Data!L801="","",IFERROR(VLOOKUP(Data!L801,Codes!$A$34:$B$36,2,FALSE()),"Invalid ("&amp;Data!L801&amp;")"))</f>
        <v>Flat</v>
      </c>
      <c r="M801" s="20" t="str">
        <f aca="false">IF(Data!M801="","",Data!M801)</f>
        <v/>
      </c>
      <c r="N801" s="28" t="str">
        <f aca="false">IF(Data!N801="","",IFERROR(VLOOKUP(Data!N801,Codes!$A$47:$B$49,2,FALSE()),"Invalid ("&amp;Data!N801&amp;")"))</f>
        <v>Reversible defect</v>
      </c>
      <c r="O801" s="28" t="str">
        <f aca="false">IF(Data!O801="","",IFERROR(VLOOKUP(Data!O801,Codes!$A$53:$B$57,2,FALSE()),"Invalid ("&amp;Data!O801&amp;")"))</f>
        <v>Disease (1)</v>
      </c>
      <c r="P801" s="22" t="str">
        <f aca="false">IF(Data!P801="","",IFERROR(VLOOKUP(Data!P801,Codes!$A$61:$B$64,2,FALSE()),"Invalid ("&amp;Data!P801&amp;")"))</f>
        <v>VA Medical Center, Long Beach</v>
      </c>
    </row>
    <row r="802" customFormat="false" ht="15" hidden="false" customHeight="false" outlineLevel="0" collapsed="false">
      <c r="A802" s="19" t="n">
        <f aca="false">Data!A802</f>
        <v>801</v>
      </c>
      <c r="B802" s="20" t="n">
        <f aca="false">IF(Data!B802="","",Data!B802)</f>
        <v>58</v>
      </c>
      <c r="C802" s="28" t="str">
        <f aca="false">IF(Data!C802="","",IFERROR(VLOOKUP(Data!C802,Codes!$A$6:$B$7,2,FALSE()),"Invalid ("&amp;Data!C802&amp;")"))</f>
        <v>Male</v>
      </c>
      <c r="D802" s="28" t="str">
        <f aca="false">IF(Data!D802="","",IFERROR(VLOOKUP(Data!D802,Codes!$A$11:$B$14,2,FALSE()),"Invalid ("&amp;Data!D802&amp;")"))</f>
        <v>Asymptomatic</v>
      </c>
      <c r="E802" s="20" t="n">
        <f aca="false">IF(Data!E802="","",Data!E802)</f>
        <v>132</v>
      </c>
      <c r="F802" s="20" t="n">
        <f aca="false">IF(Data!F802="","",Data!F802)</f>
        <v>458</v>
      </c>
      <c r="G802" s="28" t="str">
        <f aca="false">IF(Data!G802="","",IFERROR(VLOOKUP(Data!G802,Codes!$A$18:$B$19,2,FALSE()),"Invalid ("&amp;Data!G802&amp;")"))</f>
        <v>Yes</v>
      </c>
      <c r="H802" s="28" t="str">
        <f aca="false">IF(Data!H802="","",IFERROR(VLOOKUP(Data!H802,Codes!$A$23:$B$25,2,FALSE()),"Invalid ("&amp;Data!H802&amp;")"))</f>
        <v>Normal</v>
      </c>
      <c r="I802" s="20" t="n">
        <f aca="false">IF(Data!I802="","",Data!I802)</f>
        <v>69</v>
      </c>
      <c r="J802" s="28" t="str">
        <f aca="false">IF(Data!J802="","",IFERROR(VLOOKUP(Data!J802,Codes!$A$29:$B$30,2,FALSE()),"Invalid ("&amp;Data!J802&amp;")"))</f>
        <v>No</v>
      </c>
      <c r="K802" s="21" t="n">
        <f aca="false">IF(Data!K802="","",Data!K802)</f>
        <v>1</v>
      </c>
      <c r="L802" s="28" t="str">
        <f aca="false">IF(Data!L802="","",IFERROR(VLOOKUP(Data!L802,Codes!$A$34:$B$36,2,FALSE()),"Invalid ("&amp;Data!L802&amp;")"))</f>
        <v>Downsloping</v>
      </c>
      <c r="M802" s="20" t="str">
        <f aca="false">IF(Data!M802="","",Data!M802)</f>
        <v/>
      </c>
      <c r="N802" s="28" t="str">
        <f aca="false">IF(Data!N802="","",IFERROR(VLOOKUP(Data!N802,Codes!$A$47:$B$49,2,FALSE()),"Invalid ("&amp;Data!N802&amp;")"))</f>
        <v/>
      </c>
      <c r="O802" s="28" t="str">
        <f aca="false">IF(Data!O802="","",IFERROR(VLOOKUP(Data!O802,Codes!$A$53:$B$57,2,FALSE()),"Invalid ("&amp;Data!O802&amp;")"))</f>
        <v>No disease</v>
      </c>
      <c r="P802" s="22" t="str">
        <f aca="false">IF(Data!P802="","",IFERROR(VLOOKUP(Data!P802,Codes!$A$61:$B$64,2,FALSE()),"Invalid ("&amp;Data!P802&amp;")"))</f>
        <v>VA Medical Center, Long Beach</v>
      </c>
    </row>
    <row r="803" customFormat="false" ht="15" hidden="false" customHeight="false" outlineLevel="0" collapsed="false">
      <c r="A803" s="19" t="n">
        <f aca="false">Data!A803</f>
        <v>802</v>
      </c>
      <c r="B803" s="20" t="n">
        <f aca="false">IF(Data!B803="","",Data!B803)</f>
        <v>61</v>
      </c>
      <c r="C803" s="28" t="str">
        <f aca="false">IF(Data!C803="","",IFERROR(VLOOKUP(Data!C803,Codes!$A$6:$B$7,2,FALSE()),"Invalid ("&amp;Data!C803&amp;")"))</f>
        <v>Male</v>
      </c>
      <c r="D803" s="28" t="str">
        <f aca="false">IF(Data!D803="","",IFERROR(VLOOKUP(Data!D803,Codes!$A$11:$B$14,2,FALSE()),"Invalid ("&amp;Data!D803&amp;")"))</f>
        <v>Asymptomatic</v>
      </c>
      <c r="E803" s="20" t="n">
        <f aca="false">IF(Data!E803="","",Data!E803)</f>
        <v>146</v>
      </c>
      <c r="F803" s="20" t="n">
        <f aca="false">IF(Data!F803="","",Data!F803)</f>
        <v>241</v>
      </c>
      <c r="G803" s="28" t="str">
        <f aca="false">IF(Data!G803="","",IFERROR(VLOOKUP(Data!G803,Codes!$A$18:$B$19,2,FALSE()),"Invalid ("&amp;Data!G803&amp;")"))</f>
        <v>No</v>
      </c>
      <c r="H803" s="28" t="str">
        <f aca="false">IF(Data!H803="","",IFERROR(VLOOKUP(Data!H803,Codes!$A$23:$B$25,2,FALSE()),"Invalid ("&amp;Data!H803&amp;")"))</f>
        <v>Normal</v>
      </c>
      <c r="I803" s="20" t="n">
        <f aca="false">IF(Data!I803="","",Data!I803)</f>
        <v>148</v>
      </c>
      <c r="J803" s="28" t="str">
        <f aca="false">IF(Data!J803="","",IFERROR(VLOOKUP(Data!J803,Codes!$A$29:$B$30,2,FALSE()),"Invalid ("&amp;Data!J803&amp;")"))</f>
        <v>Yes</v>
      </c>
      <c r="K803" s="21" t="n">
        <f aca="false">IF(Data!K803="","",Data!K803)</f>
        <v>3</v>
      </c>
      <c r="L803" s="28" t="str">
        <f aca="false">IF(Data!L803="","",IFERROR(VLOOKUP(Data!L803,Codes!$A$34:$B$36,2,FALSE()),"Invalid ("&amp;Data!L803&amp;")"))</f>
        <v>Downsloping</v>
      </c>
      <c r="M803" s="20" t="str">
        <f aca="false">IF(Data!M803="","",Data!M803)</f>
        <v/>
      </c>
      <c r="N803" s="28" t="str">
        <f aca="false">IF(Data!N803="","",IFERROR(VLOOKUP(Data!N803,Codes!$A$47:$B$49,2,FALSE()),"Invalid ("&amp;Data!N803&amp;")"))</f>
        <v/>
      </c>
      <c r="O803" s="28" t="str">
        <f aca="false">IF(Data!O803="","",IFERROR(VLOOKUP(Data!O803,Codes!$A$53:$B$57,2,FALSE()),"Invalid ("&amp;Data!O803&amp;")"))</f>
        <v>Disease (2)</v>
      </c>
      <c r="P803" s="22" t="str">
        <f aca="false">IF(Data!P803="","",IFERROR(VLOOKUP(Data!P803,Codes!$A$61:$B$64,2,FALSE()),"Invalid ("&amp;Data!P803&amp;")"))</f>
        <v>VA Medical Center, Long Beach</v>
      </c>
    </row>
    <row r="804" customFormat="false" ht="15" hidden="false" customHeight="false" outlineLevel="0" collapsed="false">
      <c r="A804" s="19" t="n">
        <f aca="false">Data!A804</f>
        <v>803</v>
      </c>
      <c r="B804" s="20" t="n">
        <f aca="false">IF(Data!B804="","",Data!B804)</f>
        <v>67</v>
      </c>
      <c r="C804" s="28" t="str">
        <f aca="false">IF(Data!C804="","",IFERROR(VLOOKUP(Data!C804,Codes!$A$6:$B$7,2,FALSE()),"Invalid ("&amp;Data!C804&amp;")"))</f>
        <v>Male</v>
      </c>
      <c r="D804" s="28" t="str">
        <f aca="false">IF(Data!D804="","",IFERROR(VLOOKUP(Data!D804,Codes!$A$11:$B$14,2,FALSE()),"Invalid ("&amp;Data!D804&amp;")"))</f>
        <v>Asymptomatic</v>
      </c>
      <c r="E804" s="20" t="n">
        <f aca="false">IF(Data!E804="","",Data!E804)</f>
        <v>160</v>
      </c>
      <c r="F804" s="20" t="n">
        <f aca="false">IF(Data!F804="","",Data!F804)</f>
        <v>384</v>
      </c>
      <c r="G804" s="28" t="str">
        <f aca="false">IF(Data!G804="","",IFERROR(VLOOKUP(Data!G804,Codes!$A$18:$B$19,2,FALSE()),"Invalid ("&amp;Data!G804&amp;")"))</f>
        <v>Yes</v>
      </c>
      <c r="H804" s="28" t="str">
        <f aca="false">IF(Data!H804="","",IFERROR(VLOOKUP(Data!H804,Codes!$A$23:$B$25,2,FALSE()),"Invalid ("&amp;Data!H804&amp;")"))</f>
        <v>ST-T wave abnormality</v>
      </c>
      <c r="I804" s="20" t="n">
        <f aca="false">IF(Data!I804="","",Data!I804)</f>
        <v>130</v>
      </c>
      <c r="J804" s="28" t="str">
        <f aca="false">IF(Data!J804="","",IFERROR(VLOOKUP(Data!J804,Codes!$A$29:$B$30,2,FALSE()),"Invalid ("&amp;Data!J804&amp;")"))</f>
        <v>Yes</v>
      </c>
      <c r="K804" s="21" t="n">
        <f aca="false">IF(Data!K804="","",Data!K804)</f>
        <v>0</v>
      </c>
      <c r="L804" s="28" t="str">
        <f aca="false">IF(Data!L804="","",IFERROR(VLOOKUP(Data!L804,Codes!$A$34:$B$36,2,FALSE()),"Invalid ("&amp;Data!L804&amp;")"))</f>
        <v>Flat</v>
      </c>
      <c r="M804" s="20" t="str">
        <f aca="false">IF(Data!M804="","",Data!M804)</f>
        <v/>
      </c>
      <c r="N804" s="28" t="str">
        <f aca="false">IF(Data!N804="","",IFERROR(VLOOKUP(Data!N804,Codes!$A$47:$B$49,2,FALSE()),"Invalid ("&amp;Data!N804&amp;")"))</f>
        <v/>
      </c>
      <c r="O804" s="28" t="str">
        <f aca="false">IF(Data!O804="","",IFERROR(VLOOKUP(Data!O804,Codes!$A$53:$B$57,2,FALSE()),"Invalid ("&amp;Data!O804&amp;")"))</f>
        <v>Disease (2)</v>
      </c>
      <c r="P804" s="22" t="str">
        <f aca="false">IF(Data!P804="","",IFERROR(VLOOKUP(Data!P804,Codes!$A$61:$B$64,2,FALSE()),"Invalid ("&amp;Data!P804&amp;")"))</f>
        <v>VA Medical Center, Long Beach</v>
      </c>
    </row>
    <row r="805" customFormat="false" ht="15" hidden="false" customHeight="false" outlineLevel="0" collapsed="false">
      <c r="A805" s="19" t="n">
        <f aca="false">Data!A805</f>
        <v>804</v>
      </c>
      <c r="B805" s="20" t="n">
        <f aca="false">IF(Data!B805="","",Data!B805)</f>
        <v>62</v>
      </c>
      <c r="C805" s="28" t="str">
        <f aca="false">IF(Data!C805="","",IFERROR(VLOOKUP(Data!C805,Codes!$A$6:$B$7,2,FALSE()),"Invalid ("&amp;Data!C805&amp;")"))</f>
        <v>Male</v>
      </c>
      <c r="D805" s="28" t="str">
        <f aca="false">IF(Data!D805="","",IFERROR(VLOOKUP(Data!D805,Codes!$A$11:$B$14,2,FALSE()),"Invalid ("&amp;Data!D805&amp;")"))</f>
        <v>Asymptomatic</v>
      </c>
      <c r="E805" s="20" t="n">
        <f aca="false">IF(Data!E805="","",Data!E805)</f>
        <v>135</v>
      </c>
      <c r="F805" s="20" t="n">
        <f aca="false">IF(Data!F805="","",Data!F805)</f>
        <v>297</v>
      </c>
      <c r="G805" s="28" t="str">
        <f aca="false">IF(Data!G805="","",IFERROR(VLOOKUP(Data!G805,Codes!$A$18:$B$19,2,FALSE()),"Invalid ("&amp;Data!G805&amp;")"))</f>
        <v>No</v>
      </c>
      <c r="H805" s="28" t="str">
        <f aca="false">IF(Data!H805="","",IFERROR(VLOOKUP(Data!H805,Codes!$A$23:$B$25,2,FALSE()),"Invalid ("&amp;Data!H805&amp;")"))</f>
        <v>Normal</v>
      </c>
      <c r="I805" s="20" t="n">
        <f aca="false">IF(Data!I805="","",Data!I805)</f>
        <v>130</v>
      </c>
      <c r="J805" s="28" t="str">
        <f aca="false">IF(Data!J805="","",IFERROR(VLOOKUP(Data!J805,Codes!$A$29:$B$30,2,FALSE()),"Invalid ("&amp;Data!J805&amp;")"))</f>
        <v>Yes</v>
      </c>
      <c r="K805" s="21" t="n">
        <f aca="false">IF(Data!K805="","",Data!K805)</f>
        <v>1</v>
      </c>
      <c r="L805" s="28" t="str">
        <f aca="false">IF(Data!L805="","",IFERROR(VLOOKUP(Data!L805,Codes!$A$34:$B$36,2,FALSE()),"Invalid ("&amp;Data!L805&amp;")"))</f>
        <v>Flat</v>
      </c>
      <c r="M805" s="20" t="str">
        <f aca="false">IF(Data!M805="","",Data!M805)</f>
        <v/>
      </c>
      <c r="N805" s="28" t="str">
        <f aca="false">IF(Data!N805="","",IFERROR(VLOOKUP(Data!N805,Codes!$A$47:$B$49,2,FALSE()),"Invalid ("&amp;Data!N805&amp;")"))</f>
        <v/>
      </c>
      <c r="O805" s="28" t="str">
        <f aca="false">IF(Data!O805="","",IFERROR(VLOOKUP(Data!O805,Codes!$A$53:$B$57,2,FALSE()),"Invalid ("&amp;Data!O805&amp;")"))</f>
        <v>Disease (2)</v>
      </c>
      <c r="P805" s="22" t="str">
        <f aca="false">IF(Data!P805="","",IFERROR(VLOOKUP(Data!P805,Codes!$A$61:$B$64,2,FALSE()),"Invalid ("&amp;Data!P805&amp;")"))</f>
        <v>VA Medical Center, Long Beach</v>
      </c>
    </row>
    <row r="806" customFormat="false" ht="15" hidden="false" customHeight="false" outlineLevel="0" collapsed="false">
      <c r="A806" s="19" t="n">
        <f aca="false">Data!A806</f>
        <v>805</v>
      </c>
      <c r="B806" s="20" t="n">
        <f aca="false">IF(Data!B806="","",Data!B806)</f>
        <v>65</v>
      </c>
      <c r="C806" s="28" t="str">
        <f aca="false">IF(Data!C806="","",IFERROR(VLOOKUP(Data!C806,Codes!$A$6:$B$7,2,FALSE()),"Invalid ("&amp;Data!C806&amp;")"))</f>
        <v>Male</v>
      </c>
      <c r="D806" s="28" t="str">
        <f aca="false">IF(Data!D806="","",IFERROR(VLOOKUP(Data!D806,Codes!$A$11:$B$14,2,FALSE()),"Invalid ("&amp;Data!D806&amp;")"))</f>
        <v>Asymptomatic</v>
      </c>
      <c r="E806" s="20" t="n">
        <f aca="false">IF(Data!E806="","",Data!E806)</f>
        <v>136</v>
      </c>
      <c r="F806" s="20" t="n">
        <f aca="false">IF(Data!F806="","",Data!F806)</f>
        <v>248</v>
      </c>
      <c r="G806" s="28" t="str">
        <f aca="false">IF(Data!G806="","",IFERROR(VLOOKUP(Data!G806,Codes!$A$18:$B$19,2,FALSE()),"Invalid ("&amp;Data!G806&amp;")"))</f>
        <v>No</v>
      </c>
      <c r="H806" s="28" t="str">
        <f aca="false">IF(Data!H806="","",IFERROR(VLOOKUP(Data!H806,Codes!$A$23:$B$25,2,FALSE()),"Invalid ("&amp;Data!H806&amp;")"))</f>
        <v>Normal</v>
      </c>
      <c r="I806" s="20" t="n">
        <f aca="false">IF(Data!I806="","",Data!I806)</f>
        <v>140</v>
      </c>
      <c r="J806" s="28" t="str">
        <f aca="false">IF(Data!J806="","",IFERROR(VLOOKUP(Data!J806,Codes!$A$29:$B$30,2,FALSE()),"Invalid ("&amp;Data!J806&amp;")"))</f>
        <v>Yes</v>
      </c>
      <c r="K806" s="21" t="n">
        <f aca="false">IF(Data!K806="","",Data!K806)</f>
        <v>4</v>
      </c>
      <c r="L806" s="28" t="str">
        <f aca="false">IF(Data!L806="","",IFERROR(VLOOKUP(Data!L806,Codes!$A$34:$B$36,2,FALSE()),"Invalid ("&amp;Data!L806&amp;")"))</f>
        <v>Downsloping</v>
      </c>
      <c r="M806" s="20" t="str">
        <f aca="false">IF(Data!M806="","",Data!M806)</f>
        <v/>
      </c>
      <c r="N806" s="28" t="str">
        <f aca="false">IF(Data!N806="","",IFERROR(VLOOKUP(Data!N806,Codes!$A$47:$B$49,2,FALSE()),"Invalid ("&amp;Data!N806&amp;")"))</f>
        <v/>
      </c>
      <c r="O806" s="28" t="str">
        <f aca="false">IF(Data!O806="","",IFERROR(VLOOKUP(Data!O806,Codes!$A$53:$B$57,2,FALSE()),"Invalid ("&amp;Data!O806&amp;")"))</f>
        <v>Disease (4)</v>
      </c>
      <c r="P806" s="22" t="str">
        <f aca="false">IF(Data!P806="","",IFERROR(VLOOKUP(Data!P806,Codes!$A$61:$B$64,2,FALSE()),"Invalid ("&amp;Data!P806&amp;")"))</f>
        <v>VA Medical Center, Long Beach</v>
      </c>
    </row>
    <row r="807" customFormat="false" ht="15" hidden="false" customHeight="false" outlineLevel="0" collapsed="false">
      <c r="A807" s="19" t="n">
        <f aca="false">Data!A807</f>
        <v>806</v>
      </c>
      <c r="B807" s="20" t="n">
        <f aca="false">IF(Data!B807="","",Data!B807)</f>
        <v>63</v>
      </c>
      <c r="C807" s="28" t="str">
        <f aca="false">IF(Data!C807="","",IFERROR(VLOOKUP(Data!C807,Codes!$A$6:$B$7,2,FALSE()),"Invalid ("&amp;Data!C807&amp;")"))</f>
        <v>Male</v>
      </c>
      <c r="D807" s="28" t="str">
        <f aca="false">IF(Data!D807="","",IFERROR(VLOOKUP(Data!D807,Codes!$A$11:$B$14,2,FALSE()),"Invalid ("&amp;Data!D807&amp;")"))</f>
        <v>Asymptomatic</v>
      </c>
      <c r="E807" s="20" t="n">
        <f aca="false">IF(Data!E807="","",Data!E807)</f>
        <v>130</v>
      </c>
      <c r="F807" s="20" t="n">
        <f aca="false">IF(Data!F807="","",Data!F807)</f>
        <v>308</v>
      </c>
      <c r="G807" s="28" t="str">
        <f aca="false">IF(Data!G807="","",IFERROR(VLOOKUP(Data!G807,Codes!$A$18:$B$19,2,FALSE()),"Invalid ("&amp;Data!G807&amp;")"))</f>
        <v>No</v>
      </c>
      <c r="H807" s="28" t="str">
        <f aca="false">IF(Data!H807="","",IFERROR(VLOOKUP(Data!H807,Codes!$A$23:$B$25,2,FALSE()),"Invalid ("&amp;Data!H807&amp;")"))</f>
        <v>Normal</v>
      </c>
      <c r="I807" s="20" t="n">
        <f aca="false">IF(Data!I807="","",Data!I807)</f>
        <v>138</v>
      </c>
      <c r="J807" s="28" t="str">
        <f aca="false">IF(Data!J807="","",IFERROR(VLOOKUP(Data!J807,Codes!$A$29:$B$30,2,FALSE()),"Invalid ("&amp;Data!J807&amp;")"))</f>
        <v>Yes</v>
      </c>
      <c r="K807" s="21" t="n">
        <f aca="false">IF(Data!K807="","",Data!K807)</f>
        <v>2</v>
      </c>
      <c r="L807" s="28" t="str">
        <f aca="false">IF(Data!L807="","",IFERROR(VLOOKUP(Data!L807,Codes!$A$34:$B$36,2,FALSE()),"Invalid ("&amp;Data!L807&amp;")"))</f>
        <v>Flat</v>
      </c>
      <c r="M807" s="20" t="str">
        <f aca="false">IF(Data!M807="","",Data!M807)</f>
        <v/>
      </c>
      <c r="N807" s="28" t="str">
        <f aca="false">IF(Data!N807="","",IFERROR(VLOOKUP(Data!N807,Codes!$A$47:$B$49,2,FALSE()),"Invalid ("&amp;Data!N807&amp;")"))</f>
        <v/>
      </c>
      <c r="O807" s="28" t="str">
        <f aca="false">IF(Data!O807="","",IFERROR(VLOOKUP(Data!O807,Codes!$A$53:$B$57,2,FALSE()),"Invalid ("&amp;Data!O807&amp;")"))</f>
        <v>Disease (2)</v>
      </c>
      <c r="P807" s="22" t="str">
        <f aca="false">IF(Data!P807="","",IFERROR(VLOOKUP(Data!P807,Codes!$A$61:$B$64,2,FALSE()),"Invalid ("&amp;Data!P807&amp;")"))</f>
        <v>VA Medical Center, Long Beach</v>
      </c>
    </row>
    <row r="808" customFormat="false" ht="15" hidden="false" customHeight="false" outlineLevel="0" collapsed="false">
      <c r="A808" s="19" t="n">
        <f aca="false">Data!A808</f>
        <v>807</v>
      </c>
      <c r="B808" s="20" t="n">
        <f aca="false">IF(Data!B808="","",Data!B808)</f>
        <v>69</v>
      </c>
      <c r="C808" s="28" t="str">
        <f aca="false">IF(Data!C808="","",IFERROR(VLOOKUP(Data!C808,Codes!$A$6:$B$7,2,FALSE()),"Invalid ("&amp;Data!C808&amp;")"))</f>
        <v>Male</v>
      </c>
      <c r="D808" s="28" t="str">
        <f aca="false">IF(Data!D808="","",IFERROR(VLOOKUP(Data!D808,Codes!$A$11:$B$14,2,FALSE()),"Invalid ("&amp;Data!D808&amp;")"))</f>
        <v>Asymptomatic</v>
      </c>
      <c r="E808" s="20" t="n">
        <f aca="false">IF(Data!E808="","",Data!E808)</f>
        <v>140</v>
      </c>
      <c r="F808" s="20" t="n">
        <f aca="false">IF(Data!F808="","",Data!F808)</f>
        <v>208</v>
      </c>
      <c r="G808" s="28" t="str">
        <f aca="false">IF(Data!G808="","",IFERROR(VLOOKUP(Data!G808,Codes!$A$18:$B$19,2,FALSE()),"Invalid ("&amp;Data!G808&amp;")"))</f>
        <v>No</v>
      </c>
      <c r="H808" s="28" t="str">
        <f aca="false">IF(Data!H808="","",IFERROR(VLOOKUP(Data!H808,Codes!$A$23:$B$25,2,FALSE()),"Invalid ("&amp;Data!H808&amp;")"))</f>
        <v>ST-T wave abnormality</v>
      </c>
      <c r="I808" s="20" t="n">
        <f aca="false">IF(Data!I808="","",Data!I808)</f>
        <v>140</v>
      </c>
      <c r="J808" s="28" t="str">
        <f aca="false">IF(Data!J808="","",IFERROR(VLOOKUP(Data!J808,Codes!$A$29:$B$30,2,FALSE()),"Invalid ("&amp;Data!J808&amp;")"))</f>
        <v>Yes</v>
      </c>
      <c r="K808" s="21" t="n">
        <f aca="false">IF(Data!K808="","",Data!K808)</f>
        <v>2</v>
      </c>
      <c r="L808" s="28" t="str">
        <f aca="false">IF(Data!L808="","",IFERROR(VLOOKUP(Data!L808,Codes!$A$34:$B$36,2,FALSE()),"Invalid ("&amp;Data!L808&amp;")"))</f>
        <v/>
      </c>
      <c r="M808" s="20" t="str">
        <f aca="false">IF(Data!M808="","",Data!M808)</f>
        <v/>
      </c>
      <c r="N808" s="28" t="str">
        <f aca="false">IF(Data!N808="","",IFERROR(VLOOKUP(Data!N808,Codes!$A$47:$B$49,2,FALSE()),"Invalid ("&amp;Data!N808&amp;")"))</f>
        <v/>
      </c>
      <c r="O808" s="28" t="str">
        <f aca="false">IF(Data!O808="","",IFERROR(VLOOKUP(Data!O808,Codes!$A$53:$B$57,2,FALSE()),"Invalid ("&amp;Data!O808&amp;")"))</f>
        <v>Disease (3)</v>
      </c>
      <c r="P808" s="22" t="str">
        <f aca="false">IF(Data!P808="","",IFERROR(VLOOKUP(Data!P808,Codes!$A$61:$B$64,2,FALSE()),"Invalid ("&amp;Data!P808&amp;")"))</f>
        <v>VA Medical Center, Long Beach</v>
      </c>
    </row>
    <row r="809" customFormat="false" ht="15" hidden="false" customHeight="false" outlineLevel="0" collapsed="false">
      <c r="A809" s="19" t="n">
        <f aca="false">Data!A809</f>
        <v>808</v>
      </c>
      <c r="B809" s="20" t="n">
        <f aca="false">IF(Data!B809="","",Data!B809)</f>
        <v>51</v>
      </c>
      <c r="C809" s="28" t="str">
        <f aca="false">IF(Data!C809="","",IFERROR(VLOOKUP(Data!C809,Codes!$A$6:$B$7,2,FALSE()),"Invalid ("&amp;Data!C809&amp;")"))</f>
        <v>Male</v>
      </c>
      <c r="D809" s="28" t="str">
        <f aca="false">IF(Data!D809="","",IFERROR(VLOOKUP(Data!D809,Codes!$A$11:$B$14,2,FALSE()),"Invalid ("&amp;Data!D809&amp;")"))</f>
        <v>Asymptomatic</v>
      </c>
      <c r="E809" s="20" t="str">
        <f aca="false">IF(Data!E809="","",Data!E809)</f>
        <v/>
      </c>
      <c r="F809" s="20" t="n">
        <f aca="false">IF(Data!F809="","",Data!F809)</f>
        <v>227</v>
      </c>
      <c r="G809" s="28" t="str">
        <f aca="false">IF(Data!G809="","",IFERROR(VLOOKUP(Data!G809,Codes!$A$18:$B$19,2,FALSE()),"Invalid ("&amp;Data!G809&amp;")"))</f>
        <v>Yes</v>
      </c>
      <c r="H809" s="28" t="str">
        <f aca="false">IF(Data!H809="","",IFERROR(VLOOKUP(Data!H809,Codes!$A$23:$B$25,2,FALSE()),"Invalid ("&amp;Data!H809&amp;")"))</f>
        <v>ST-T wave abnormality</v>
      </c>
      <c r="I809" s="20" t="str">
        <f aca="false">IF(Data!I809="","",Data!I809)</f>
        <v/>
      </c>
      <c r="J809" s="28" t="str">
        <f aca="false">IF(Data!J809="","",IFERROR(VLOOKUP(Data!J809,Codes!$A$29:$B$30,2,FALSE()),"Invalid ("&amp;Data!J809&amp;")"))</f>
        <v/>
      </c>
      <c r="K809" s="21" t="str">
        <f aca="false">IF(Data!K809="","",Data!K809)</f>
        <v/>
      </c>
      <c r="L809" s="28" t="str">
        <f aca="false">IF(Data!L809="","",IFERROR(VLOOKUP(Data!L809,Codes!$A$34:$B$36,2,FALSE()),"Invalid ("&amp;Data!L809&amp;")"))</f>
        <v/>
      </c>
      <c r="M809" s="20" t="str">
        <f aca="false">IF(Data!M809="","",Data!M809)</f>
        <v/>
      </c>
      <c r="N809" s="28" t="str">
        <f aca="false">IF(Data!N809="","",IFERROR(VLOOKUP(Data!N809,Codes!$A$47:$B$49,2,FALSE()),"Invalid ("&amp;Data!N809&amp;")"))</f>
        <v/>
      </c>
      <c r="O809" s="28" t="str">
        <f aca="false">IF(Data!O809="","",IFERROR(VLOOKUP(Data!O809,Codes!$A$53:$B$57,2,FALSE()),"Invalid ("&amp;Data!O809&amp;")"))</f>
        <v>No disease</v>
      </c>
      <c r="P809" s="22" t="str">
        <f aca="false">IF(Data!P809="","",IFERROR(VLOOKUP(Data!P809,Codes!$A$61:$B$64,2,FALSE()),"Invalid ("&amp;Data!P809&amp;")"))</f>
        <v>VA Medical Center, Long Beach</v>
      </c>
    </row>
    <row r="810" customFormat="false" ht="15" hidden="false" customHeight="false" outlineLevel="0" collapsed="false">
      <c r="A810" s="19" t="n">
        <f aca="false">Data!A810</f>
        <v>809</v>
      </c>
      <c r="B810" s="20" t="n">
        <f aca="false">IF(Data!B810="","",Data!B810)</f>
        <v>62</v>
      </c>
      <c r="C810" s="28" t="str">
        <f aca="false">IF(Data!C810="","",IFERROR(VLOOKUP(Data!C810,Codes!$A$6:$B$7,2,FALSE()),"Invalid ("&amp;Data!C810&amp;")"))</f>
        <v>Male</v>
      </c>
      <c r="D810" s="28" t="str">
        <f aca="false">IF(Data!D810="","",IFERROR(VLOOKUP(Data!D810,Codes!$A$11:$B$14,2,FALSE()),"Invalid ("&amp;Data!D810&amp;")"))</f>
        <v>Asymptomatic</v>
      </c>
      <c r="E810" s="20" t="n">
        <f aca="false">IF(Data!E810="","",Data!E810)</f>
        <v>158</v>
      </c>
      <c r="F810" s="20" t="n">
        <f aca="false">IF(Data!F810="","",Data!F810)</f>
        <v>210</v>
      </c>
      <c r="G810" s="28" t="str">
        <f aca="false">IF(Data!G810="","",IFERROR(VLOOKUP(Data!G810,Codes!$A$18:$B$19,2,FALSE()),"Invalid ("&amp;Data!G810&amp;")"))</f>
        <v>Yes</v>
      </c>
      <c r="H810" s="28" t="str">
        <f aca="false">IF(Data!H810="","",IFERROR(VLOOKUP(Data!H810,Codes!$A$23:$B$25,2,FALSE()),"Invalid ("&amp;Data!H810&amp;")"))</f>
        <v>Normal</v>
      </c>
      <c r="I810" s="20" t="n">
        <f aca="false">IF(Data!I810="","",Data!I810)</f>
        <v>112</v>
      </c>
      <c r="J810" s="28" t="str">
        <f aca="false">IF(Data!J810="","",IFERROR(VLOOKUP(Data!J810,Codes!$A$29:$B$30,2,FALSE()),"Invalid ("&amp;Data!J810&amp;")"))</f>
        <v>Yes</v>
      </c>
      <c r="K810" s="21" t="n">
        <f aca="false">IF(Data!K810="","",Data!K810)</f>
        <v>3</v>
      </c>
      <c r="L810" s="28" t="str">
        <f aca="false">IF(Data!L810="","",IFERROR(VLOOKUP(Data!L810,Codes!$A$34:$B$36,2,FALSE()),"Invalid ("&amp;Data!L810&amp;")"))</f>
        <v>Downsloping</v>
      </c>
      <c r="M810" s="20" t="str">
        <f aca="false">IF(Data!M810="","",Data!M810)</f>
        <v/>
      </c>
      <c r="N810" s="28" t="str">
        <f aca="false">IF(Data!N810="","",IFERROR(VLOOKUP(Data!N810,Codes!$A$47:$B$49,2,FALSE()),"Invalid ("&amp;Data!N810&amp;")"))</f>
        <v/>
      </c>
      <c r="O810" s="28" t="str">
        <f aca="false">IF(Data!O810="","",IFERROR(VLOOKUP(Data!O810,Codes!$A$53:$B$57,2,FALSE()),"Invalid ("&amp;Data!O810&amp;")"))</f>
        <v>Disease (1)</v>
      </c>
      <c r="P810" s="22" t="str">
        <f aca="false">IF(Data!P810="","",IFERROR(VLOOKUP(Data!P810,Codes!$A$61:$B$64,2,FALSE()),"Invalid ("&amp;Data!P810&amp;")"))</f>
        <v>VA Medical Center, Long Beach</v>
      </c>
    </row>
    <row r="811" customFormat="false" ht="15" hidden="false" customHeight="false" outlineLevel="0" collapsed="false">
      <c r="A811" s="19" t="n">
        <f aca="false">Data!A811</f>
        <v>810</v>
      </c>
      <c r="B811" s="20" t="n">
        <f aca="false">IF(Data!B811="","",Data!B811)</f>
        <v>55</v>
      </c>
      <c r="C811" s="28" t="str">
        <f aca="false">IF(Data!C811="","",IFERROR(VLOOKUP(Data!C811,Codes!$A$6:$B$7,2,FALSE()),"Invalid ("&amp;Data!C811&amp;")"))</f>
        <v>Male</v>
      </c>
      <c r="D811" s="28" t="str">
        <f aca="false">IF(Data!D811="","",IFERROR(VLOOKUP(Data!D811,Codes!$A$11:$B$14,2,FALSE()),"Invalid ("&amp;Data!D811&amp;")"))</f>
        <v>Non-anginal pain</v>
      </c>
      <c r="E811" s="20" t="str">
        <f aca="false">IF(Data!E811="","",Data!E811)</f>
        <v/>
      </c>
      <c r="F811" s="20" t="n">
        <f aca="false">IF(Data!F811="","",Data!F811)</f>
        <v>245</v>
      </c>
      <c r="G811" s="28" t="str">
        <f aca="false">IF(Data!G811="","",IFERROR(VLOOKUP(Data!G811,Codes!$A$18:$B$19,2,FALSE()),"Invalid ("&amp;Data!G811&amp;")"))</f>
        <v>Yes</v>
      </c>
      <c r="H811" s="28" t="str">
        <f aca="false">IF(Data!H811="","",IFERROR(VLOOKUP(Data!H811,Codes!$A$23:$B$25,2,FALSE()),"Invalid ("&amp;Data!H811&amp;")"))</f>
        <v>ST-T wave abnormality</v>
      </c>
      <c r="I811" s="20" t="str">
        <f aca="false">IF(Data!I811="","",Data!I811)</f>
        <v/>
      </c>
      <c r="J811" s="28" t="str">
        <f aca="false">IF(Data!J811="","",IFERROR(VLOOKUP(Data!J811,Codes!$A$29:$B$30,2,FALSE()),"Invalid ("&amp;Data!J811&amp;")"))</f>
        <v/>
      </c>
      <c r="K811" s="21" t="str">
        <f aca="false">IF(Data!K811="","",Data!K811)</f>
        <v/>
      </c>
      <c r="L811" s="28" t="str">
        <f aca="false">IF(Data!L811="","",IFERROR(VLOOKUP(Data!L811,Codes!$A$34:$B$36,2,FALSE()),"Invalid ("&amp;Data!L811&amp;")"))</f>
        <v/>
      </c>
      <c r="M811" s="20" t="str">
        <f aca="false">IF(Data!M811="","",Data!M811)</f>
        <v/>
      </c>
      <c r="N811" s="28" t="str">
        <f aca="false">IF(Data!N811="","",IFERROR(VLOOKUP(Data!N811,Codes!$A$47:$B$49,2,FALSE()),"Invalid ("&amp;Data!N811&amp;")"))</f>
        <v/>
      </c>
      <c r="O811" s="28" t="str">
        <f aca="false">IF(Data!O811="","",IFERROR(VLOOKUP(Data!O811,Codes!$A$53:$B$57,2,FALSE()),"Invalid ("&amp;Data!O811&amp;")"))</f>
        <v>Disease (1)</v>
      </c>
      <c r="P811" s="22" t="str">
        <f aca="false">IF(Data!P811="","",IFERROR(VLOOKUP(Data!P811,Codes!$A$61:$B$64,2,FALSE()),"Invalid ("&amp;Data!P811&amp;")"))</f>
        <v>VA Medical Center, Long Beach</v>
      </c>
    </row>
    <row r="812" customFormat="false" ht="15" hidden="false" customHeight="false" outlineLevel="0" collapsed="false">
      <c r="A812" s="19" t="n">
        <f aca="false">Data!A812</f>
        <v>811</v>
      </c>
      <c r="B812" s="20" t="n">
        <f aca="false">IF(Data!B812="","",Data!B812)</f>
        <v>75</v>
      </c>
      <c r="C812" s="28" t="str">
        <f aca="false">IF(Data!C812="","",IFERROR(VLOOKUP(Data!C812,Codes!$A$6:$B$7,2,FALSE()),"Invalid ("&amp;Data!C812&amp;")"))</f>
        <v>Male</v>
      </c>
      <c r="D812" s="28" t="str">
        <f aca="false">IF(Data!D812="","",IFERROR(VLOOKUP(Data!D812,Codes!$A$11:$B$14,2,FALSE()),"Invalid ("&amp;Data!D812&amp;")"))</f>
        <v>Asymptomatic</v>
      </c>
      <c r="E812" s="20" t="n">
        <f aca="false">IF(Data!E812="","",Data!E812)</f>
        <v>136</v>
      </c>
      <c r="F812" s="20" t="n">
        <f aca="false">IF(Data!F812="","",Data!F812)</f>
        <v>225</v>
      </c>
      <c r="G812" s="28" t="str">
        <f aca="false">IF(Data!G812="","",IFERROR(VLOOKUP(Data!G812,Codes!$A$18:$B$19,2,FALSE()),"Invalid ("&amp;Data!G812&amp;")"))</f>
        <v>No</v>
      </c>
      <c r="H812" s="28" t="str">
        <f aca="false">IF(Data!H812="","",IFERROR(VLOOKUP(Data!H812,Codes!$A$23:$B$25,2,FALSE()),"Invalid ("&amp;Data!H812&amp;")"))</f>
        <v>Normal</v>
      </c>
      <c r="I812" s="20" t="n">
        <f aca="false">IF(Data!I812="","",Data!I812)</f>
        <v>112</v>
      </c>
      <c r="J812" s="28" t="str">
        <f aca="false">IF(Data!J812="","",IFERROR(VLOOKUP(Data!J812,Codes!$A$29:$B$30,2,FALSE()),"Invalid ("&amp;Data!J812&amp;")"))</f>
        <v>Yes</v>
      </c>
      <c r="K812" s="21" t="n">
        <f aca="false">IF(Data!K812="","",Data!K812)</f>
        <v>3</v>
      </c>
      <c r="L812" s="28" t="str">
        <f aca="false">IF(Data!L812="","",IFERROR(VLOOKUP(Data!L812,Codes!$A$34:$B$36,2,FALSE()),"Invalid ("&amp;Data!L812&amp;")"))</f>
        <v>Flat</v>
      </c>
      <c r="M812" s="20" t="str">
        <f aca="false">IF(Data!M812="","",Data!M812)</f>
        <v/>
      </c>
      <c r="N812" s="28" t="str">
        <f aca="false">IF(Data!N812="","",IFERROR(VLOOKUP(Data!N812,Codes!$A$47:$B$49,2,FALSE()),"Invalid ("&amp;Data!N812&amp;")"))</f>
        <v/>
      </c>
      <c r="O812" s="28" t="str">
        <f aca="false">IF(Data!O812="","",IFERROR(VLOOKUP(Data!O812,Codes!$A$53:$B$57,2,FALSE()),"Invalid ("&amp;Data!O812&amp;")"))</f>
        <v>Disease (3)</v>
      </c>
      <c r="P812" s="22" t="str">
        <f aca="false">IF(Data!P812="","",IFERROR(VLOOKUP(Data!P812,Codes!$A$61:$B$64,2,FALSE()),"Invalid ("&amp;Data!P812&amp;")"))</f>
        <v>VA Medical Center, Long Beach</v>
      </c>
    </row>
    <row r="813" customFormat="false" ht="15" hidden="false" customHeight="false" outlineLevel="0" collapsed="false">
      <c r="A813" s="19" t="n">
        <f aca="false">Data!A813</f>
        <v>812</v>
      </c>
      <c r="B813" s="20" t="n">
        <f aca="false">IF(Data!B813="","",Data!B813)</f>
        <v>40</v>
      </c>
      <c r="C813" s="28" t="str">
        <f aca="false">IF(Data!C813="","",IFERROR(VLOOKUP(Data!C813,Codes!$A$6:$B$7,2,FALSE()),"Invalid ("&amp;Data!C813&amp;")"))</f>
        <v>Male</v>
      </c>
      <c r="D813" s="28" t="str">
        <f aca="false">IF(Data!D813="","",IFERROR(VLOOKUP(Data!D813,Codes!$A$11:$B$14,2,FALSE()),"Invalid ("&amp;Data!D813&amp;")"))</f>
        <v>Non-anginal pain</v>
      </c>
      <c r="E813" s="20" t="n">
        <f aca="false">IF(Data!E813="","",Data!E813)</f>
        <v>106</v>
      </c>
      <c r="F813" s="20" t="n">
        <f aca="false">IF(Data!F813="","",Data!F813)</f>
        <v>240</v>
      </c>
      <c r="G813" s="28" t="str">
        <f aca="false">IF(Data!G813="","",IFERROR(VLOOKUP(Data!G813,Codes!$A$18:$B$19,2,FALSE()),"Invalid ("&amp;Data!G813&amp;")"))</f>
        <v>No</v>
      </c>
      <c r="H813" s="28" t="str">
        <f aca="false">IF(Data!H813="","",IFERROR(VLOOKUP(Data!H813,Codes!$A$23:$B$25,2,FALSE()),"Invalid ("&amp;Data!H813&amp;")"))</f>
        <v>Normal</v>
      </c>
      <c r="I813" s="20" t="n">
        <f aca="false">IF(Data!I813="","",Data!I813)</f>
        <v>80</v>
      </c>
      <c r="J813" s="28" t="str">
        <f aca="false">IF(Data!J813="","",IFERROR(VLOOKUP(Data!J813,Codes!$A$29:$B$30,2,FALSE()),"Invalid ("&amp;Data!J813&amp;")"))</f>
        <v>Yes</v>
      </c>
      <c r="K813" s="21" t="n">
        <f aca="false">IF(Data!K813="","",Data!K813)</f>
        <v>0</v>
      </c>
      <c r="L813" s="28" t="str">
        <f aca="false">IF(Data!L813="","",IFERROR(VLOOKUP(Data!L813,Codes!$A$34:$B$36,2,FALSE()),"Invalid ("&amp;Data!L813&amp;")"))</f>
        <v/>
      </c>
      <c r="M813" s="20" t="str">
        <f aca="false">IF(Data!M813="","",Data!M813)</f>
        <v/>
      </c>
      <c r="N813" s="28" t="str">
        <f aca="false">IF(Data!N813="","",IFERROR(VLOOKUP(Data!N813,Codes!$A$47:$B$49,2,FALSE()),"Invalid ("&amp;Data!N813&amp;")"))</f>
        <v>Reversible defect</v>
      </c>
      <c r="O813" s="28" t="str">
        <f aca="false">IF(Data!O813="","",IFERROR(VLOOKUP(Data!O813,Codes!$A$53:$B$57,2,FALSE()),"Invalid ("&amp;Data!O813&amp;")"))</f>
        <v>No disease</v>
      </c>
      <c r="P813" s="22" t="str">
        <f aca="false">IF(Data!P813="","",IFERROR(VLOOKUP(Data!P813,Codes!$A$61:$B$64,2,FALSE()),"Invalid ("&amp;Data!P813&amp;")"))</f>
        <v>VA Medical Center, Long Beach</v>
      </c>
    </row>
    <row r="814" customFormat="false" ht="15" hidden="false" customHeight="false" outlineLevel="0" collapsed="false">
      <c r="A814" s="19" t="n">
        <f aca="false">Data!A814</f>
        <v>813</v>
      </c>
      <c r="B814" s="20" t="n">
        <f aca="false">IF(Data!B814="","",Data!B814)</f>
        <v>67</v>
      </c>
      <c r="C814" s="28" t="str">
        <f aca="false">IF(Data!C814="","",IFERROR(VLOOKUP(Data!C814,Codes!$A$6:$B$7,2,FALSE()),"Invalid ("&amp;Data!C814&amp;")"))</f>
        <v>Male</v>
      </c>
      <c r="D814" s="28" t="str">
        <f aca="false">IF(Data!D814="","",IFERROR(VLOOKUP(Data!D814,Codes!$A$11:$B$14,2,FALSE()),"Invalid ("&amp;Data!D814&amp;")"))</f>
        <v>Asymptomatic</v>
      </c>
      <c r="E814" s="20" t="n">
        <f aca="false">IF(Data!E814="","",Data!E814)</f>
        <v>120</v>
      </c>
      <c r="F814" s="20" t="n">
        <f aca="false">IF(Data!F814="","",Data!F814)</f>
        <v>0</v>
      </c>
      <c r="G814" s="28" t="str">
        <f aca="false">IF(Data!G814="","",IFERROR(VLOOKUP(Data!G814,Codes!$A$18:$B$19,2,FALSE()),"Invalid ("&amp;Data!G814&amp;")"))</f>
        <v>Yes</v>
      </c>
      <c r="H814" s="28" t="str">
        <f aca="false">IF(Data!H814="","",IFERROR(VLOOKUP(Data!H814,Codes!$A$23:$B$25,2,FALSE()),"Invalid ("&amp;Data!H814&amp;")"))</f>
        <v>Normal</v>
      </c>
      <c r="I814" s="20" t="n">
        <f aca="false">IF(Data!I814="","",Data!I814)</f>
        <v>150</v>
      </c>
      <c r="J814" s="28" t="str">
        <f aca="false">IF(Data!J814="","",IFERROR(VLOOKUP(Data!J814,Codes!$A$29:$B$30,2,FALSE()),"Invalid ("&amp;Data!J814&amp;")"))</f>
        <v>No</v>
      </c>
      <c r="K814" s="21" t="n">
        <f aca="false">IF(Data!K814="","",Data!K814)</f>
        <v>1.5</v>
      </c>
      <c r="L814" s="28" t="str">
        <f aca="false">IF(Data!L814="","",IFERROR(VLOOKUP(Data!L814,Codes!$A$34:$B$36,2,FALSE()),"Invalid ("&amp;Data!L814&amp;")"))</f>
        <v>Downsloping</v>
      </c>
      <c r="M814" s="20" t="str">
        <f aca="false">IF(Data!M814="","",Data!M814)</f>
        <v/>
      </c>
      <c r="N814" s="28" t="str">
        <f aca="false">IF(Data!N814="","",IFERROR(VLOOKUP(Data!N814,Codes!$A$47:$B$49,2,FALSE()),"Invalid ("&amp;Data!N814&amp;")"))</f>
        <v/>
      </c>
      <c r="O814" s="28" t="str">
        <f aca="false">IF(Data!O814="","",IFERROR(VLOOKUP(Data!O814,Codes!$A$53:$B$57,2,FALSE()),"Invalid ("&amp;Data!O814&amp;")"))</f>
        <v>Disease (3)</v>
      </c>
      <c r="P814" s="22" t="str">
        <f aca="false">IF(Data!P814="","",IFERROR(VLOOKUP(Data!P814,Codes!$A$61:$B$64,2,FALSE()),"Invalid ("&amp;Data!P814&amp;")"))</f>
        <v>VA Medical Center, Long Beach</v>
      </c>
    </row>
    <row r="815" customFormat="false" ht="15" hidden="false" customHeight="false" outlineLevel="0" collapsed="false">
      <c r="A815" s="19" t="n">
        <f aca="false">Data!A815</f>
        <v>814</v>
      </c>
      <c r="B815" s="20" t="n">
        <f aca="false">IF(Data!B815="","",Data!B815)</f>
        <v>58</v>
      </c>
      <c r="C815" s="28" t="str">
        <f aca="false">IF(Data!C815="","",IFERROR(VLOOKUP(Data!C815,Codes!$A$6:$B$7,2,FALSE()),"Invalid ("&amp;Data!C815&amp;")"))</f>
        <v>Male</v>
      </c>
      <c r="D815" s="28" t="str">
        <f aca="false">IF(Data!D815="","",IFERROR(VLOOKUP(Data!D815,Codes!$A$11:$B$14,2,FALSE()),"Invalid ("&amp;Data!D815&amp;")"))</f>
        <v>Asymptomatic</v>
      </c>
      <c r="E815" s="20" t="n">
        <f aca="false">IF(Data!E815="","",Data!E815)</f>
        <v>110</v>
      </c>
      <c r="F815" s="20" t="n">
        <f aca="false">IF(Data!F815="","",Data!F815)</f>
        <v>198</v>
      </c>
      <c r="G815" s="28" t="str">
        <f aca="false">IF(Data!G815="","",IFERROR(VLOOKUP(Data!G815,Codes!$A$18:$B$19,2,FALSE()),"Invalid ("&amp;Data!G815&amp;")"))</f>
        <v>No</v>
      </c>
      <c r="H815" s="28" t="str">
        <f aca="false">IF(Data!H815="","",IFERROR(VLOOKUP(Data!H815,Codes!$A$23:$B$25,2,FALSE()),"Invalid ("&amp;Data!H815&amp;")"))</f>
        <v>Normal</v>
      </c>
      <c r="I815" s="20" t="n">
        <f aca="false">IF(Data!I815="","",Data!I815)</f>
        <v>110</v>
      </c>
      <c r="J815" s="28" t="str">
        <f aca="false">IF(Data!J815="","",IFERROR(VLOOKUP(Data!J815,Codes!$A$29:$B$30,2,FALSE()),"Invalid ("&amp;Data!J815&amp;")"))</f>
        <v>No</v>
      </c>
      <c r="K815" s="21" t="n">
        <f aca="false">IF(Data!K815="","",Data!K815)</f>
        <v>0</v>
      </c>
      <c r="L815" s="28" t="str">
        <f aca="false">IF(Data!L815="","",IFERROR(VLOOKUP(Data!L815,Codes!$A$34:$B$36,2,FALSE()),"Invalid ("&amp;Data!L815&amp;")"))</f>
        <v/>
      </c>
      <c r="M815" s="20" t="str">
        <f aca="false">IF(Data!M815="","",Data!M815)</f>
        <v/>
      </c>
      <c r="N815" s="28" t="str">
        <f aca="false">IF(Data!N815="","",IFERROR(VLOOKUP(Data!N815,Codes!$A$47:$B$49,2,FALSE()),"Invalid ("&amp;Data!N815&amp;")"))</f>
        <v/>
      </c>
      <c r="O815" s="28" t="str">
        <f aca="false">IF(Data!O815="","",IFERROR(VLOOKUP(Data!O815,Codes!$A$53:$B$57,2,FALSE()),"Invalid ("&amp;Data!O815&amp;")"))</f>
        <v>Disease (1)</v>
      </c>
      <c r="P815" s="22" t="str">
        <f aca="false">IF(Data!P815="","",IFERROR(VLOOKUP(Data!P815,Codes!$A$61:$B$64,2,FALSE()),"Invalid ("&amp;Data!P815&amp;")"))</f>
        <v>VA Medical Center, Long Beach</v>
      </c>
    </row>
    <row r="816" customFormat="false" ht="15" hidden="false" customHeight="false" outlineLevel="0" collapsed="false">
      <c r="A816" s="19" t="n">
        <f aca="false">Data!A816</f>
        <v>815</v>
      </c>
      <c r="B816" s="20" t="n">
        <f aca="false">IF(Data!B816="","",Data!B816)</f>
        <v>60</v>
      </c>
      <c r="C816" s="28" t="str">
        <f aca="false">IF(Data!C816="","",IFERROR(VLOOKUP(Data!C816,Codes!$A$6:$B$7,2,FALSE()),"Invalid ("&amp;Data!C816&amp;")"))</f>
        <v>Male</v>
      </c>
      <c r="D816" s="28" t="str">
        <f aca="false">IF(Data!D816="","",IFERROR(VLOOKUP(Data!D816,Codes!$A$11:$B$14,2,FALSE()),"Invalid ("&amp;Data!D816&amp;")"))</f>
        <v>Asymptomatic</v>
      </c>
      <c r="E816" s="20" t="str">
        <f aca="false">IF(Data!E816="","",Data!E816)</f>
        <v/>
      </c>
      <c r="F816" s="20" t="n">
        <f aca="false">IF(Data!F816="","",Data!F816)</f>
        <v>195</v>
      </c>
      <c r="G816" s="28" t="str">
        <f aca="false">IF(Data!G816="","",IFERROR(VLOOKUP(Data!G816,Codes!$A$18:$B$19,2,FALSE()),"Invalid ("&amp;Data!G816&amp;")"))</f>
        <v>No</v>
      </c>
      <c r="H816" s="28" t="str">
        <f aca="false">IF(Data!H816="","",IFERROR(VLOOKUP(Data!H816,Codes!$A$23:$B$25,2,FALSE()),"Invalid ("&amp;Data!H816&amp;")"))</f>
        <v>Normal</v>
      </c>
      <c r="I816" s="20" t="str">
        <f aca="false">IF(Data!I816="","",Data!I816)</f>
        <v/>
      </c>
      <c r="J816" s="28" t="str">
        <f aca="false">IF(Data!J816="","",IFERROR(VLOOKUP(Data!J816,Codes!$A$29:$B$30,2,FALSE()),"Invalid ("&amp;Data!J816&amp;")"))</f>
        <v/>
      </c>
      <c r="K816" s="21" t="str">
        <f aca="false">IF(Data!K816="","",Data!K816)</f>
        <v/>
      </c>
      <c r="L816" s="28" t="str">
        <f aca="false">IF(Data!L816="","",IFERROR(VLOOKUP(Data!L816,Codes!$A$34:$B$36,2,FALSE()),"Invalid ("&amp;Data!L816&amp;")"))</f>
        <v/>
      </c>
      <c r="M816" s="20" t="str">
        <f aca="false">IF(Data!M816="","",Data!M816)</f>
        <v/>
      </c>
      <c r="N816" s="28" t="str">
        <f aca="false">IF(Data!N816="","",IFERROR(VLOOKUP(Data!N816,Codes!$A$47:$B$49,2,FALSE()),"Invalid ("&amp;Data!N816&amp;")"))</f>
        <v/>
      </c>
      <c r="O816" s="28" t="str">
        <f aca="false">IF(Data!O816="","",IFERROR(VLOOKUP(Data!O816,Codes!$A$53:$B$57,2,FALSE()),"Invalid ("&amp;Data!O816&amp;")"))</f>
        <v>No disease</v>
      </c>
      <c r="P816" s="22" t="str">
        <f aca="false">IF(Data!P816="","",IFERROR(VLOOKUP(Data!P816,Codes!$A$61:$B$64,2,FALSE()),"Invalid ("&amp;Data!P816&amp;")"))</f>
        <v>VA Medical Center, Long Beach</v>
      </c>
    </row>
    <row r="817" customFormat="false" ht="15" hidden="false" customHeight="false" outlineLevel="0" collapsed="false">
      <c r="A817" s="19" t="n">
        <f aca="false">Data!A817</f>
        <v>816</v>
      </c>
      <c r="B817" s="20" t="n">
        <f aca="false">IF(Data!B817="","",Data!B817)</f>
        <v>63</v>
      </c>
      <c r="C817" s="28" t="str">
        <f aca="false">IF(Data!C817="","",IFERROR(VLOOKUP(Data!C817,Codes!$A$6:$B$7,2,FALSE()),"Invalid ("&amp;Data!C817&amp;")"))</f>
        <v>Male</v>
      </c>
      <c r="D817" s="28" t="str">
        <f aca="false">IF(Data!D817="","",IFERROR(VLOOKUP(Data!D817,Codes!$A$11:$B$14,2,FALSE()),"Invalid ("&amp;Data!D817&amp;")"))</f>
        <v>Asymptomatic</v>
      </c>
      <c r="E817" s="20" t="n">
        <f aca="false">IF(Data!E817="","",Data!E817)</f>
        <v>160</v>
      </c>
      <c r="F817" s="20" t="n">
        <f aca="false">IF(Data!F817="","",Data!F817)</f>
        <v>267</v>
      </c>
      <c r="G817" s="28" t="str">
        <f aca="false">IF(Data!G817="","",IFERROR(VLOOKUP(Data!G817,Codes!$A$18:$B$19,2,FALSE()),"Invalid ("&amp;Data!G817&amp;")"))</f>
        <v>Yes</v>
      </c>
      <c r="H817" s="28" t="str">
        <f aca="false">IF(Data!H817="","",IFERROR(VLOOKUP(Data!H817,Codes!$A$23:$B$25,2,FALSE()),"Invalid ("&amp;Data!H817&amp;")"))</f>
        <v>ST-T wave abnormality</v>
      </c>
      <c r="I817" s="20" t="n">
        <f aca="false">IF(Data!I817="","",Data!I817)</f>
        <v>88</v>
      </c>
      <c r="J817" s="28" t="str">
        <f aca="false">IF(Data!J817="","",IFERROR(VLOOKUP(Data!J817,Codes!$A$29:$B$30,2,FALSE()),"Invalid ("&amp;Data!J817&amp;")"))</f>
        <v>Yes</v>
      </c>
      <c r="K817" s="21" t="n">
        <f aca="false">IF(Data!K817="","",Data!K817)</f>
        <v>2</v>
      </c>
      <c r="L817" s="28" t="str">
        <f aca="false">IF(Data!L817="","",IFERROR(VLOOKUP(Data!L817,Codes!$A$34:$B$36,2,FALSE()),"Invalid ("&amp;Data!L817&amp;")"))</f>
        <v/>
      </c>
      <c r="M817" s="20" t="str">
        <f aca="false">IF(Data!M817="","",Data!M817)</f>
        <v/>
      </c>
      <c r="N817" s="28" t="str">
        <f aca="false">IF(Data!N817="","",IFERROR(VLOOKUP(Data!N817,Codes!$A$47:$B$49,2,FALSE()),"Invalid ("&amp;Data!N817&amp;")"))</f>
        <v/>
      </c>
      <c r="O817" s="28" t="str">
        <f aca="false">IF(Data!O817="","",IFERROR(VLOOKUP(Data!O817,Codes!$A$53:$B$57,2,FALSE()),"Invalid ("&amp;Data!O817&amp;")"))</f>
        <v>Disease (3)</v>
      </c>
      <c r="P817" s="22" t="str">
        <f aca="false">IF(Data!P817="","",IFERROR(VLOOKUP(Data!P817,Codes!$A$61:$B$64,2,FALSE()),"Invalid ("&amp;Data!P817&amp;")"))</f>
        <v>VA Medical Center, Long Beach</v>
      </c>
    </row>
    <row r="818" customFormat="false" ht="15" hidden="false" customHeight="false" outlineLevel="0" collapsed="false">
      <c r="A818" s="19" t="n">
        <f aca="false">Data!A818</f>
        <v>817</v>
      </c>
      <c r="B818" s="20" t="n">
        <f aca="false">IF(Data!B818="","",Data!B818)</f>
        <v>35</v>
      </c>
      <c r="C818" s="28" t="str">
        <f aca="false">IF(Data!C818="","",IFERROR(VLOOKUP(Data!C818,Codes!$A$6:$B$7,2,FALSE()),"Invalid ("&amp;Data!C818&amp;")"))</f>
        <v>Male</v>
      </c>
      <c r="D818" s="28" t="str">
        <f aca="false">IF(Data!D818="","",IFERROR(VLOOKUP(Data!D818,Codes!$A$11:$B$14,2,FALSE()),"Invalid ("&amp;Data!D818&amp;")"))</f>
        <v>Non-anginal pain</v>
      </c>
      <c r="E818" s="20" t="str">
        <f aca="false">IF(Data!E818="","",Data!E818)</f>
        <v/>
      </c>
      <c r="F818" s="20" t="n">
        <f aca="false">IF(Data!F818="","",Data!F818)</f>
        <v>161</v>
      </c>
      <c r="G818" s="28" t="str">
        <f aca="false">IF(Data!G818="","",IFERROR(VLOOKUP(Data!G818,Codes!$A$18:$B$19,2,FALSE()),"Invalid ("&amp;Data!G818&amp;")"))</f>
        <v>No</v>
      </c>
      <c r="H818" s="28" t="str">
        <f aca="false">IF(Data!H818="","",IFERROR(VLOOKUP(Data!H818,Codes!$A$23:$B$25,2,FALSE()),"Invalid ("&amp;Data!H818&amp;")"))</f>
        <v>ST-T wave abnormality</v>
      </c>
      <c r="I818" s="20" t="str">
        <f aca="false">IF(Data!I818="","",Data!I818)</f>
        <v/>
      </c>
      <c r="J818" s="28" t="str">
        <f aca="false">IF(Data!J818="","",IFERROR(VLOOKUP(Data!J818,Codes!$A$29:$B$30,2,FALSE()),"Invalid ("&amp;Data!J818&amp;")"))</f>
        <v/>
      </c>
      <c r="K818" s="21" t="str">
        <f aca="false">IF(Data!K818="","",Data!K818)</f>
        <v/>
      </c>
      <c r="L818" s="28" t="str">
        <f aca="false">IF(Data!L818="","",IFERROR(VLOOKUP(Data!L818,Codes!$A$34:$B$36,2,FALSE()),"Invalid ("&amp;Data!L818&amp;")"))</f>
        <v/>
      </c>
      <c r="M818" s="20" t="str">
        <f aca="false">IF(Data!M818="","",Data!M818)</f>
        <v/>
      </c>
      <c r="N818" s="28" t="str">
        <f aca="false">IF(Data!N818="","",IFERROR(VLOOKUP(Data!N818,Codes!$A$47:$B$49,2,FALSE()),"Invalid ("&amp;Data!N818&amp;")"))</f>
        <v/>
      </c>
      <c r="O818" s="28" t="str">
        <f aca="false">IF(Data!O818="","",IFERROR(VLOOKUP(Data!O818,Codes!$A$53:$B$57,2,FALSE()),"Invalid ("&amp;Data!O818&amp;")"))</f>
        <v>No disease</v>
      </c>
      <c r="P818" s="22" t="str">
        <f aca="false">IF(Data!P818="","",IFERROR(VLOOKUP(Data!P818,Codes!$A$61:$B$64,2,FALSE()),"Invalid ("&amp;Data!P818&amp;")"))</f>
        <v>VA Medical Center, Long Beach</v>
      </c>
    </row>
    <row r="819" customFormat="false" ht="15" hidden="false" customHeight="false" outlineLevel="0" collapsed="false">
      <c r="A819" s="19" t="n">
        <f aca="false">Data!A819</f>
        <v>818</v>
      </c>
      <c r="B819" s="20" t="n">
        <f aca="false">IF(Data!B819="","",Data!B819)</f>
        <v>62</v>
      </c>
      <c r="C819" s="28" t="str">
        <f aca="false">IF(Data!C819="","",IFERROR(VLOOKUP(Data!C819,Codes!$A$6:$B$7,2,FALSE()),"Invalid ("&amp;Data!C819&amp;")"))</f>
        <v>Male</v>
      </c>
      <c r="D819" s="28" t="str">
        <f aca="false">IF(Data!D819="","",IFERROR(VLOOKUP(Data!D819,Codes!$A$11:$B$14,2,FALSE()),"Invalid ("&amp;Data!D819&amp;")"))</f>
        <v>Typical angina</v>
      </c>
      <c r="E819" s="20" t="n">
        <f aca="false">IF(Data!E819="","",Data!E819)</f>
        <v>112</v>
      </c>
      <c r="F819" s="20" t="n">
        <f aca="false">IF(Data!F819="","",Data!F819)</f>
        <v>258</v>
      </c>
      <c r="G819" s="28" t="str">
        <f aca="false">IF(Data!G819="","",IFERROR(VLOOKUP(Data!G819,Codes!$A$18:$B$19,2,FALSE()),"Invalid ("&amp;Data!G819&amp;")"))</f>
        <v>No</v>
      </c>
      <c r="H819" s="28" t="str">
        <f aca="false">IF(Data!H819="","",IFERROR(VLOOKUP(Data!H819,Codes!$A$23:$B$25,2,FALSE()),"Invalid ("&amp;Data!H819&amp;")"))</f>
        <v>ST-T wave abnormality</v>
      </c>
      <c r="I819" s="20" t="n">
        <f aca="false">IF(Data!I819="","",Data!I819)</f>
        <v>150</v>
      </c>
      <c r="J819" s="28" t="str">
        <f aca="false">IF(Data!J819="","",IFERROR(VLOOKUP(Data!J819,Codes!$A$29:$B$30,2,FALSE()),"Invalid ("&amp;Data!J819&amp;")"))</f>
        <v>Yes</v>
      </c>
      <c r="K819" s="21" t="str">
        <f aca="false">IF(Data!K819="","",Data!K819)</f>
        <v/>
      </c>
      <c r="L819" s="28" t="str">
        <f aca="false">IF(Data!L819="","",IFERROR(VLOOKUP(Data!L819,Codes!$A$34:$B$36,2,FALSE()),"Invalid ("&amp;Data!L819&amp;")"))</f>
        <v/>
      </c>
      <c r="M819" s="20" t="str">
        <f aca="false">IF(Data!M819="","",Data!M819)</f>
        <v/>
      </c>
      <c r="N819" s="28" t="str">
        <f aca="false">IF(Data!N819="","",IFERROR(VLOOKUP(Data!N819,Codes!$A$47:$B$49,2,FALSE()),"Invalid ("&amp;Data!N819&amp;")"))</f>
        <v/>
      </c>
      <c r="O819" s="28" t="str">
        <f aca="false">IF(Data!O819="","",IFERROR(VLOOKUP(Data!O819,Codes!$A$53:$B$57,2,FALSE()),"Invalid ("&amp;Data!O819&amp;")"))</f>
        <v>Disease (1)</v>
      </c>
      <c r="P819" s="22" t="str">
        <f aca="false">IF(Data!P819="","",IFERROR(VLOOKUP(Data!P819,Codes!$A$61:$B$64,2,FALSE()),"Invalid ("&amp;Data!P819&amp;")"))</f>
        <v>VA Medical Center, Long Beach</v>
      </c>
    </row>
    <row r="820" customFormat="false" ht="15" hidden="false" customHeight="false" outlineLevel="0" collapsed="false">
      <c r="A820" s="19" t="n">
        <f aca="false">Data!A820</f>
        <v>819</v>
      </c>
      <c r="B820" s="20" t="n">
        <f aca="false">IF(Data!B820="","",Data!B820)</f>
        <v>43</v>
      </c>
      <c r="C820" s="28" t="str">
        <f aca="false">IF(Data!C820="","",IFERROR(VLOOKUP(Data!C820,Codes!$A$6:$B$7,2,FALSE()),"Invalid ("&amp;Data!C820&amp;")"))</f>
        <v>Male</v>
      </c>
      <c r="D820" s="28" t="str">
        <f aca="false">IF(Data!D820="","",IFERROR(VLOOKUP(Data!D820,Codes!$A$11:$B$14,2,FALSE()),"Invalid ("&amp;Data!D820&amp;")"))</f>
        <v>Asymptomatic</v>
      </c>
      <c r="E820" s="20" t="n">
        <f aca="false">IF(Data!E820="","",Data!E820)</f>
        <v>122</v>
      </c>
      <c r="F820" s="20" t="n">
        <f aca="false">IF(Data!F820="","",Data!F820)</f>
        <v>0</v>
      </c>
      <c r="G820" s="28" t="str">
        <f aca="false">IF(Data!G820="","",IFERROR(VLOOKUP(Data!G820,Codes!$A$18:$B$19,2,FALSE()),"Invalid ("&amp;Data!G820&amp;")"))</f>
        <v>No</v>
      </c>
      <c r="H820" s="28" t="str">
        <f aca="false">IF(Data!H820="","",IFERROR(VLOOKUP(Data!H820,Codes!$A$23:$B$25,2,FALSE()),"Invalid ("&amp;Data!H820&amp;")"))</f>
        <v>Normal</v>
      </c>
      <c r="I820" s="20" t="n">
        <f aca="false">IF(Data!I820="","",Data!I820)</f>
        <v>120</v>
      </c>
      <c r="J820" s="28" t="str">
        <f aca="false">IF(Data!J820="","",IFERROR(VLOOKUP(Data!J820,Codes!$A$29:$B$30,2,FALSE()),"Invalid ("&amp;Data!J820&amp;")"))</f>
        <v>No</v>
      </c>
      <c r="K820" s="21" t="n">
        <f aca="false">IF(Data!K820="","",Data!K820)</f>
        <v>0.5</v>
      </c>
      <c r="L820" s="28" t="str">
        <f aca="false">IF(Data!L820="","",IFERROR(VLOOKUP(Data!L820,Codes!$A$34:$B$36,2,FALSE()),"Invalid ("&amp;Data!L820&amp;")"))</f>
        <v>Upsloping</v>
      </c>
      <c r="M820" s="20" t="str">
        <f aca="false">IF(Data!M820="","",Data!M820)</f>
        <v/>
      </c>
      <c r="N820" s="28" t="str">
        <f aca="false">IF(Data!N820="","",IFERROR(VLOOKUP(Data!N820,Codes!$A$47:$B$49,2,FALSE()),"Invalid ("&amp;Data!N820&amp;")"))</f>
        <v/>
      </c>
      <c r="O820" s="28" t="str">
        <f aca="false">IF(Data!O820="","",IFERROR(VLOOKUP(Data!O820,Codes!$A$53:$B$57,2,FALSE()),"Invalid ("&amp;Data!O820&amp;")"))</f>
        <v>Disease (1)</v>
      </c>
      <c r="P820" s="22" t="str">
        <f aca="false">IF(Data!P820="","",IFERROR(VLOOKUP(Data!P820,Codes!$A$61:$B$64,2,FALSE()),"Invalid ("&amp;Data!P820&amp;")"))</f>
        <v>VA Medical Center, Long Beach</v>
      </c>
    </row>
    <row r="821" customFormat="false" ht="15" hidden="false" customHeight="false" outlineLevel="0" collapsed="false">
      <c r="A821" s="19" t="n">
        <f aca="false">Data!A821</f>
        <v>820</v>
      </c>
      <c r="B821" s="20" t="n">
        <f aca="false">IF(Data!B821="","",Data!B821)</f>
        <v>63</v>
      </c>
      <c r="C821" s="28" t="str">
        <f aca="false">IF(Data!C821="","",IFERROR(VLOOKUP(Data!C821,Codes!$A$6:$B$7,2,FALSE()),"Invalid ("&amp;Data!C821&amp;")"))</f>
        <v>Male</v>
      </c>
      <c r="D821" s="28" t="str">
        <f aca="false">IF(Data!D821="","",IFERROR(VLOOKUP(Data!D821,Codes!$A$11:$B$14,2,FALSE()),"Invalid ("&amp;Data!D821&amp;")"))</f>
        <v>Non-anginal pain</v>
      </c>
      <c r="E821" s="20" t="n">
        <f aca="false">IF(Data!E821="","",Data!E821)</f>
        <v>130</v>
      </c>
      <c r="F821" s="20" t="n">
        <f aca="false">IF(Data!F821="","",Data!F821)</f>
        <v>0</v>
      </c>
      <c r="G821" s="28" t="str">
        <f aca="false">IF(Data!G821="","",IFERROR(VLOOKUP(Data!G821,Codes!$A$18:$B$19,2,FALSE()),"Invalid ("&amp;Data!G821&amp;")"))</f>
        <v>Yes</v>
      </c>
      <c r="H821" s="28" t="str">
        <f aca="false">IF(Data!H821="","",IFERROR(VLOOKUP(Data!H821,Codes!$A$23:$B$25,2,FALSE()),"Invalid ("&amp;Data!H821&amp;")"))</f>
        <v>ST-T wave abnormality</v>
      </c>
      <c r="I821" s="20" t="n">
        <f aca="false">IF(Data!I821="","",Data!I821)</f>
        <v>160</v>
      </c>
      <c r="J821" s="28" t="str">
        <f aca="false">IF(Data!J821="","",IFERROR(VLOOKUP(Data!J821,Codes!$A$29:$B$30,2,FALSE()),"Invalid ("&amp;Data!J821&amp;")"))</f>
        <v>No</v>
      </c>
      <c r="K821" s="21" t="n">
        <f aca="false">IF(Data!K821="","",Data!K821)</f>
        <v>3</v>
      </c>
      <c r="L821" s="28" t="str">
        <f aca="false">IF(Data!L821="","",IFERROR(VLOOKUP(Data!L821,Codes!$A$34:$B$36,2,FALSE()),"Invalid ("&amp;Data!L821&amp;")"))</f>
        <v>Flat</v>
      </c>
      <c r="M821" s="20" t="str">
        <f aca="false">IF(Data!M821="","",Data!M821)</f>
        <v/>
      </c>
      <c r="N821" s="28" t="str">
        <f aca="false">IF(Data!N821="","",IFERROR(VLOOKUP(Data!N821,Codes!$A$47:$B$49,2,FALSE()),"Invalid ("&amp;Data!N821&amp;")"))</f>
        <v/>
      </c>
      <c r="O821" s="28" t="str">
        <f aca="false">IF(Data!O821="","",IFERROR(VLOOKUP(Data!O821,Codes!$A$53:$B$57,2,FALSE()),"Invalid ("&amp;Data!O821&amp;")"))</f>
        <v>No disease</v>
      </c>
      <c r="P821" s="22" t="str">
        <f aca="false">IF(Data!P821="","",IFERROR(VLOOKUP(Data!P821,Codes!$A$61:$B$64,2,FALSE()),"Invalid ("&amp;Data!P821&amp;")"))</f>
        <v>VA Medical Center, Long Beach</v>
      </c>
    </row>
    <row r="822" customFormat="false" ht="15" hidden="false" customHeight="false" outlineLevel="0" collapsed="false">
      <c r="A822" s="19" t="n">
        <f aca="false">Data!A822</f>
        <v>821</v>
      </c>
      <c r="B822" s="20" t="n">
        <f aca="false">IF(Data!B822="","",Data!B822)</f>
        <v>68</v>
      </c>
      <c r="C822" s="28" t="str">
        <f aca="false">IF(Data!C822="","",IFERROR(VLOOKUP(Data!C822,Codes!$A$6:$B$7,2,FALSE()),"Invalid ("&amp;Data!C822&amp;")"))</f>
        <v>Male</v>
      </c>
      <c r="D822" s="28" t="str">
        <f aca="false">IF(Data!D822="","",IFERROR(VLOOKUP(Data!D822,Codes!$A$11:$B$14,2,FALSE()),"Invalid ("&amp;Data!D822&amp;")"))</f>
        <v>Non-anginal pain</v>
      </c>
      <c r="E822" s="20" t="n">
        <f aca="false">IF(Data!E822="","",Data!E822)</f>
        <v>150</v>
      </c>
      <c r="F822" s="20" t="n">
        <f aca="false">IF(Data!F822="","",Data!F822)</f>
        <v>195</v>
      </c>
      <c r="G822" s="28" t="str">
        <f aca="false">IF(Data!G822="","",IFERROR(VLOOKUP(Data!G822,Codes!$A$18:$B$19,2,FALSE()),"Invalid ("&amp;Data!G822&amp;")"))</f>
        <v>Yes</v>
      </c>
      <c r="H822" s="28" t="str">
        <f aca="false">IF(Data!H822="","",IFERROR(VLOOKUP(Data!H822,Codes!$A$23:$B$25,2,FALSE()),"Invalid ("&amp;Data!H822&amp;")"))</f>
        <v>Normal</v>
      </c>
      <c r="I822" s="20" t="n">
        <f aca="false">IF(Data!I822="","",Data!I822)</f>
        <v>132</v>
      </c>
      <c r="J822" s="28" t="str">
        <f aca="false">IF(Data!J822="","",IFERROR(VLOOKUP(Data!J822,Codes!$A$29:$B$30,2,FALSE()),"Invalid ("&amp;Data!J822&amp;")"))</f>
        <v>No</v>
      </c>
      <c r="K822" s="21" t="n">
        <f aca="false">IF(Data!K822="","",Data!K822)</f>
        <v>0</v>
      </c>
      <c r="L822" s="28" t="str">
        <f aca="false">IF(Data!L822="","",IFERROR(VLOOKUP(Data!L822,Codes!$A$34:$B$36,2,FALSE()),"Invalid ("&amp;Data!L822&amp;")"))</f>
        <v/>
      </c>
      <c r="M822" s="20" t="str">
        <f aca="false">IF(Data!M822="","",Data!M822)</f>
        <v/>
      </c>
      <c r="N822" s="28" t="str">
        <f aca="false">IF(Data!N822="","",IFERROR(VLOOKUP(Data!N822,Codes!$A$47:$B$49,2,FALSE()),"Invalid ("&amp;Data!N822&amp;")"))</f>
        <v>Fixed defect</v>
      </c>
      <c r="O822" s="28" t="str">
        <f aca="false">IF(Data!O822="","",IFERROR(VLOOKUP(Data!O822,Codes!$A$53:$B$57,2,FALSE()),"Invalid ("&amp;Data!O822&amp;")"))</f>
        <v>Disease (1)</v>
      </c>
      <c r="P822" s="22" t="str">
        <f aca="false">IF(Data!P822="","",IFERROR(VLOOKUP(Data!P822,Codes!$A$61:$B$64,2,FALSE()),"Invalid ("&amp;Data!P822&amp;")"))</f>
        <v>VA Medical Center, Long Beach</v>
      </c>
    </row>
    <row r="823" customFormat="false" ht="15" hidden="false" customHeight="false" outlineLevel="0" collapsed="false">
      <c r="A823" s="19" t="n">
        <f aca="false">Data!A823</f>
        <v>822</v>
      </c>
      <c r="B823" s="20" t="n">
        <f aca="false">IF(Data!B823="","",Data!B823)</f>
        <v>65</v>
      </c>
      <c r="C823" s="28" t="str">
        <f aca="false">IF(Data!C823="","",IFERROR(VLOOKUP(Data!C823,Codes!$A$6:$B$7,2,FALSE()),"Invalid ("&amp;Data!C823&amp;")"))</f>
        <v>Male</v>
      </c>
      <c r="D823" s="28" t="str">
        <f aca="false">IF(Data!D823="","",IFERROR(VLOOKUP(Data!D823,Codes!$A$11:$B$14,2,FALSE()),"Invalid ("&amp;Data!D823&amp;")"))</f>
        <v>Asymptomatic</v>
      </c>
      <c r="E823" s="20" t="n">
        <f aca="false">IF(Data!E823="","",Data!E823)</f>
        <v>150</v>
      </c>
      <c r="F823" s="20" t="n">
        <f aca="false">IF(Data!F823="","",Data!F823)</f>
        <v>235</v>
      </c>
      <c r="G823" s="28" t="str">
        <f aca="false">IF(Data!G823="","",IFERROR(VLOOKUP(Data!G823,Codes!$A$18:$B$19,2,FALSE()),"Invalid ("&amp;Data!G823&amp;")"))</f>
        <v>No</v>
      </c>
      <c r="H823" s="28" t="str">
        <f aca="false">IF(Data!H823="","",IFERROR(VLOOKUP(Data!H823,Codes!$A$23:$B$25,2,FALSE()),"Invalid ("&amp;Data!H823&amp;")"))</f>
        <v>Normal</v>
      </c>
      <c r="I823" s="20" t="n">
        <f aca="false">IF(Data!I823="","",Data!I823)</f>
        <v>120</v>
      </c>
      <c r="J823" s="28" t="str">
        <f aca="false">IF(Data!J823="","",IFERROR(VLOOKUP(Data!J823,Codes!$A$29:$B$30,2,FALSE()),"Invalid ("&amp;Data!J823&amp;")"))</f>
        <v>Yes</v>
      </c>
      <c r="K823" s="21" t="n">
        <f aca="false">IF(Data!K823="","",Data!K823)</f>
        <v>1.5</v>
      </c>
      <c r="L823" s="28" t="str">
        <f aca="false">IF(Data!L823="","",IFERROR(VLOOKUP(Data!L823,Codes!$A$34:$B$36,2,FALSE()),"Invalid ("&amp;Data!L823&amp;")"))</f>
        <v>Flat</v>
      </c>
      <c r="M823" s="20" t="str">
        <f aca="false">IF(Data!M823="","",Data!M823)</f>
        <v/>
      </c>
      <c r="N823" s="28" t="str">
        <f aca="false">IF(Data!N823="","",IFERROR(VLOOKUP(Data!N823,Codes!$A$47:$B$49,2,FALSE()),"Invalid ("&amp;Data!N823&amp;")"))</f>
        <v/>
      </c>
      <c r="O823" s="28" t="str">
        <f aca="false">IF(Data!O823="","",IFERROR(VLOOKUP(Data!O823,Codes!$A$53:$B$57,2,FALSE()),"Invalid ("&amp;Data!O823&amp;")"))</f>
        <v>Disease (3)</v>
      </c>
      <c r="P823" s="22" t="str">
        <f aca="false">IF(Data!P823="","",IFERROR(VLOOKUP(Data!P823,Codes!$A$61:$B$64,2,FALSE()),"Invalid ("&amp;Data!P823&amp;")"))</f>
        <v>VA Medical Center, Long Beach</v>
      </c>
    </row>
    <row r="824" customFormat="false" ht="15" hidden="false" customHeight="false" outlineLevel="0" collapsed="false">
      <c r="A824" s="19" t="n">
        <f aca="false">Data!A824</f>
        <v>823</v>
      </c>
      <c r="B824" s="20" t="n">
        <f aca="false">IF(Data!B824="","",Data!B824)</f>
        <v>48</v>
      </c>
      <c r="C824" s="28" t="str">
        <f aca="false">IF(Data!C824="","",IFERROR(VLOOKUP(Data!C824,Codes!$A$6:$B$7,2,FALSE()),"Invalid ("&amp;Data!C824&amp;")"))</f>
        <v>Male</v>
      </c>
      <c r="D824" s="28" t="str">
        <f aca="false">IF(Data!D824="","",IFERROR(VLOOKUP(Data!D824,Codes!$A$11:$B$14,2,FALSE()),"Invalid ("&amp;Data!D824&amp;")"))</f>
        <v>Non-anginal pain</v>
      </c>
      <c r="E824" s="20" t="n">
        <f aca="false">IF(Data!E824="","",Data!E824)</f>
        <v>102</v>
      </c>
      <c r="F824" s="20" t="n">
        <f aca="false">IF(Data!F824="","",Data!F824)</f>
        <v>0</v>
      </c>
      <c r="G824" s="28" t="str">
        <f aca="false">IF(Data!G824="","",IFERROR(VLOOKUP(Data!G824,Codes!$A$18:$B$19,2,FALSE()),"Invalid ("&amp;Data!G824&amp;")"))</f>
        <v/>
      </c>
      <c r="H824" s="28" t="str">
        <f aca="false">IF(Data!H824="","",IFERROR(VLOOKUP(Data!H824,Codes!$A$23:$B$25,2,FALSE()),"Invalid ("&amp;Data!H824&amp;")"))</f>
        <v>ST-T wave abnormality</v>
      </c>
      <c r="I824" s="20" t="n">
        <f aca="false">IF(Data!I824="","",Data!I824)</f>
        <v>110</v>
      </c>
      <c r="J824" s="28" t="str">
        <f aca="false">IF(Data!J824="","",IFERROR(VLOOKUP(Data!J824,Codes!$A$29:$B$30,2,FALSE()),"Invalid ("&amp;Data!J824&amp;")"))</f>
        <v>Yes</v>
      </c>
      <c r="K824" s="21" t="n">
        <f aca="false">IF(Data!K824="","",Data!K824)</f>
        <v>1</v>
      </c>
      <c r="L824" s="28" t="str">
        <f aca="false">IF(Data!L824="","",IFERROR(VLOOKUP(Data!L824,Codes!$A$34:$B$36,2,FALSE()),"Invalid ("&amp;Data!L824&amp;")"))</f>
        <v>Downsloping</v>
      </c>
      <c r="M824" s="20" t="str">
        <f aca="false">IF(Data!M824="","",Data!M824)</f>
        <v/>
      </c>
      <c r="N824" s="28" t="str">
        <f aca="false">IF(Data!N824="","",IFERROR(VLOOKUP(Data!N824,Codes!$A$47:$B$49,2,FALSE()),"Invalid ("&amp;Data!N824&amp;")"))</f>
        <v/>
      </c>
      <c r="O824" s="28" t="str">
        <f aca="false">IF(Data!O824="","",IFERROR(VLOOKUP(Data!O824,Codes!$A$53:$B$57,2,FALSE()),"Invalid ("&amp;Data!O824&amp;")"))</f>
        <v>Disease (1)</v>
      </c>
      <c r="P824" s="22" t="str">
        <f aca="false">IF(Data!P824="","",IFERROR(VLOOKUP(Data!P824,Codes!$A$61:$B$64,2,FALSE()),"Invalid ("&amp;Data!P824&amp;")"))</f>
        <v>VA Medical Center, Long Beach</v>
      </c>
    </row>
    <row r="825" customFormat="false" ht="15" hidden="false" customHeight="false" outlineLevel="0" collapsed="false">
      <c r="A825" s="19" t="n">
        <f aca="false">Data!A825</f>
        <v>824</v>
      </c>
      <c r="B825" s="20" t="n">
        <f aca="false">IF(Data!B825="","",Data!B825)</f>
        <v>63</v>
      </c>
      <c r="C825" s="28" t="str">
        <f aca="false">IF(Data!C825="","",IFERROR(VLOOKUP(Data!C825,Codes!$A$6:$B$7,2,FALSE()),"Invalid ("&amp;Data!C825&amp;")"))</f>
        <v>Male</v>
      </c>
      <c r="D825" s="28" t="str">
        <f aca="false">IF(Data!D825="","",IFERROR(VLOOKUP(Data!D825,Codes!$A$11:$B$14,2,FALSE()),"Invalid ("&amp;Data!D825&amp;")"))</f>
        <v>Asymptomatic</v>
      </c>
      <c r="E825" s="20" t="n">
        <f aca="false">IF(Data!E825="","",Data!E825)</f>
        <v>96</v>
      </c>
      <c r="F825" s="20" t="n">
        <f aca="false">IF(Data!F825="","",Data!F825)</f>
        <v>305</v>
      </c>
      <c r="G825" s="28" t="str">
        <f aca="false">IF(Data!G825="","",IFERROR(VLOOKUP(Data!G825,Codes!$A$18:$B$19,2,FALSE()),"Invalid ("&amp;Data!G825&amp;")"))</f>
        <v>No</v>
      </c>
      <c r="H825" s="28" t="str">
        <f aca="false">IF(Data!H825="","",IFERROR(VLOOKUP(Data!H825,Codes!$A$23:$B$25,2,FALSE()),"Invalid ("&amp;Data!H825&amp;")"))</f>
        <v>ST-T wave abnormality</v>
      </c>
      <c r="I825" s="20" t="n">
        <f aca="false">IF(Data!I825="","",Data!I825)</f>
        <v>121</v>
      </c>
      <c r="J825" s="28" t="str">
        <f aca="false">IF(Data!J825="","",IFERROR(VLOOKUP(Data!J825,Codes!$A$29:$B$30,2,FALSE()),"Invalid ("&amp;Data!J825&amp;")"))</f>
        <v>Yes</v>
      </c>
      <c r="K825" s="21" t="n">
        <f aca="false">IF(Data!K825="","",Data!K825)</f>
        <v>1</v>
      </c>
      <c r="L825" s="28" t="str">
        <f aca="false">IF(Data!L825="","",IFERROR(VLOOKUP(Data!L825,Codes!$A$34:$B$36,2,FALSE()),"Invalid ("&amp;Data!L825&amp;")"))</f>
        <v>Upsloping</v>
      </c>
      <c r="M825" s="20" t="str">
        <f aca="false">IF(Data!M825="","",Data!M825)</f>
        <v/>
      </c>
      <c r="N825" s="28" t="str">
        <f aca="false">IF(Data!N825="","",IFERROR(VLOOKUP(Data!N825,Codes!$A$47:$B$49,2,FALSE()),"Invalid ("&amp;Data!N825&amp;")"))</f>
        <v/>
      </c>
      <c r="O825" s="28" t="str">
        <f aca="false">IF(Data!O825="","",IFERROR(VLOOKUP(Data!O825,Codes!$A$53:$B$57,2,FALSE()),"Invalid ("&amp;Data!O825&amp;")"))</f>
        <v>Disease (1)</v>
      </c>
      <c r="P825" s="22" t="str">
        <f aca="false">IF(Data!P825="","",IFERROR(VLOOKUP(Data!P825,Codes!$A$61:$B$64,2,FALSE()),"Invalid ("&amp;Data!P825&amp;")"))</f>
        <v>VA Medical Center, Long Beach</v>
      </c>
    </row>
    <row r="826" customFormat="false" ht="15" hidden="false" customHeight="false" outlineLevel="0" collapsed="false">
      <c r="A826" s="19" t="n">
        <f aca="false">Data!A826</f>
        <v>825</v>
      </c>
      <c r="B826" s="20" t="n">
        <f aca="false">IF(Data!B826="","",Data!B826)</f>
        <v>64</v>
      </c>
      <c r="C826" s="28" t="str">
        <f aca="false">IF(Data!C826="","",IFERROR(VLOOKUP(Data!C826,Codes!$A$6:$B$7,2,FALSE()),"Invalid ("&amp;Data!C826&amp;")"))</f>
        <v>Male</v>
      </c>
      <c r="D826" s="28" t="str">
        <f aca="false">IF(Data!D826="","",IFERROR(VLOOKUP(Data!D826,Codes!$A$11:$B$14,2,FALSE()),"Invalid ("&amp;Data!D826&amp;")"))</f>
        <v>Asymptomatic</v>
      </c>
      <c r="E826" s="20" t="n">
        <f aca="false">IF(Data!E826="","",Data!E826)</f>
        <v>130</v>
      </c>
      <c r="F826" s="20" t="n">
        <f aca="false">IF(Data!F826="","",Data!F826)</f>
        <v>223</v>
      </c>
      <c r="G826" s="28" t="str">
        <f aca="false">IF(Data!G826="","",IFERROR(VLOOKUP(Data!G826,Codes!$A$18:$B$19,2,FALSE()),"Invalid ("&amp;Data!G826&amp;")"))</f>
        <v>No</v>
      </c>
      <c r="H826" s="28" t="str">
        <f aca="false">IF(Data!H826="","",IFERROR(VLOOKUP(Data!H826,Codes!$A$23:$B$25,2,FALSE()),"Invalid ("&amp;Data!H826&amp;")"))</f>
        <v>ST-T wave abnormality</v>
      </c>
      <c r="I826" s="20" t="n">
        <f aca="false">IF(Data!I826="","",Data!I826)</f>
        <v>128</v>
      </c>
      <c r="J826" s="28" t="str">
        <f aca="false">IF(Data!J826="","",IFERROR(VLOOKUP(Data!J826,Codes!$A$29:$B$30,2,FALSE()),"Invalid ("&amp;Data!J826&amp;")"))</f>
        <v>No</v>
      </c>
      <c r="K826" s="21" t="n">
        <f aca="false">IF(Data!K826="","",Data!K826)</f>
        <v>0.5</v>
      </c>
      <c r="L826" s="28" t="str">
        <f aca="false">IF(Data!L826="","",IFERROR(VLOOKUP(Data!L826,Codes!$A$34:$B$36,2,FALSE()),"Invalid ("&amp;Data!L826&amp;")"))</f>
        <v>Flat</v>
      </c>
      <c r="M826" s="20" t="str">
        <f aca="false">IF(Data!M826="","",Data!M826)</f>
        <v/>
      </c>
      <c r="N826" s="28" t="str">
        <f aca="false">IF(Data!N826="","",IFERROR(VLOOKUP(Data!N826,Codes!$A$47:$B$49,2,FALSE()),"Invalid ("&amp;Data!N826&amp;")"))</f>
        <v/>
      </c>
      <c r="O826" s="28" t="str">
        <f aca="false">IF(Data!O826="","",IFERROR(VLOOKUP(Data!O826,Codes!$A$53:$B$57,2,FALSE()),"Invalid ("&amp;Data!O826&amp;")"))</f>
        <v>No disease</v>
      </c>
      <c r="P826" s="22" t="str">
        <f aca="false">IF(Data!P826="","",IFERROR(VLOOKUP(Data!P826,Codes!$A$61:$B$64,2,FALSE()),"Invalid ("&amp;Data!P826&amp;")"))</f>
        <v>VA Medical Center, Long Beach</v>
      </c>
    </row>
    <row r="827" customFormat="false" ht="15" hidden="false" customHeight="false" outlineLevel="0" collapsed="false">
      <c r="A827" s="19" t="n">
        <f aca="false">Data!A827</f>
        <v>826</v>
      </c>
      <c r="B827" s="20" t="n">
        <f aca="false">IF(Data!B827="","",Data!B827)</f>
        <v>61</v>
      </c>
      <c r="C827" s="28" t="str">
        <f aca="false">IF(Data!C827="","",IFERROR(VLOOKUP(Data!C827,Codes!$A$6:$B$7,2,FALSE()),"Invalid ("&amp;Data!C827&amp;")"))</f>
        <v>Male</v>
      </c>
      <c r="D827" s="28" t="str">
        <f aca="false">IF(Data!D827="","",IFERROR(VLOOKUP(Data!D827,Codes!$A$11:$B$14,2,FALSE()),"Invalid ("&amp;Data!D827&amp;")"))</f>
        <v>Asymptomatic</v>
      </c>
      <c r="E827" s="20" t="n">
        <f aca="false">IF(Data!E827="","",Data!E827)</f>
        <v>120</v>
      </c>
      <c r="F827" s="20" t="n">
        <f aca="false">IF(Data!F827="","",Data!F827)</f>
        <v>282</v>
      </c>
      <c r="G827" s="28" t="str">
        <f aca="false">IF(Data!G827="","",IFERROR(VLOOKUP(Data!G827,Codes!$A$18:$B$19,2,FALSE()),"Invalid ("&amp;Data!G827&amp;")"))</f>
        <v>No</v>
      </c>
      <c r="H827" s="28" t="str">
        <f aca="false">IF(Data!H827="","",IFERROR(VLOOKUP(Data!H827,Codes!$A$23:$B$25,2,FALSE()),"Invalid ("&amp;Data!H827&amp;")"))</f>
        <v>ST-T wave abnormality</v>
      </c>
      <c r="I827" s="20" t="n">
        <f aca="false">IF(Data!I827="","",Data!I827)</f>
        <v>135</v>
      </c>
      <c r="J827" s="28" t="str">
        <f aca="false">IF(Data!J827="","",IFERROR(VLOOKUP(Data!J827,Codes!$A$29:$B$30,2,FALSE()),"Invalid ("&amp;Data!J827&amp;")"))</f>
        <v>Yes</v>
      </c>
      <c r="K827" s="21" t="n">
        <f aca="false">IF(Data!K827="","",Data!K827)</f>
        <v>4</v>
      </c>
      <c r="L827" s="28" t="str">
        <f aca="false">IF(Data!L827="","",IFERROR(VLOOKUP(Data!L827,Codes!$A$34:$B$36,2,FALSE()),"Invalid ("&amp;Data!L827&amp;")"))</f>
        <v>Downsloping</v>
      </c>
      <c r="M827" s="20" t="str">
        <f aca="false">IF(Data!M827="","",Data!M827)</f>
        <v/>
      </c>
      <c r="N827" s="28" t="str">
        <f aca="false">IF(Data!N827="","",IFERROR(VLOOKUP(Data!N827,Codes!$A$47:$B$49,2,FALSE()),"Invalid ("&amp;Data!N827&amp;")"))</f>
        <v>Fixed defect</v>
      </c>
      <c r="O827" s="28" t="str">
        <f aca="false">IF(Data!O827="","",IFERROR(VLOOKUP(Data!O827,Codes!$A$53:$B$57,2,FALSE()),"Invalid ("&amp;Data!O827&amp;")"))</f>
        <v>Disease (3)</v>
      </c>
      <c r="P827" s="22" t="str">
        <f aca="false">IF(Data!P827="","",IFERROR(VLOOKUP(Data!P827,Codes!$A$61:$B$64,2,FALSE()),"Invalid ("&amp;Data!P827&amp;")"))</f>
        <v>VA Medical Center, Long Beach</v>
      </c>
    </row>
    <row r="828" customFormat="false" ht="15" hidden="false" customHeight="false" outlineLevel="0" collapsed="false">
      <c r="A828" s="19" t="n">
        <f aca="false">Data!A828</f>
        <v>827</v>
      </c>
      <c r="B828" s="20" t="n">
        <f aca="false">IF(Data!B828="","",Data!B828)</f>
        <v>50</v>
      </c>
      <c r="C828" s="28" t="str">
        <f aca="false">IF(Data!C828="","",IFERROR(VLOOKUP(Data!C828,Codes!$A$6:$B$7,2,FALSE()),"Invalid ("&amp;Data!C828&amp;")"))</f>
        <v>Male</v>
      </c>
      <c r="D828" s="28" t="str">
        <f aca="false">IF(Data!D828="","",IFERROR(VLOOKUP(Data!D828,Codes!$A$11:$B$14,2,FALSE()),"Invalid ("&amp;Data!D828&amp;")"))</f>
        <v>Asymptomatic</v>
      </c>
      <c r="E828" s="20" t="n">
        <f aca="false">IF(Data!E828="","",Data!E828)</f>
        <v>144</v>
      </c>
      <c r="F828" s="20" t="n">
        <f aca="false">IF(Data!F828="","",Data!F828)</f>
        <v>349</v>
      </c>
      <c r="G828" s="28" t="str">
        <f aca="false">IF(Data!G828="","",IFERROR(VLOOKUP(Data!G828,Codes!$A$18:$B$19,2,FALSE()),"Invalid ("&amp;Data!G828&amp;")"))</f>
        <v>No</v>
      </c>
      <c r="H828" s="28" t="str">
        <f aca="false">IF(Data!H828="","",IFERROR(VLOOKUP(Data!H828,Codes!$A$23:$B$25,2,FALSE()),"Invalid ("&amp;Data!H828&amp;")"))</f>
        <v>Left ventricular hypertrophy</v>
      </c>
      <c r="I828" s="20" t="n">
        <f aca="false">IF(Data!I828="","",Data!I828)</f>
        <v>120</v>
      </c>
      <c r="J828" s="28" t="str">
        <f aca="false">IF(Data!J828="","",IFERROR(VLOOKUP(Data!J828,Codes!$A$29:$B$30,2,FALSE()),"Invalid ("&amp;Data!J828&amp;")"))</f>
        <v>Yes</v>
      </c>
      <c r="K828" s="21" t="n">
        <f aca="false">IF(Data!K828="","",Data!K828)</f>
        <v>1</v>
      </c>
      <c r="L828" s="28" t="str">
        <f aca="false">IF(Data!L828="","",IFERROR(VLOOKUP(Data!L828,Codes!$A$34:$B$36,2,FALSE()),"Invalid ("&amp;Data!L828&amp;")"))</f>
        <v>Upsloping</v>
      </c>
      <c r="M828" s="20" t="str">
        <f aca="false">IF(Data!M828="","",Data!M828)</f>
        <v/>
      </c>
      <c r="N828" s="28" t="str">
        <f aca="false">IF(Data!N828="","",IFERROR(VLOOKUP(Data!N828,Codes!$A$47:$B$49,2,FALSE()),"Invalid ("&amp;Data!N828&amp;")"))</f>
        <v>Reversible defect</v>
      </c>
      <c r="O828" s="28" t="str">
        <f aca="false">IF(Data!O828="","",IFERROR(VLOOKUP(Data!O828,Codes!$A$53:$B$57,2,FALSE()),"Invalid ("&amp;Data!O828&amp;")"))</f>
        <v>Disease (1)</v>
      </c>
      <c r="P828" s="22" t="str">
        <f aca="false">IF(Data!P828="","",IFERROR(VLOOKUP(Data!P828,Codes!$A$61:$B$64,2,FALSE()),"Invalid ("&amp;Data!P828&amp;")"))</f>
        <v>VA Medical Center, Long Beach</v>
      </c>
    </row>
    <row r="829" customFormat="false" ht="15" hidden="false" customHeight="false" outlineLevel="0" collapsed="false">
      <c r="A829" s="19" t="n">
        <f aca="false">Data!A829</f>
        <v>828</v>
      </c>
      <c r="B829" s="20" t="n">
        <f aca="false">IF(Data!B829="","",Data!B829)</f>
        <v>59</v>
      </c>
      <c r="C829" s="28" t="str">
        <f aca="false">IF(Data!C829="","",IFERROR(VLOOKUP(Data!C829,Codes!$A$6:$B$7,2,FALSE()),"Invalid ("&amp;Data!C829&amp;")"))</f>
        <v>Male</v>
      </c>
      <c r="D829" s="28" t="str">
        <f aca="false">IF(Data!D829="","",IFERROR(VLOOKUP(Data!D829,Codes!$A$11:$B$14,2,FALSE()),"Invalid ("&amp;Data!D829&amp;")"))</f>
        <v>Asymptomatic</v>
      </c>
      <c r="E829" s="20" t="n">
        <f aca="false">IF(Data!E829="","",Data!E829)</f>
        <v>124</v>
      </c>
      <c r="F829" s="20" t="str">
        <f aca="false">IF(Data!F829="","",Data!F829)</f>
        <v/>
      </c>
      <c r="G829" s="28" t="str">
        <f aca="false">IF(Data!G829="","",IFERROR(VLOOKUP(Data!G829,Codes!$A$18:$B$19,2,FALSE()),"Invalid ("&amp;Data!G829&amp;")"))</f>
        <v>No</v>
      </c>
      <c r="H829" s="28" t="str">
        <f aca="false">IF(Data!H829="","",IFERROR(VLOOKUP(Data!H829,Codes!$A$23:$B$25,2,FALSE()),"Invalid ("&amp;Data!H829&amp;")"))</f>
        <v>Normal</v>
      </c>
      <c r="I829" s="20" t="n">
        <f aca="false">IF(Data!I829="","",Data!I829)</f>
        <v>117</v>
      </c>
      <c r="J829" s="28" t="str">
        <f aca="false">IF(Data!J829="","",IFERROR(VLOOKUP(Data!J829,Codes!$A$29:$B$30,2,FALSE()),"Invalid ("&amp;Data!J829&amp;")"))</f>
        <v>Yes</v>
      </c>
      <c r="K829" s="21" t="n">
        <f aca="false">IF(Data!K829="","",Data!K829)</f>
        <v>1</v>
      </c>
      <c r="L829" s="28" t="str">
        <f aca="false">IF(Data!L829="","",IFERROR(VLOOKUP(Data!L829,Codes!$A$34:$B$36,2,FALSE()),"Invalid ("&amp;Data!L829&amp;")"))</f>
        <v>Flat</v>
      </c>
      <c r="M829" s="20" t="str">
        <f aca="false">IF(Data!M829="","",Data!M829)</f>
        <v/>
      </c>
      <c r="N829" s="28" t="str">
        <f aca="false">IF(Data!N829="","",IFERROR(VLOOKUP(Data!N829,Codes!$A$47:$B$49,2,FALSE()),"Invalid ("&amp;Data!N829&amp;")"))</f>
        <v/>
      </c>
      <c r="O829" s="28" t="str">
        <f aca="false">IF(Data!O829="","",IFERROR(VLOOKUP(Data!O829,Codes!$A$53:$B$57,2,FALSE()),"Invalid ("&amp;Data!O829&amp;")"))</f>
        <v>Disease (1)</v>
      </c>
      <c r="P829" s="22" t="str">
        <f aca="false">IF(Data!P829="","",IFERROR(VLOOKUP(Data!P829,Codes!$A$61:$B$64,2,FALSE()),"Invalid ("&amp;Data!P829&amp;")"))</f>
        <v>VA Medical Center, Long Beach</v>
      </c>
    </row>
    <row r="830" customFormat="false" ht="15" hidden="false" customHeight="false" outlineLevel="0" collapsed="false">
      <c r="A830" s="19" t="n">
        <f aca="false">Data!A830</f>
        <v>829</v>
      </c>
      <c r="B830" s="20" t="n">
        <f aca="false">IF(Data!B830="","",Data!B830)</f>
        <v>55</v>
      </c>
      <c r="C830" s="28" t="str">
        <f aca="false">IF(Data!C830="","",IFERROR(VLOOKUP(Data!C830,Codes!$A$6:$B$7,2,FALSE()),"Invalid ("&amp;Data!C830&amp;")"))</f>
        <v>Male</v>
      </c>
      <c r="D830" s="28" t="str">
        <f aca="false">IF(Data!D830="","",IFERROR(VLOOKUP(Data!D830,Codes!$A$11:$B$14,2,FALSE()),"Invalid ("&amp;Data!D830&amp;")"))</f>
        <v>Asymptomatic</v>
      </c>
      <c r="E830" s="20" t="n">
        <f aca="false">IF(Data!E830="","",Data!E830)</f>
        <v>150</v>
      </c>
      <c r="F830" s="20" t="n">
        <f aca="false">IF(Data!F830="","",Data!F830)</f>
        <v>160</v>
      </c>
      <c r="G830" s="28" t="str">
        <f aca="false">IF(Data!G830="","",IFERROR(VLOOKUP(Data!G830,Codes!$A$18:$B$19,2,FALSE()),"Invalid ("&amp;Data!G830&amp;")"))</f>
        <v>No</v>
      </c>
      <c r="H830" s="28" t="str">
        <f aca="false">IF(Data!H830="","",IFERROR(VLOOKUP(Data!H830,Codes!$A$23:$B$25,2,FALSE()),"Invalid ("&amp;Data!H830&amp;")"))</f>
        <v>ST-T wave abnormality</v>
      </c>
      <c r="I830" s="20" t="n">
        <f aca="false">IF(Data!I830="","",Data!I830)</f>
        <v>150</v>
      </c>
      <c r="J830" s="28" t="str">
        <f aca="false">IF(Data!J830="","",IFERROR(VLOOKUP(Data!J830,Codes!$A$29:$B$30,2,FALSE()),"Invalid ("&amp;Data!J830&amp;")"))</f>
        <v>No</v>
      </c>
      <c r="K830" s="21" t="n">
        <f aca="false">IF(Data!K830="","",Data!K830)</f>
        <v>0</v>
      </c>
      <c r="L830" s="28" t="str">
        <f aca="false">IF(Data!L830="","",IFERROR(VLOOKUP(Data!L830,Codes!$A$34:$B$36,2,FALSE()),"Invalid ("&amp;Data!L830&amp;")"))</f>
        <v/>
      </c>
      <c r="M830" s="20" t="str">
        <f aca="false">IF(Data!M830="","",Data!M830)</f>
        <v/>
      </c>
      <c r="N830" s="28" t="str">
        <f aca="false">IF(Data!N830="","",IFERROR(VLOOKUP(Data!N830,Codes!$A$47:$B$49,2,FALSE()),"Invalid ("&amp;Data!N830&amp;")"))</f>
        <v/>
      </c>
      <c r="O830" s="28" t="str">
        <f aca="false">IF(Data!O830="","",IFERROR(VLOOKUP(Data!O830,Codes!$A$53:$B$57,2,FALSE()),"Invalid ("&amp;Data!O830&amp;")"))</f>
        <v>No disease</v>
      </c>
      <c r="P830" s="22" t="str">
        <f aca="false">IF(Data!P830="","",IFERROR(VLOOKUP(Data!P830,Codes!$A$61:$B$64,2,FALSE()),"Invalid ("&amp;Data!P830&amp;")"))</f>
        <v>VA Medical Center, Long Beach</v>
      </c>
    </row>
    <row r="831" customFormat="false" ht="15" hidden="false" customHeight="false" outlineLevel="0" collapsed="false">
      <c r="A831" s="19" t="n">
        <f aca="false">Data!A831</f>
        <v>830</v>
      </c>
      <c r="B831" s="20" t="n">
        <f aca="false">IF(Data!B831="","",Data!B831)</f>
        <v>45</v>
      </c>
      <c r="C831" s="28" t="str">
        <f aca="false">IF(Data!C831="","",IFERROR(VLOOKUP(Data!C831,Codes!$A$6:$B$7,2,FALSE()),"Invalid ("&amp;Data!C831&amp;")"))</f>
        <v>Male</v>
      </c>
      <c r="D831" s="28" t="str">
        <f aca="false">IF(Data!D831="","",IFERROR(VLOOKUP(Data!D831,Codes!$A$11:$B$14,2,FALSE()),"Invalid ("&amp;Data!D831&amp;")"))</f>
        <v>Non-anginal pain</v>
      </c>
      <c r="E831" s="20" t="str">
        <f aca="false">IF(Data!E831="","",Data!E831)</f>
        <v/>
      </c>
      <c r="F831" s="20" t="n">
        <f aca="false">IF(Data!F831="","",Data!F831)</f>
        <v>236</v>
      </c>
      <c r="G831" s="28" t="str">
        <f aca="false">IF(Data!G831="","",IFERROR(VLOOKUP(Data!G831,Codes!$A$18:$B$19,2,FALSE()),"Invalid ("&amp;Data!G831&amp;")"))</f>
        <v>No</v>
      </c>
      <c r="H831" s="28" t="str">
        <f aca="false">IF(Data!H831="","",IFERROR(VLOOKUP(Data!H831,Codes!$A$23:$B$25,2,FALSE()),"Invalid ("&amp;Data!H831&amp;")"))</f>
        <v>Normal</v>
      </c>
      <c r="I831" s="20" t="str">
        <f aca="false">IF(Data!I831="","",Data!I831)</f>
        <v/>
      </c>
      <c r="J831" s="28" t="str">
        <f aca="false">IF(Data!J831="","",IFERROR(VLOOKUP(Data!J831,Codes!$A$29:$B$30,2,FALSE()),"Invalid ("&amp;Data!J831&amp;")"))</f>
        <v/>
      </c>
      <c r="K831" s="21" t="str">
        <f aca="false">IF(Data!K831="","",Data!K831)</f>
        <v/>
      </c>
      <c r="L831" s="28" t="str">
        <f aca="false">IF(Data!L831="","",IFERROR(VLOOKUP(Data!L831,Codes!$A$34:$B$36,2,FALSE()),"Invalid ("&amp;Data!L831&amp;")"))</f>
        <v/>
      </c>
      <c r="M831" s="20" t="str">
        <f aca="false">IF(Data!M831="","",Data!M831)</f>
        <v/>
      </c>
      <c r="N831" s="28" t="str">
        <f aca="false">IF(Data!N831="","",IFERROR(VLOOKUP(Data!N831,Codes!$A$47:$B$49,2,FALSE()),"Invalid ("&amp;Data!N831&amp;")"))</f>
        <v/>
      </c>
      <c r="O831" s="28" t="str">
        <f aca="false">IF(Data!O831="","",IFERROR(VLOOKUP(Data!O831,Codes!$A$53:$B$57,2,FALSE()),"Invalid ("&amp;Data!O831&amp;")"))</f>
        <v>No disease</v>
      </c>
      <c r="P831" s="22" t="str">
        <f aca="false">IF(Data!P831="","",IFERROR(VLOOKUP(Data!P831,Codes!$A$61:$B$64,2,FALSE()),"Invalid ("&amp;Data!P831&amp;")"))</f>
        <v>VA Medical Center, Long Beach</v>
      </c>
    </row>
    <row r="832" customFormat="false" ht="15" hidden="false" customHeight="false" outlineLevel="0" collapsed="false">
      <c r="A832" s="19" t="n">
        <f aca="false">Data!A832</f>
        <v>831</v>
      </c>
      <c r="B832" s="20" t="n">
        <f aca="false">IF(Data!B832="","",Data!B832)</f>
        <v>65</v>
      </c>
      <c r="C832" s="28" t="str">
        <f aca="false">IF(Data!C832="","",IFERROR(VLOOKUP(Data!C832,Codes!$A$6:$B$7,2,FALSE()),"Invalid ("&amp;Data!C832&amp;")"))</f>
        <v>Male</v>
      </c>
      <c r="D832" s="28" t="str">
        <f aca="false">IF(Data!D832="","",IFERROR(VLOOKUP(Data!D832,Codes!$A$11:$B$14,2,FALSE()),"Invalid ("&amp;Data!D832&amp;")"))</f>
        <v>Asymptomatic</v>
      </c>
      <c r="E832" s="20" t="str">
        <f aca="false">IF(Data!E832="","",Data!E832)</f>
        <v/>
      </c>
      <c r="F832" s="20" t="n">
        <f aca="false">IF(Data!F832="","",Data!F832)</f>
        <v>312</v>
      </c>
      <c r="G832" s="28" t="str">
        <f aca="false">IF(Data!G832="","",IFERROR(VLOOKUP(Data!G832,Codes!$A$18:$B$19,2,FALSE()),"Invalid ("&amp;Data!G832&amp;")"))</f>
        <v>No</v>
      </c>
      <c r="H832" s="28" t="str">
        <f aca="false">IF(Data!H832="","",IFERROR(VLOOKUP(Data!H832,Codes!$A$23:$B$25,2,FALSE()),"Invalid ("&amp;Data!H832&amp;")"))</f>
        <v>Left ventricular hypertrophy</v>
      </c>
      <c r="I832" s="20" t="str">
        <f aca="false">IF(Data!I832="","",Data!I832)</f>
        <v/>
      </c>
      <c r="J832" s="28" t="str">
        <f aca="false">IF(Data!J832="","",IFERROR(VLOOKUP(Data!J832,Codes!$A$29:$B$30,2,FALSE()),"Invalid ("&amp;Data!J832&amp;")"))</f>
        <v/>
      </c>
      <c r="K832" s="21" t="str">
        <f aca="false">IF(Data!K832="","",Data!K832)</f>
        <v/>
      </c>
      <c r="L832" s="28" t="str">
        <f aca="false">IF(Data!L832="","",IFERROR(VLOOKUP(Data!L832,Codes!$A$34:$B$36,2,FALSE()),"Invalid ("&amp;Data!L832&amp;")"))</f>
        <v/>
      </c>
      <c r="M832" s="20" t="str">
        <f aca="false">IF(Data!M832="","",Data!M832)</f>
        <v/>
      </c>
      <c r="N832" s="28" t="str">
        <f aca="false">IF(Data!N832="","",IFERROR(VLOOKUP(Data!N832,Codes!$A$47:$B$49,2,FALSE()),"Invalid ("&amp;Data!N832&amp;")"))</f>
        <v/>
      </c>
      <c r="O832" s="28" t="str">
        <f aca="false">IF(Data!O832="","",IFERROR(VLOOKUP(Data!O832,Codes!$A$53:$B$57,2,FALSE()),"Invalid ("&amp;Data!O832&amp;")"))</f>
        <v>Disease (3)</v>
      </c>
      <c r="P832" s="22" t="str">
        <f aca="false">IF(Data!P832="","",IFERROR(VLOOKUP(Data!P832,Codes!$A$61:$B$64,2,FALSE()),"Invalid ("&amp;Data!P832&amp;")"))</f>
        <v>VA Medical Center, Long Beach</v>
      </c>
    </row>
    <row r="833" customFormat="false" ht="15" hidden="false" customHeight="false" outlineLevel="0" collapsed="false">
      <c r="A833" s="19" t="n">
        <f aca="false">Data!A833</f>
        <v>832</v>
      </c>
      <c r="B833" s="20" t="n">
        <f aca="false">IF(Data!B833="","",Data!B833)</f>
        <v>61</v>
      </c>
      <c r="C833" s="28" t="str">
        <f aca="false">IF(Data!C833="","",IFERROR(VLOOKUP(Data!C833,Codes!$A$6:$B$7,2,FALSE()),"Invalid ("&amp;Data!C833&amp;")"))</f>
        <v>Male</v>
      </c>
      <c r="D833" s="28" t="str">
        <f aca="false">IF(Data!D833="","",IFERROR(VLOOKUP(Data!D833,Codes!$A$11:$B$14,2,FALSE()),"Invalid ("&amp;Data!D833&amp;")"))</f>
        <v>Atypical angina</v>
      </c>
      <c r="E833" s="20" t="str">
        <f aca="false">IF(Data!E833="","",Data!E833)</f>
        <v/>
      </c>
      <c r="F833" s="20" t="n">
        <f aca="false">IF(Data!F833="","",Data!F833)</f>
        <v>283</v>
      </c>
      <c r="G833" s="28" t="str">
        <f aca="false">IF(Data!G833="","",IFERROR(VLOOKUP(Data!G833,Codes!$A$18:$B$19,2,FALSE()),"Invalid ("&amp;Data!G833&amp;")"))</f>
        <v>No</v>
      </c>
      <c r="H833" s="28" t="str">
        <f aca="false">IF(Data!H833="","",IFERROR(VLOOKUP(Data!H833,Codes!$A$23:$B$25,2,FALSE()),"Invalid ("&amp;Data!H833&amp;")"))</f>
        <v>Normal</v>
      </c>
      <c r="I833" s="20" t="str">
        <f aca="false">IF(Data!I833="","",Data!I833)</f>
        <v/>
      </c>
      <c r="J833" s="28" t="str">
        <f aca="false">IF(Data!J833="","",IFERROR(VLOOKUP(Data!J833,Codes!$A$29:$B$30,2,FALSE()),"Invalid ("&amp;Data!J833&amp;")"))</f>
        <v/>
      </c>
      <c r="K833" s="21" t="str">
        <f aca="false">IF(Data!K833="","",Data!K833)</f>
        <v/>
      </c>
      <c r="L833" s="28" t="str">
        <f aca="false">IF(Data!L833="","",IFERROR(VLOOKUP(Data!L833,Codes!$A$34:$B$36,2,FALSE()),"Invalid ("&amp;Data!L833&amp;")"))</f>
        <v/>
      </c>
      <c r="M833" s="20" t="str">
        <f aca="false">IF(Data!M833="","",Data!M833)</f>
        <v/>
      </c>
      <c r="N833" s="28" t="str">
        <f aca="false">IF(Data!N833="","",IFERROR(VLOOKUP(Data!N833,Codes!$A$47:$B$49,2,FALSE()),"Invalid ("&amp;Data!N833&amp;")"))</f>
        <v/>
      </c>
      <c r="O833" s="28" t="str">
        <f aca="false">IF(Data!O833="","",IFERROR(VLOOKUP(Data!O833,Codes!$A$53:$B$57,2,FALSE()),"Invalid ("&amp;Data!O833&amp;")"))</f>
        <v>No disease</v>
      </c>
      <c r="P833" s="22" t="str">
        <f aca="false">IF(Data!P833="","",IFERROR(VLOOKUP(Data!P833,Codes!$A$61:$B$64,2,FALSE()),"Invalid ("&amp;Data!P833&amp;")"))</f>
        <v>VA Medical Center, Long Beach</v>
      </c>
    </row>
    <row r="834" customFormat="false" ht="15" hidden="false" customHeight="false" outlineLevel="0" collapsed="false">
      <c r="A834" s="19" t="n">
        <f aca="false">Data!A834</f>
        <v>833</v>
      </c>
      <c r="B834" s="20" t="n">
        <f aca="false">IF(Data!B834="","",Data!B834)</f>
        <v>49</v>
      </c>
      <c r="C834" s="28" t="str">
        <f aca="false">IF(Data!C834="","",IFERROR(VLOOKUP(Data!C834,Codes!$A$6:$B$7,2,FALSE()),"Invalid ("&amp;Data!C834&amp;")"))</f>
        <v>Male</v>
      </c>
      <c r="D834" s="28" t="str">
        <f aca="false">IF(Data!D834="","",IFERROR(VLOOKUP(Data!D834,Codes!$A$11:$B$14,2,FALSE()),"Invalid ("&amp;Data!D834&amp;")"))</f>
        <v>Non-anginal pain</v>
      </c>
      <c r="E834" s="20" t="str">
        <f aca="false">IF(Data!E834="","",Data!E834)</f>
        <v/>
      </c>
      <c r="F834" s="20" t="n">
        <f aca="false">IF(Data!F834="","",Data!F834)</f>
        <v>142</v>
      </c>
      <c r="G834" s="28" t="str">
        <f aca="false">IF(Data!G834="","",IFERROR(VLOOKUP(Data!G834,Codes!$A$18:$B$19,2,FALSE()),"Invalid ("&amp;Data!G834&amp;")"))</f>
        <v>No</v>
      </c>
      <c r="H834" s="28" t="str">
        <f aca="false">IF(Data!H834="","",IFERROR(VLOOKUP(Data!H834,Codes!$A$23:$B$25,2,FALSE()),"Invalid ("&amp;Data!H834&amp;")"))</f>
        <v>Normal</v>
      </c>
      <c r="I834" s="20" t="str">
        <f aca="false">IF(Data!I834="","",Data!I834)</f>
        <v/>
      </c>
      <c r="J834" s="28" t="str">
        <f aca="false">IF(Data!J834="","",IFERROR(VLOOKUP(Data!J834,Codes!$A$29:$B$30,2,FALSE()),"Invalid ("&amp;Data!J834&amp;")"))</f>
        <v/>
      </c>
      <c r="K834" s="21" t="str">
        <f aca="false">IF(Data!K834="","",Data!K834)</f>
        <v/>
      </c>
      <c r="L834" s="28" t="str">
        <f aca="false">IF(Data!L834="","",IFERROR(VLOOKUP(Data!L834,Codes!$A$34:$B$36,2,FALSE()),"Invalid ("&amp;Data!L834&amp;")"))</f>
        <v/>
      </c>
      <c r="M834" s="20" t="str">
        <f aca="false">IF(Data!M834="","",Data!M834)</f>
        <v/>
      </c>
      <c r="N834" s="28" t="str">
        <f aca="false">IF(Data!N834="","",IFERROR(VLOOKUP(Data!N834,Codes!$A$47:$B$49,2,FALSE()),"Invalid ("&amp;Data!N834&amp;")"))</f>
        <v/>
      </c>
      <c r="O834" s="28" t="str">
        <f aca="false">IF(Data!O834="","",IFERROR(VLOOKUP(Data!O834,Codes!$A$53:$B$57,2,FALSE()),"Invalid ("&amp;Data!O834&amp;")"))</f>
        <v>Disease (3)</v>
      </c>
      <c r="P834" s="22" t="str">
        <f aca="false">IF(Data!P834="","",IFERROR(VLOOKUP(Data!P834,Codes!$A$61:$B$64,2,FALSE()),"Invalid ("&amp;Data!P834&amp;")"))</f>
        <v>VA Medical Center, Long Beach</v>
      </c>
    </row>
    <row r="835" customFormat="false" ht="15" hidden="false" customHeight="false" outlineLevel="0" collapsed="false">
      <c r="A835" s="19" t="n">
        <f aca="false">Data!A835</f>
        <v>834</v>
      </c>
      <c r="B835" s="20" t="n">
        <f aca="false">IF(Data!B835="","",Data!B835)</f>
        <v>72</v>
      </c>
      <c r="C835" s="28" t="str">
        <f aca="false">IF(Data!C835="","",IFERROR(VLOOKUP(Data!C835,Codes!$A$6:$B$7,2,FALSE()),"Invalid ("&amp;Data!C835&amp;")"))</f>
        <v>Male</v>
      </c>
      <c r="D835" s="28" t="str">
        <f aca="false">IF(Data!D835="","",IFERROR(VLOOKUP(Data!D835,Codes!$A$11:$B$14,2,FALSE()),"Invalid ("&amp;Data!D835&amp;")"))</f>
        <v>Asymptomatic</v>
      </c>
      <c r="E835" s="20" t="str">
        <f aca="false">IF(Data!E835="","",Data!E835)</f>
        <v/>
      </c>
      <c r="F835" s="20" t="n">
        <f aca="false">IF(Data!F835="","",Data!F835)</f>
        <v>211</v>
      </c>
      <c r="G835" s="28" t="str">
        <f aca="false">IF(Data!G835="","",IFERROR(VLOOKUP(Data!G835,Codes!$A$18:$B$19,2,FALSE()),"Invalid ("&amp;Data!G835&amp;")"))</f>
        <v>No</v>
      </c>
      <c r="H835" s="28" t="str">
        <f aca="false">IF(Data!H835="","",IFERROR(VLOOKUP(Data!H835,Codes!$A$23:$B$25,2,FALSE()),"Invalid ("&amp;Data!H835&amp;")"))</f>
        <v>Normal</v>
      </c>
      <c r="I835" s="20" t="str">
        <f aca="false">IF(Data!I835="","",Data!I835)</f>
        <v/>
      </c>
      <c r="J835" s="28" t="str">
        <f aca="false">IF(Data!J835="","",IFERROR(VLOOKUP(Data!J835,Codes!$A$29:$B$30,2,FALSE()),"Invalid ("&amp;Data!J835&amp;")"))</f>
        <v/>
      </c>
      <c r="K835" s="21" t="str">
        <f aca="false">IF(Data!K835="","",Data!K835)</f>
        <v/>
      </c>
      <c r="L835" s="28" t="str">
        <f aca="false">IF(Data!L835="","",IFERROR(VLOOKUP(Data!L835,Codes!$A$34:$B$36,2,FALSE()),"Invalid ("&amp;Data!L835&amp;")"))</f>
        <v/>
      </c>
      <c r="M835" s="20" t="str">
        <f aca="false">IF(Data!M835="","",Data!M835)</f>
        <v/>
      </c>
      <c r="N835" s="28" t="str">
        <f aca="false">IF(Data!N835="","",IFERROR(VLOOKUP(Data!N835,Codes!$A$47:$B$49,2,FALSE()),"Invalid ("&amp;Data!N835&amp;")"))</f>
        <v/>
      </c>
      <c r="O835" s="28" t="str">
        <f aca="false">IF(Data!O835="","",IFERROR(VLOOKUP(Data!O835,Codes!$A$53:$B$57,2,FALSE()),"Invalid ("&amp;Data!O835&amp;")"))</f>
        <v>Disease (1)</v>
      </c>
      <c r="P835" s="22" t="str">
        <f aca="false">IF(Data!P835="","",IFERROR(VLOOKUP(Data!P835,Codes!$A$61:$B$64,2,FALSE()),"Invalid ("&amp;Data!P835&amp;")"))</f>
        <v>VA Medical Center, Long Beach</v>
      </c>
    </row>
    <row r="836" customFormat="false" ht="15" hidden="false" customHeight="false" outlineLevel="0" collapsed="false">
      <c r="A836" s="19" t="n">
        <f aca="false">Data!A836</f>
        <v>835</v>
      </c>
      <c r="B836" s="20" t="n">
        <f aca="false">IF(Data!B836="","",Data!B836)</f>
        <v>50</v>
      </c>
      <c r="C836" s="28" t="str">
        <f aca="false">IF(Data!C836="","",IFERROR(VLOOKUP(Data!C836,Codes!$A$6:$B$7,2,FALSE()),"Invalid ("&amp;Data!C836&amp;")"))</f>
        <v>Male</v>
      </c>
      <c r="D836" s="28" t="str">
        <f aca="false">IF(Data!D836="","",IFERROR(VLOOKUP(Data!D836,Codes!$A$11:$B$14,2,FALSE()),"Invalid ("&amp;Data!D836&amp;")"))</f>
        <v>Asymptomatic</v>
      </c>
      <c r="E836" s="20" t="str">
        <f aca="false">IF(Data!E836="","",Data!E836)</f>
        <v/>
      </c>
      <c r="F836" s="20" t="n">
        <f aca="false">IF(Data!F836="","",Data!F836)</f>
        <v>218</v>
      </c>
      <c r="G836" s="28" t="str">
        <f aca="false">IF(Data!G836="","",IFERROR(VLOOKUP(Data!G836,Codes!$A$18:$B$19,2,FALSE()),"Invalid ("&amp;Data!G836&amp;")"))</f>
        <v>No</v>
      </c>
      <c r="H836" s="28" t="str">
        <f aca="false">IF(Data!H836="","",IFERROR(VLOOKUP(Data!H836,Codes!$A$23:$B$25,2,FALSE()),"Invalid ("&amp;Data!H836&amp;")"))</f>
        <v>Normal</v>
      </c>
      <c r="I836" s="20" t="str">
        <f aca="false">IF(Data!I836="","",Data!I836)</f>
        <v/>
      </c>
      <c r="J836" s="28" t="str">
        <f aca="false">IF(Data!J836="","",IFERROR(VLOOKUP(Data!J836,Codes!$A$29:$B$30,2,FALSE()),"Invalid ("&amp;Data!J836&amp;")"))</f>
        <v/>
      </c>
      <c r="K836" s="21" t="str">
        <f aca="false">IF(Data!K836="","",Data!K836)</f>
        <v/>
      </c>
      <c r="L836" s="28" t="str">
        <f aca="false">IF(Data!L836="","",IFERROR(VLOOKUP(Data!L836,Codes!$A$34:$B$36,2,FALSE()),"Invalid ("&amp;Data!L836&amp;")"))</f>
        <v/>
      </c>
      <c r="M836" s="20" t="str">
        <f aca="false">IF(Data!M836="","",Data!M836)</f>
        <v/>
      </c>
      <c r="N836" s="28" t="str">
        <f aca="false">IF(Data!N836="","",IFERROR(VLOOKUP(Data!N836,Codes!$A$47:$B$49,2,FALSE()),"Invalid ("&amp;Data!N836&amp;")"))</f>
        <v/>
      </c>
      <c r="O836" s="28" t="str">
        <f aca="false">IF(Data!O836="","",IFERROR(VLOOKUP(Data!O836,Codes!$A$53:$B$57,2,FALSE()),"Invalid ("&amp;Data!O836&amp;")"))</f>
        <v>Disease (1)</v>
      </c>
      <c r="P836" s="22" t="str">
        <f aca="false">IF(Data!P836="","",IFERROR(VLOOKUP(Data!P836,Codes!$A$61:$B$64,2,FALSE()),"Invalid ("&amp;Data!P836&amp;")"))</f>
        <v>VA Medical Center, Long Beach</v>
      </c>
    </row>
    <row r="837" customFormat="false" ht="15" hidden="false" customHeight="false" outlineLevel="0" collapsed="false">
      <c r="A837" s="19" t="n">
        <f aca="false">Data!A837</f>
        <v>836</v>
      </c>
      <c r="B837" s="20" t="n">
        <f aca="false">IF(Data!B837="","",Data!B837)</f>
        <v>64</v>
      </c>
      <c r="C837" s="28" t="str">
        <f aca="false">IF(Data!C837="","",IFERROR(VLOOKUP(Data!C837,Codes!$A$6:$B$7,2,FALSE()),"Invalid ("&amp;Data!C837&amp;")"))</f>
        <v>Male</v>
      </c>
      <c r="D837" s="28" t="str">
        <f aca="false">IF(Data!D837="","",IFERROR(VLOOKUP(Data!D837,Codes!$A$11:$B$14,2,FALSE()),"Invalid ("&amp;Data!D837&amp;")"))</f>
        <v>Asymptomatic</v>
      </c>
      <c r="E837" s="20" t="str">
        <f aca="false">IF(Data!E837="","",Data!E837)</f>
        <v/>
      </c>
      <c r="F837" s="20" t="n">
        <f aca="false">IF(Data!F837="","",Data!F837)</f>
        <v>306</v>
      </c>
      <c r="G837" s="28" t="str">
        <f aca="false">IF(Data!G837="","",IFERROR(VLOOKUP(Data!G837,Codes!$A$18:$B$19,2,FALSE()),"Invalid ("&amp;Data!G837&amp;")"))</f>
        <v>Yes</v>
      </c>
      <c r="H837" s="28" t="str">
        <f aca="false">IF(Data!H837="","",IFERROR(VLOOKUP(Data!H837,Codes!$A$23:$B$25,2,FALSE()),"Invalid ("&amp;Data!H837&amp;")"))</f>
        <v>ST-T wave abnormality</v>
      </c>
      <c r="I837" s="20" t="str">
        <f aca="false">IF(Data!I837="","",Data!I837)</f>
        <v/>
      </c>
      <c r="J837" s="28" t="str">
        <f aca="false">IF(Data!J837="","",IFERROR(VLOOKUP(Data!J837,Codes!$A$29:$B$30,2,FALSE()),"Invalid ("&amp;Data!J837&amp;")"))</f>
        <v/>
      </c>
      <c r="K837" s="21" t="str">
        <f aca="false">IF(Data!K837="","",Data!K837)</f>
        <v/>
      </c>
      <c r="L837" s="28" t="str">
        <f aca="false">IF(Data!L837="","",IFERROR(VLOOKUP(Data!L837,Codes!$A$34:$B$36,2,FALSE()),"Invalid ("&amp;Data!L837&amp;")"))</f>
        <v/>
      </c>
      <c r="M837" s="20" t="str">
        <f aca="false">IF(Data!M837="","",Data!M837)</f>
        <v/>
      </c>
      <c r="N837" s="28" t="str">
        <f aca="false">IF(Data!N837="","",IFERROR(VLOOKUP(Data!N837,Codes!$A$47:$B$49,2,FALSE()),"Invalid ("&amp;Data!N837&amp;")"))</f>
        <v/>
      </c>
      <c r="O837" s="28" t="str">
        <f aca="false">IF(Data!O837="","",IFERROR(VLOOKUP(Data!O837,Codes!$A$53:$B$57,2,FALSE()),"Invalid ("&amp;Data!O837&amp;")"))</f>
        <v>Disease (3)</v>
      </c>
      <c r="P837" s="22" t="str">
        <f aca="false">IF(Data!P837="","",IFERROR(VLOOKUP(Data!P837,Codes!$A$61:$B$64,2,FALSE()),"Invalid ("&amp;Data!P837&amp;")"))</f>
        <v>VA Medical Center, Long Beach</v>
      </c>
    </row>
    <row r="838" customFormat="false" ht="15" hidden="false" customHeight="false" outlineLevel="0" collapsed="false">
      <c r="A838" s="19" t="n">
        <f aca="false">Data!A838</f>
        <v>837</v>
      </c>
      <c r="B838" s="20" t="n">
        <f aca="false">IF(Data!B838="","",Data!B838)</f>
        <v>55</v>
      </c>
      <c r="C838" s="28" t="str">
        <f aca="false">IF(Data!C838="","",IFERROR(VLOOKUP(Data!C838,Codes!$A$6:$B$7,2,FALSE()),"Invalid ("&amp;Data!C838&amp;")"))</f>
        <v>Male</v>
      </c>
      <c r="D838" s="28" t="str">
        <f aca="false">IF(Data!D838="","",IFERROR(VLOOKUP(Data!D838,Codes!$A$11:$B$14,2,FALSE()),"Invalid ("&amp;Data!D838&amp;")"))</f>
        <v>Asymptomatic</v>
      </c>
      <c r="E838" s="20" t="n">
        <f aca="false">IF(Data!E838="","",Data!E838)</f>
        <v>116</v>
      </c>
      <c r="F838" s="20" t="n">
        <f aca="false">IF(Data!F838="","",Data!F838)</f>
        <v>186</v>
      </c>
      <c r="G838" s="28" t="str">
        <f aca="false">IF(Data!G838="","",IFERROR(VLOOKUP(Data!G838,Codes!$A$18:$B$19,2,FALSE()),"Invalid ("&amp;Data!G838&amp;")"))</f>
        <v>Yes</v>
      </c>
      <c r="H838" s="28" t="str">
        <f aca="false">IF(Data!H838="","",IFERROR(VLOOKUP(Data!H838,Codes!$A$23:$B$25,2,FALSE()),"Invalid ("&amp;Data!H838&amp;")"))</f>
        <v>ST-T wave abnormality</v>
      </c>
      <c r="I838" s="20" t="n">
        <f aca="false">IF(Data!I838="","",Data!I838)</f>
        <v>102</v>
      </c>
      <c r="J838" s="28" t="str">
        <f aca="false">IF(Data!J838="","",IFERROR(VLOOKUP(Data!J838,Codes!$A$29:$B$30,2,FALSE()),"Invalid ("&amp;Data!J838&amp;")"))</f>
        <v>No</v>
      </c>
      <c r="K838" s="21" t="n">
        <f aca="false">IF(Data!K838="","",Data!K838)</f>
        <v>0</v>
      </c>
      <c r="L838" s="28" t="str">
        <f aca="false">IF(Data!L838="","",IFERROR(VLOOKUP(Data!L838,Codes!$A$34:$B$36,2,FALSE()),"Invalid ("&amp;Data!L838&amp;")"))</f>
        <v/>
      </c>
      <c r="M838" s="20" t="str">
        <f aca="false">IF(Data!M838="","",Data!M838)</f>
        <v/>
      </c>
      <c r="N838" s="28" t="str">
        <f aca="false">IF(Data!N838="","",IFERROR(VLOOKUP(Data!N838,Codes!$A$47:$B$49,2,FALSE()),"Invalid ("&amp;Data!N838&amp;")"))</f>
        <v/>
      </c>
      <c r="O838" s="28" t="str">
        <f aca="false">IF(Data!O838="","",IFERROR(VLOOKUP(Data!O838,Codes!$A$53:$B$57,2,FALSE()),"Invalid ("&amp;Data!O838&amp;")"))</f>
        <v>Disease (2)</v>
      </c>
      <c r="P838" s="22" t="str">
        <f aca="false">IF(Data!P838="","",IFERROR(VLOOKUP(Data!P838,Codes!$A$61:$B$64,2,FALSE()),"Invalid ("&amp;Data!P838&amp;")"))</f>
        <v>VA Medical Center, Long Beach</v>
      </c>
    </row>
    <row r="839" customFormat="false" ht="15" hidden="false" customHeight="false" outlineLevel="0" collapsed="false">
      <c r="A839" s="19" t="n">
        <f aca="false">Data!A839</f>
        <v>838</v>
      </c>
      <c r="B839" s="20" t="n">
        <f aca="false">IF(Data!B839="","",Data!B839)</f>
        <v>63</v>
      </c>
      <c r="C839" s="28" t="str">
        <f aca="false">IF(Data!C839="","",IFERROR(VLOOKUP(Data!C839,Codes!$A$6:$B$7,2,FALSE()),"Invalid ("&amp;Data!C839&amp;")"))</f>
        <v>Male</v>
      </c>
      <c r="D839" s="28" t="str">
        <f aca="false">IF(Data!D839="","",IFERROR(VLOOKUP(Data!D839,Codes!$A$11:$B$14,2,FALSE()),"Invalid ("&amp;Data!D839&amp;")"))</f>
        <v>Asymptomatic</v>
      </c>
      <c r="E839" s="20" t="n">
        <f aca="false">IF(Data!E839="","",Data!E839)</f>
        <v>110</v>
      </c>
      <c r="F839" s="20" t="n">
        <f aca="false">IF(Data!F839="","",Data!F839)</f>
        <v>252</v>
      </c>
      <c r="G839" s="28" t="str">
        <f aca="false">IF(Data!G839="","",IFERROR(VLOOKUP(Data!G839,Codes!$A$18:$B$19,2,FALSE()),"Invalid ("&amp;Data!G839&amp;")"))</f>
        <v>No</v>
      </c>
      <c r="H839" s="28" t="str">
        <f aca="false">IF(Data!H839="","",IFERROR(VLOOKUP(Data!H839,Codes!$A$23:$B$25,2,FALSE()),"Invalid ("&amp;Data!H839&amp;")"))</f>
        <v>ST-T wave abnormality</v>
      </c>
      <c r="I839" s="20" t="n">
        <f aca="false">IF(Data!I839="","",Data!I839)</f>
        <v>140</v>
      </c>
      <c r="J839" s="28" t="str">
        <f aca="false">IF(Data!J839="","",IFERROR(VLOOKUP(Data!J839,Codes!$A$29:$B$30,2,FALSE()),"Invalid ("&amp;Data!J839&amp;")"))</f>
        <v>Yes</v>
      </c>
      <c r="K839" s="21" t="n">
        <f aca="false">IF(Data!K839="","",Data!K839)</f>
        <v>2</v>
      </c>
      <c r="L839" s="28" t="str">
        <f aca="false">IF(Data!L839="","",IFERROR(VLOOKUP(Data!L839,Codes!$A$34:$B$36,2,FALSE()),"Invalid ("&amp;Data!L839&amp;")"))</f>
        <v>Flat</v>
      </c>
      <c r="M839" s="20" t="str">
        <f aca="false">IF(Data!M839="","",Data!M839)</f>
        <v/>
      </c>
      <c r="N839" s="28" t="str">
        <f aca="false">IF(Data!N839="","",IFERROR(VLOOKUP(Data!N839,Codes!$A$47:$B$49,2,FALSE()),"Invalid ("&amp;Data!N839&amp;")"))</f>
        <v/>
      </c>
      <c r="O839" s="28" t="str">
        <f aca="false">IF(Data!O839="","",IFERROR(VLOOKUP(Data!O839,Codes!$A$53:$B$57,2,FALSE()),"Invalid ("&amp;Data!O839&amp;")"))</f>
        <v>Disease (2)</v>
      </c>
      <c r="P839" s="22" t="str">
        <f aca="false">IF(Data!P839="","",IFERROR(VLOOKUP(Data!P839,Codes!$A$61:$B$64,2,FALSE()),"Invalid ("&amp;Data!P839&amp;")"))</f>
        <v>VA Medical Center, Long Beach</v>
      </c>
    </row>
    <row r="840" customFormat="false" ht="15" hidden="false" customHeight="false" outlineLevel="0" collapsed="false">
      <c r="A840" s="19" t="n">
        <f aca="false">Data!A840</f>
        <v>839</v>
      </c>
      <c r="B840" s="20" t="n">
        <f aca="false">IF(Data!B840="","",Data!B840)</f>
        <v>59</v>
      </c>
      <c r="C840" s="28" t="str">
        <f aca="false">IF(Data!C840="","",IFERROR(VLOOKUP(Data!C840,Codes!$A$6:$B$7,2,FALSE()),"Invalid ("&amp;Data!C840&amp;")"))</f>
        <v>Male</v>
      </c>
      <c r="D840" s="28" t="str">
        <f aca="false">IF(Data!D840="","",IFERROR(VLOOKUP(Data!D840,Codes!$A$11:$B$14,2,FALSE()),"Invalid ("&amp;Data!D840&amp;")"))</f>
        <v>Asymptomatic</v>
      </c>
      <c r="E840" s="20" t="n">
        <f aca="false">IF(Data!E840="","",Data!E840)</f>
        <v>125</v>
      </c>
      <c r="F840" s="20" t="n">
        <f aca="false">IF(Data!F840="","",Data!F840)</f>
        <v>222</v>
      </c>
      <c r="G840" s="28" t="str">
        <f aca="false">IF(Data!G840="","",IFERROR(VLOOKUP(Data!G840,Codes!$A$18:$B$19,2,FALSE()),"Invalid ("&amp;Data!G840&amp;")"))</f>
        <v>No</v>
      </c>
      <c r="H840" s="28" t="str">
        <f aca="false">IF(Data!H840="","",IFERROR(VLOOKUP(Data!H840,Codes!$A$23:$B$25,2,FALSE()),"Invalid ("&amp;Data!H840&amp;")"))</f>
        <v>Normal</v>
      </c>
      <c r="I840" s="20" t="n">
        <f aca="false">IF(Data!I840="","",Data!I840)</f>
        <v>135</v>
      </c>
      <c r="J840" s="28" t="str">
        <f aca="false">IF(Data!J840="","",IFERROR(VLOOKUP(Data!J840,Codes!$A$29:$B$30,2,FALSE()),"Invalid ("&amp;Data!J840&amp;")"))</f>
        <v>Yes</v>
      </c>
      <c r="K840" s="21" t="n">
        <f aca="false">IF(Data!K840="","",Data!K840)</f>
        <v>2.5</v>
      </c>
      <c r="L840" s="28" t="str">
        <f aca="false">IF(Data!L840="","",IFERROR(VLOOKUP(Data!L840,Codes!$A$34:$B$36,2,FALSE()),"Invalid ("&amp;Data!L840&amp;")"))</f>
        <v>Downsloping</v>
      </c>
      <c r="M840" s="20" t="str">
        <f aca="false">IF(Data!M840="","",Data!M840)</f>
        <v/>
      </c>
      <c r="N840" s="28" t="str">
        <f aca="false">IF(Data!N840="","",IFERROR(VLOOKUP(Data!N840,Codes!$A$47:$B$49,2,FALSE()),"Invalid ("&amp;Data!N840&amp;")"))</f>
        <v/>
      </c>
      <c r="O840" s="28" t="str">
        <f aca="false">IF(Data!O840="","",IFERROR(VLOOKUP(Data!O840,Codes!$A$53:$B$57,2,FALSE()),"Invalid ("&amp;Data!O840&amp;")"))</f>
        <v>Disease (3)</v>
      </c>
      <c r="P840" s="22" t="str">
        <f aca="false">IF(Data!P840="","",IFERROR(VLOOKUP(Data!P840,Codes!$A$61:$B$64,2,FALSE()),"Invalid ("&amp;Data!P840&amp;")"))</f>
        <v>VA Medical Center, Long Beach</v>
      </c>
    </row>
    <row r="841" customFormat="false" ht="15" hidden="false" customHeight="false" outlineLevel="0" collapsed="false">
      <c r="A841" s="19" t="n">
        <f aca="false">Data!A841</f>
        <v>840</v>
      </c>
      <c r="B841" s="20" t="n">
        <f aca="false">IF(Data!B841="","",Data!B841)</f>
        <v>56</v>
      </c>
      <c r="C841" s="28" t="str">
        <f aca="false">IF(Data!C841="","",IFERROR(VLOOKUP(Data!C841,Codes!$A$6:$B$7,2,FALSE()),"Invalid ("&amp;Data!C841&amp;")"))</f>
        <v>Male</v>
      </c>
      <c r="D841" s="28" t="str">
        <f aca="false">IF(Data!D841="","",IFERROR(VLOOKUP(Data!D841,Codes!$A$11:$B$14,2,FALSE()),"Invalid ("&amp;Data!D841&amp;")"))</f>
        <v>Asymptomatic</v>
      </c>
      <c r="E841" s="20" t="str">
        <f aca="false">IF(Data!E841="","",Data!E841)</f>
        <v/>
      </c>
      <c r="F841" s="20" t="n">
        <f aca="false">IF(Data!F841="","",Data!F841)</f>
        <v>0</v>
      </c>
      <c r="G841" s="28" t="str">
        <f aca="false">IF(Data!G841="","",IFERROR(VLOOKUP(Data!G841,Codes!$A$18:$B$19,2,FALSE()),"Invalid ("&amp;Data!G841&amp;")"))</f>
        <v>No</v>
      </c>
      <c r="H841" s="28" t="str">
        <f aca="false">IF(Data!H841="","",IFERROR(VLOOKUP(Data!H841,Codes!$A$23:$B$25,2,FALSE()),"Invalid ("&amp;Data!H841&amp;")"))</f>
        <v>Left ventricular hypertrophy</v>
      </c>
      <c r="I841" s="20" t="str">
        <f aca="false">IF(Data!I841="","",Data!I841)</f>
        <v/>
      </c>
      <c r="J841" s="28" t="str">
        <f aca="false">IF(Data!J841="","",IFERROR(VLOOKUP(Data!J841,Codes!$A$29:$B$30,2,FALSE()),"Invalid ("&amp;Data!J841&amp;")"))</f>
        <v/>
      </c>
      <c r="K841" s="21" t="str">
        <f aca="false">IF(Data!K841="","",Data!K841)</f>
        <v/>
      </c>
      <c r="L841" s="28" t="str">
        <f aca="false">IF(Data!L841="","",IFERROR(VLOOKUP(Data!L841,Codes!$A$34:$B$36,2,FALSE()),"Invalid ("&amp;Data!L841&amp;")"))</f>
        <v/>
      </c>
      <c r="M841" s="20" t="str">
        <f aca="false">IF(Data!M841="","",Data!M841)</f>
        <v/>
      </c>
      <c r="N841" s="28" t="str">
        <f aca="false">IF(Data!N841="","",IFERROR(VLOOKUP(Data!N841,Codes!$A$47:$B$49,2,FALSE()),"Invalid ("&amp;Data!N841&amp;")"))</f>
        <v/>
      </c>
      <c r="O841" s="28" t="str">
        <f aca="false">IF(Data!O841="","",IFERROR(VLOOKUP(Data!O841,Codes!$A$53:$B$57,2,FALSE()),"Invalid ("&amp;Data!O841&amp;")"))</f>
        <v>Disease (1)</v>
      </c>
      <c r="P841" s="22" t="str">
        <f aca="false">IF(Data!P841="","",IFERROR(VLOOKUP(Data!P841,Codes!$A$61:$B$64,2,FALSE()),"Invalid ("&amp;Data!P841&amp;")"))</f>
        <v>VA Medical Center, Long Beach</v>
      </c>
    </row>
    <row r="842" customFormat="false" ht="15" hidden="false" customHeight="false" outlineLevel="0" collapsed="false">
      <c r="A842" s="19" t="n">
        <f aca="false">Data!A842</f>
        <v>841</v>
      </c>
      <c r="B842" s="20" t="n">
        <f aca="false">IF(Data!B842="","",Data!B842)</f>
        <v>62</v>
      </c>
      <c r="C842" s="28" t="str">
        <f aca="false">IF(Data!C842="","",IFERROR(VLOOKUP(Data!C842,Codes!$A$6:$B$7,2,FALSE()),"Invalid ("&amp;Data!C842&amp;")"))</f>
        <v>Male</v>
      </c>
      <c r="D842" s="28" t="str">
        <f aca="false">IF(Data!D842="","",IFERROR(VLOOKUP(Data!D842,Codes!$A$11:$B$14,2,FALSE()),"Invalid ("&amp;Data!D842&amp;")"))</f>
        <v>Non-anginal pain</v>
      </c>
      <c r="E842" s="20" t="str">
        <f aca="false">IF(Data!E842="","",Data!E842)</f>
        <v/>
      </c>
      <c r="F842" s="20" t="n">
        <f aca="false">IF(Data!F842="","",Data!F842)</f>
        <v>0</v>
      </c>
      <c r="G842" s="28" t="str">
        <f aca="false">IF(Data!G842="","",IFERROR(VLOOKUP(Data!G842,Codes!$A$18:$B$19,2,FALSE()),"Invalid ("&amp;Data!G842&amp;")"))</f>
        <v>Yes</v>
      </c>
      <c r="H842" s="28" t="str">
        <f aca="false">IF(Data!H842="","",IFERROR(VLOOKUP(Data!H842,Codes!$A$23:$B$25,2,FALSE()),"Invalid ("&amp;Data!H842&amp;")"))</f>
        <v>ST-T wave abnormality</v>
      </c>
      <c r="I842" s="20" t="str">
        <f aca="false">IF(Data!I842="","",Data!I842)</f>
        <v/>
      </c>
      <c r="J842" s="28" t="str">
        <f aca="false">IF(Data!J842="","",IFERROR(VLOOKUP(Data!J842,Codes!$A$29:$B$30,2,FALSE()),"Invalid ("&amp;Data!J842&amp;")"))</f>
        <v/>
      </c>
      <c r="K842" s="21" t="str">
        <f aca="false">IF(Data!K842="","",Data!K842)</f>
        <v/>
      </c>
      <c r="L842" s="28" t="str">
        <f aca="false">IF(Data!L842="","",IFERROR(VLOOKUP(Data!L842,Codes!$A$34:$B$36,2,FALSE()),"Invalid ("&amp;Data!L842&amp;")"))</f>
        <v/>
      </c>
      <c r="M842" s="20" t="str">
        <f aca="false">IF(Data!M842="","",Data!M842)</f>
        <v/>
      </c>
      <c r="N842" s="28" t="str">
        <f aca="false">IF(Data!N842="","",IFERROR(VLOOKUP(Data!N842,Codes!$A$47:$B$49,2,FALSE()),"Invalid ("&amp;Data!N842&amp;")"))</f>
        <v/>
      </c>
      <c r="O842" s="28" t="str">
        <f aca="false">IF(Data!O842="","",IFERROR(VLOOKUP(Data!O842,Codes!$A$53:$B$57,2,FALSE()),"Invalid ("&amp;Data!O842&amp;")"))</f>
        <v>Disease (2)</v>
      </c>
      <c r="P842" s="22" t="str">
        <f aca="false">IF(Data!P842="","",IFERROR(VLOOKUP(Data!P842,Codes!$A$61:$B$64,2,FALSE()),"Invalid ("&amp;Data!P842&amp;")"))</f>
        <v>VA Medical Center, Long Beach</v>
      </c>
    </row>
    <row r="843" customFormat="false" ht="15" hidden="false" customHeight="false" outlineLevel="0" collapsed="false">
      <c r="A843" s="19" t="n">
        <f aca="false">Data!A843</f>
        <v>842</v>
      </c>
      <c r="B843" s="20" t="n">
        <f aca="false">IF(Data!B843="","",Data!B843)</f>
        <v>74</v>
      </c>
      <c r="C843" s="28" t="str">
        <f aca="false">IF(Data!C843="","",IFERROR(VLOOKUP(Data!C843,Codes!$A$6:$B$7,2,FALSE()),"Invalid ("&amp;Data!C843&amp;")"))</f>
        <v>Male</v>
      </c>
      <c r="D843" s="28" t="str">
        <f aca="false">IF(Data!D843="","",IFERROR(VLOOKUP(Data!D843,Codes!$A$11:$B$14,2,FALSE()),"Invalid ("&amp;Data!D843&amp;")"))</f>
        <v>Asymptomatic</v>
      </c>
      <c r="E843" s="20" t="n">
        <f aca="false">IF(Data!E843="","",Data!E843)</f>
        <v>150</v>
      </c>
      <c r="F843" s="20" t="n">
        <f aca="false">IF(Data!F843="","",Data!F843)</f>
        <v>258</v>
      </c>
      <c r="G843" s="28" t="str">
        <f aca="false">IF(Data!G843="","",IFERROR(VLOOKUP(Data!G843,Codes!$A$18:$B$19,2,FALSE()),"Invalid ("&amp;Data!G843&amp;")"))</f>
        <v>Yes</v>
      </c>
      <c r="H843" s="28" t="str">
        <f aca="false">IF(Data!H843="","",IFERROR(VLOOKUP(Data!H843,Codes!$A$23:$B$25,2,FALSE()),"Invalid ("&amp;Data!H843&amp;")"))</f>
        <v>ST-T wave abnormality</v>
      </c>
      <c r="I843" s="20" t="n">
        <f aca="false">IF(Data!I843="","",Data!I843)</f>
        <v>130</v>
      </c>
      <c r="J843" s="28" t="str">
        <f aca="false">IF(Data!J843="","",IFERROR(VLOOKUP(Data!J843,Codes!$A$29:$B$30,2,FALSE()),"Invalid ("&amp;Data!J843&amp;")"))</f>
        <v>Yes</v>
      </c>
      <c r="K843" s="21" t="n">
        <f aca="false">IF(Data!K843="","",Data!K843)</f>
        <v>4</v>
      </c>
      <c r="L843" s="28" t="str">
        <f aca="false">IF(Data!L843="","",IFERROR(VLOOKUP(Data!L843,Codes!$A$34:$B$36,2,FALSE()),"Invalid ("&amp;Data!L843&amp;")"))</f>
        <v>Downsloping</v>
      </c>
      <c r="M843" s="20" t="str">
        <f aca="false">IF(Data!M843="","",Data!M843)</f>
        <v/>
      </c>
      <c r="N843" s="28" t="str">
        <f aca="false">IF(Data!N843="","",IFERROR(VLOOKUP(Data!N843,Codes!$A$47:$B$49,2,FALSE()),"Invalid ("&amp;Data!N843&amp;")"))</f>
        <v/>
      </c>
      <c r="O843" s="28" t="str">
        <f aca="false">IF(Data!O843="","",IFERROR(VLOOKUP(Data!O843,Codes!$A$53:$B$57,2,FALSE()),"Invalid ("&amp;Data!O843&amp;")"))</f>
        <v>Disease (3)</v>
      </c>
      <c r="P843" s="22" t="str">
        <f aca="false">IF(Data!P843="","",IFERROR(VLOOKUP(Data!P843,Codes!$A$61:$B$64,2,FALSE()),"Invalid ("&amp;Data!P843&amp;")"))</f>
        <v>VA Medical Center, Long Beach</v>
      </c>
    </row>
    <row r="844" customFormat="false" ht="15" hidden="false" customHeight="false" outlineLevel="0" collapsed="false">
      <c r="A844" s="19" t="n">
        <f aca="false">Data!A844</f>
        <v>843</v>
      </c>
      <c r="B844" s="20" t="n">
        <f aca="false">IF(Data!B844="","",Data!B844)</f>
        <v>54</v>
      </c>
      <c r="C844" s="28" t="str">
        <f aca="false">IF(Data!C844="","",IFERROR(VLOOKUP(Data!C844,Codes!$A$6:$B$7,2,FALSE()),"Invalid ("&amp;Data!C844&amp;")"))</f>
        <v>Male</v>
      </c>
      <c r="D844" s="28" t="str">
        <f aca="false">IF(Data!D844="","",IFERROR(VLOOKUP(Data!D844,Codes!$A$11:$B$14,2,FALSE()),"Invalid ("&amp;Data!D844&amp;")"))</f>
        <v>Asymptomatic</v>
      </c>
      <c r="E844" s="20" t="n">
        <f aca="false">IF(Data!E844="","",Data!E844)</f>
        <v>130</v>
      </c>
      <c r="F844" s="20" t="n">
        <f aca="false">IF(Data!F844="","",Data!F844)</f>
        <v>202</v>
      </c>
      <c r="G844" s="28" t="str">
        <f aca="false">IF(Data!G844="","",IFERROR(VLOOKUP(Data!G844,Codes!$A$18:$B$19,2,FALSE()),"Invalid ("&amp;Data!G844&amp;")"))</f>
        <v>Yes</v>
      </c>
      <c r="H844" s="28" t="str">
        <f aca="false">IF(Data!H844="","",IFERROR(VLOOKUP(Data!H844,Codes!$A$23:$B$25,2,FALSE()),"Invalid ("&amp;Data!H844&amp;")"))</f>
        <v>Normal</v>
      </c>
      <c r="I844" s="20" t="n">
        <f aca="false">IF(Data!I844="","",Data!I844)</f>
        <v>112</v>
      </c>
      <c r="J844" s="28" t="str">
        <f aca="false">IF(Data!J844="","",IFERROR(VLOOKUP(Data!J844,Codes!$A$29:$B$30,2,FALSE()),"Invalid ("&amp;Data!J844&amp;")"))</f>
        <v>Yes</v>
      </c>
      <c r="K844" s="21" t="n">
        <f aca="false">IF(Data!K844="","",Data!K844)</f>
        <v>2</v>
      </c>
      <c r="L844" s="28" t="str">
        <f aca="false">IF(Data!L844="","",IFERROR(VLOOKUP(Data!L844,Codes!$A$34:$B$36,2,FALSE()),"Invalid ("&amp;Data!L844&amp;")"))</f>
        <v>Flat</v>
      </c>
      <c r="M844" s="20" t="str">
        <f aca="false">IF(Data!M844="","",Data!M844)</f>
        <v/>
      </c>
      <c r="N844" s="28" t="str">
        <f aca="false">IF(Data!N844="","",IFERROR(VLOOKUP(Data!N844,Codes!$A$47:$B$49,2,FALSE()),"Invalid ("&amp;Data!N844&amp;")"))</f>
        <v/>
      </c>
      <c r="O844" s="28" t="str">
        <f aca="false">IF(Data!O844="","",IFERROR(VLOOKUP(Data!O844,Codes!$A$53:$B$57,2,FALSE()),"Invalid ("&amp;Data!O844&amp;")"))</f>
        <v>Disease (1)</v>
      </c>
      <c r="P844" s="22" t="str">
        <f aca="false">IF(Data!P844="","",IFERROR(VLOOKUP(Data!P844,Codes!$A$61:$B$64,2,FALSE()),"Invalid ("&amp;Data!P844&amp;")"))</f>
        <v>VA Medical Center, Long Beach</v>
      </c>
    </row>
    <row r="845" customFormat="false" ht="15" hidden="false" customHeight="false" outlineLevel="0" collapsed="false">
      <c r="A845" s="19" t="n">
        <f aca="false">Data!A845</f>
        <v>844</v>
      </c>
      <c r="B845" s="20" t="n">
        <f aca="false">IF(Data!B845="","",Data!B845)</f>
        <v>57</v>
      </c>
      <c r="C845" s="28" t="str">
        <f aca="false">IF(Data!C845="","",IFERROR(VLOOKUP(Data!C845,Codes!$A$6:$B$7,2,FALSE()),"Invalid ("&amp;Data!C845&amp;")"))</f>
        <v>Male</v>
      </c>
      <c r="D845" s="28" t="str">
        <f aca="false">IF(Data!D845="","",IFERROR(VLOOKUP(Data!D845,Codes!$A$11:$B$14,2,FALSE()),"Invalid ("&amp;Data!D845&amp;")"))</f>
        <v>Asymptomatic</v>
      </c>
      <c r="E845" s="20" t="n">
        <f aca="false">IF(Data!E845="","",Data!E845)</f>
        <v>110</v>
      </c>
      <c r="F845" s="20" t="n">
        <f aca="false">IF(Data!F845="","",Data!F845)</f>
        <v>197</v>
      </c>
      <c r="G845" s="28" t="str">
        <f aca="false">IF(Data!G845="","",IFERROR(VLOOKUP(Data!G845,Codes!$A$18:$B$19,2,FALSE()),"Invalid ("&amp;Data!G845&amp;")"))</f>
        <v>No</v>
      </c>
      <c r="H845" s="28" t="str">
        <f aca="false">IF(Data!H845="","",IFERROR(VLOOKUP(Data!H845,Codes!$A$23:$B$25,2,FALSE()),"Invalid ("&amp;Data!H845&amp;")"))</f>
        <v>Left ventricular hypertrophy</v>
      </c>
      <c r="I845" s="20" t="n">
        <f aca="false">IF(Data!I845="","",Data!I845)</f>
        <v>100</v>
      </c>
      <c r="J845" s="28" t="str">
        <f aca="false">IF(Data!J845="","",IFERROR(VLOOKUP(Data!J845,Codes!$A$29:$B$30,2,FALSE()),"Invalid ("&amp;Data!J845&amp;")"))</f>
        <v>No</v>
      </c>
      <c r="K845" s="21" t="n">
        <f aca="false">IF(Data!K845="","",Data!K845)</f>
        <v>0</v>
      </c>
      <c r="L845" s="28" t="str">
        <f aca="false">IF(Data!L845="","",IFERROR(VLOOKUP(Data!L845,Codes!$A$34:$B$36,2,FALSE()),"Invalid ("&amp;Data!L845&amp;")"))</f>
        <v/>
      </c>
      <c r="M845" s="20" t="str">
        <f aca="false">IF(Data!M845="","",Data!M845)</f>
        <v/>
      </c>
      <c r="N845" s="28" t="str">
        <f aca="false">IF(Data!N845="","",IFERROR(VLOOKUP(Data!N845,Codes!$A$47:$B$49,2,FALSE()),"Invalid ("&amp;Data!N845&amp;")"))</f>
        <v/>
      </c>
      <c r="O845" s="28" t="str">
        <f aca="false">IF(Data!O845="","",IFERROR(VLOOKUP(Data!O845,Codes!$A$53:$B$57,2,FALSE()),"Invalid ("&amp;Data!O845&amp;")"))</f>
        <v>No disease</v>
      </c>
      <c r="P845" s="22" t="str">
        <f aca="false">IF(Data!P845="","",IFERROR(VLOOKUP(Data!P845,Codes!$A$61:$B$64,2,FALSE()),"Invalid ("&amp;Data!P845&amp;")"))</f>
        <v>VA Medical Center, Long Beach</v>
      </c>
    </row>
    <row r="846" customFormat="false" ht="15" hidden="false" customHeight="false" outlineLevel="0" collapsed="false">
      <c r="A846" s="19" t="n">
        <f aca="false">Data!A846</f>
        <v>845</v>
      </c>
      <c r="B846" s="20" t="n">
        <f aca="false">IF(Data!B846="","",Data!B846)</f>
        <v>62</v>
      </c>
      <c r="C846" s="28" t="str">
        <f aca="false">IF(Data!C846="","",IFERROR(VLOOKUP(Data!C846,Codes!$A$6:$B$7,2,FALSE()),"Invalid ("&amp;Data!C846&amp;")"))</f>
        <v>Male</v>
      </c>
      <c r="D846" s="28" t="str">
        <f aca="false">IF(Data!D846="","",IFERROR(VLOOKUP(Data!D846,Codes!$A$11:$B$14,2,FALSE()),"Invalid ("&amp;Data!D846&amp;")"))</f>
        <v>Non-anginal pain</v>
      </c>
      <c r="E846" s="20" t="str">
        <f aca="false">IF(Data!E846="","",Data!E846)</f>
        <v/>
      </c>
      <c r="F846" s="20" t="n">
        <f aca="false">IF(Data!F846="","",Data!F846)</f>
        <v>204</v>
      </c>
      <c r="G846" s="28" t="str">
        <f aca="false">IF(Data!G846="","",IFERROR(VLOOKUP(Data!G846,Codes!$A$18:$B$19,2,FALSE()),"Invalid ("&amp;Data!G846&amp;")"))</f>
        <v>No</v>
      </c>
      <c r="H846" s="28" t="str">
        <f aca="false">IF(Data!H846="","",IFERROR(VLOOKUP(Data!H846,Codes!$A$23:$B$25,2,FALSE()),"Invalid ("&amp;Data!H846&amp;")"))</f>
        <v>ST-T wave abnormality</v>
      </c>
      <c r="I846" s="20" t="str">
        <f aca="false">IF(Data!I846="","",Data!I846)</f>
        <v/>
      </c>
      <c r="J846" s="28" t="str">
        <f aca="false">IF(Data!J846="","",IFERROR(VLOOKUP(Data!J846,Codes!$A$29:$B$30,2,FALSE()),"Invalid ("&amp;Data!J846&amp;")"))</f>
        <v/>
      </c>
      <c r="K846" s="21" t="str">
        <f aca="false">IF(Data!K846="","",Data!K846)</f>
        <v/>
      </c>
      <c r="L846" s="28" t="str">
        <f aca="false">IF(Data!L846="","",IFERROR(VLOOKUP(Data!L846,Codes!$A$34:$B$36,2,FALSE()),"Invalid ("&amp;Data!L846&amp;")"))</f>
        <v/>
      </c>
      <c r="M846" s="20" t="str">
        <f aca="false">IF(Data!M846="","",Data!M846)</f>
        <v/>
      </c>
      <c r="N846" s="28" t="str">
        <f aca="false">IF(Data!N846="","",IFERROR(VLOOKUP(Data!N846,Codes!$A$47:$B$49,2,FALSE()),"Invalid ("&amp;Data!N846&amp;")"))</f>
        <v/>
      </c>
      <c r="O846" s="28" t="str">
        <f aca="false">IF(Data!O846="","",IFERROR(VLOOKUP(Data!O846,Codes!$A$53:$B$57,2,FALSE()),"Invalid ("&amp;Data!O846&amp;")"))</f>
        <v>Disease (1)</v>
      </c>
      <c r="P846" s="22" t="str">
        <f aca="false">IF(Data!P846="","",IFERROR(VLOOKUP(Data!P846,Codes!$A$61:$B$64,2,FALSE()),"Invalid ("&amp;Data!P846&amp;")"))</f>
        <v>VA Medical Center, Long Beach</v>
      </c>
    </row>
    <row r="847" customFormat="false" ht="15" hidden="false" customHeight="false" outlineLevel="0" collapsed="false">
      <c r="A847" s="19" t="n">
        <f aca="false">Data!A847</f>
        <v>846</v>
      </c>
      <c r="B847" s="20" t="n">
        <f aca="false">IF(Data!B847="","",Data!B847)</f>
        <v>76</v>
      </c>
      <c r="C847" s="28" t="str">
        <f aca="false">IF(Data!C847="","",IFERROR(VLOOKUP(Data!C847,Codes!$A$6:$B$7,2,FALSE()),"Invalid ("&amp;Data!C847&amp;")"))</f>
        <v>Male</v>
      </c>
      <c r="D847" s="28" t="str">
        <f aca="false">IF(Data!D847="","",IFERROR(VLOOKUP(Data!D847,Codes!$A$11:$B$14,2,FALSE()),"Invalid ("&amp;Data!D847&amp;")"))</f>
        <v>Non-anginal pain</v>
      </c>
      <c r="E847" s="20" t="n">
        <f aca="false">IF(Data!E847="","",Data!E847)</f>
        <v>104</v>
      </c>
      <c r="F847" s="20" t="str">
        <f aca="false">IF(Data!F847="","",Data!F847)</f>
        <v/>
      </c>
      <c r="G847" s="28" t="str">
        <f aca="false">IF(Data!G847="","",IFERROR(VLOOKUP(Data!G847,Codes!$A$18:$B$19,2,FALSE()),"Invalid ("&amp;Data!G847&amp;")"))</f>
        <v>No</v>
      </c>
      <c r="H847" s="28" t="str">
        <f aca="false">IF(Data!H847="","",IFERROR(VLOOKUP(Data!H847,Codes!$A$23:$B$25,2,FALSE()),"Invalid ("&amp;Data!H847&amp;")"))</f>
        <v>Left ventricular hypertrophy</v>
      </c>
      <c r="I847" s="20" t="n">
        <f aca="false">IF(Data!I847="","",Data!I847)</f>
        <v>120</v>
      </c>
      <c r="J847" s="28" t="str">
        <f aca="false">IF(Data!J847="","",IFERROR(VLOOKUP(Data!J847,Codes!$A$29:$B$30,2,FALSE()),"Invalid ("&amp;Data!J847&amp;")"))</f>
        <v>No</v>
      </c>
      <c r="K847" s="21" t="n">
        <f aca="false">IF(Data!K847="","",Data!K847)</f>
        <v>3.5</v>
      </c>
      <c r="L847" s="28" t="str">
        <f aca="false">IF(Data!L847="","",IFERROR(VLOOKUP(Data!L847,Codes!$A$34:$B$36,2,FALSE()),"Invalid ("&amp;Data!L847&amp;")"))</f>
        <v>Downsloping</v>
      </c>
      <c r="M847" s="20" t="str">
        <f aca="false">IF(Data!M847="","",Data!M847)</f>
        <v/>
      </c>
      <c r="N847" s="28" t="str">
        <f aca="false">IF(Data!N847="","",IFERROR(VLOOKUP(Data!N847,Codes!$A$47:$B$49,2,FALSE()),"Invalid ("&amp;Data!N847&amp;")"))</f>
        <v/>
      </c>
      <c r="O847" s="28" t="str">
        <f aca="false">IF(Data!O847="","",IFERROR(VLOOKUP(Data!O847,Codes!$A$53:$B$57,2,FALSE()),"Invalid ("&amp;Data!O847&amp;")"))</f>
        <v>Disease (4)</v>
      </c>
      <c r="P847" s="22" t="str">
        <f aca="false">IF(Data!P847="","",IFERROR(VLOOKUP(Data!P847,Codes!$A$61:$B$64,2,FALSE()),"Invalid ("&amp;Data!P847&amp;")"))</f>
        <v>VA Medical Center, Long Beach</v>
      </c>
    </row>
    <row r="848" customFormat="false" ht="15" hidden="false" customHeight="false" outlineLevel="0" collapsed="false">
      <c r="A848" s="19" t="n">
        <f aca="false">Data!A848</f>
        <v>847</v>
      </c>
      <c r="B848" s="20" t="n">
        <f aca="false">IF(Data!B848="","",Data!B848)</f>
        <v>54</v>
      </c>
      <c r="C848" s="28" t="str">
        <f aca="false">IF(Data!C848="","",IFERROR(VLOOKUP(Data!C848,Codes!$A$6:$B$7,2,FALSE()),"Invalid ("&amp;Data!C848&amp;")"))</f>
        <v>Female</v>
      </c>
      <c r="D848" s="28" t="str">
        <f aca="false">IF(Data!D848="","",IFERROR(VLOOKUP(Data!D848,Codes!$A$11:$B$14,2,FALSE()),"Invalid ("&amp;Data!D848&amp;")"))</f>
        <v>Asymptomatic</v>
      </c>
      <c r="E848" s="20" t="n">
        <f aca="false">IF(Data!E848="","",Data!E848)</f>
        <v>138</v>
      </c>
      <c r="F848" s="20" t="n">
        <f aca="false">IF(Data!F848="","",Data!F848)</f>
        <v>274</v>
      </c>
      <c r="G848" s="28" t="str">
        <f aca="false">IF(Data!G848="","",IFERROR(VLOOKUP(Data!G848,Codes!$A$18:$B$19,2,FALSE()),"Invalid ("&amp;Data!G848&amp;")"))</f>
        <v>No</v>
      </c>
      <c r="H848" s="28" t="str">
        <f aca="false">IF(Data!H848="","",IFERROR(VLOOKUP(Data!H848,Codes!$A$23:$B$25,2,FALSE()),"Invalid ("&amp;Data!H848&amp;")"))</f>
        <v>Normal</v>
      </c>
      <c r="I848" s="20" t="n">
        <f aca="false">IF(Data!I848="","",Data!I848)</f>
        <v>105</v>
      </c>
      <c r="J848" s="28" t="str">
        <f aca="false">IF(Data!J848="","",IFERROR(VLOOKUP(Data!J848,Codes!$A$29:$B$30,2,FALSE()),"Invalid ("&amp;Data!J848&amp;")"))</f>
        <v>Yes</v>
      </c>
      <c r="K848" s="21" t="n">
        <f aca="false">IF(Data!K848="","",Data!K848)</f>
        <v>1.5</v>
      </c>
      <c r="L848" s="28" t="str">
        <f aca="false">IF(Data!L848="","",IFERROR(VLOOKUP(Data!L848,Codes!$A$34:$B$36,2,FALSE()),"Invalid ("&amp;Data!L848&amp;")"))</f>
        <v>Flat</v>
      </c>
      <c r="M848" s="20" t="str">
        <f aca="false">IF(Data!M848="","",Data!M848)</f>
        <v/>
      </c>
      <c r="N848" s="28" t="str">
        <f aca="false">IF(Data!N848="","",IFERROR(VLOOKUP(Data!N848,Codes!$A$47:$B$49,2,FALSE()),"Invalid ("&amp;Data!N848&amp;")"))</f>
        <v/>
      </c>
      <c r="O848" s="28" t="str">
        <f aca="false">IF(Data!O848="","",IFERROR(VLOOKUP(Data!O848,Codes!$A$53:$B$57,2,FALSE()),"Invalid ("&amp;Data!O848&amp;")"))</f>
        <v>Disease (1)</v>
      </c>
      <c r="P848" s="22" t="str">
        <f aca="false">IF(Data!P848="","",IFERROR(VLOOKUP(Data!P848,Codes!$A$61:$B$64,2,FALSE()),"Invalid ("&amp;Data!P848&amp;")"))</f>
        <v>VA Medical Center, Long Beach</v>
      </c>
    </row>
    <row r="849" customFormat="false" ht="15" hidden="false" customHeight="false" outlineLevel="0" collapsed="false">
      <c r="A849" s="19" t="n">
        <f aca="false">Data!A849</f>
        <v>848</v>
      </c>
      <c r="B849" s="20" t="n">
        <f aca="false">IF(Data!B849="","",Data!B849)</f>
        <v>70</v>
      </c>
      <c r="C849" s="28" t="str">
        <f aca="false">IF(Data!C849="","",IFERROR(VLOOKUP(Data!C849,Codes!$A$6:$B$7,2,FALSE()),"Invalid ("&amp;Data!C849&amp;")"))</f>
        <v>Male</v>
      </c>
      <c r="D849" s="28" t="str">
        <f aca="false">IF(Data!D849="","",IFERROR(VLOOKUP(Data!D849,Codes!$A$11:$B$14,2,FALSE()),"Invalid ("&amp;Data!D849&amp;")"))</f>
        <v>Asymptomatic</v>
      </c>
      <c r="E849" s="20" t="n">
        <f aca="false">IF(Data!E849="","",Data!E849)</f>
        <v>170</v>
      </c>
      <c r="F849" s="20" t="n">
        <f aca="false">IF(Data!F849="","",Data!F849)</f>
        <v>192</v>
      </c>
      <c r="G849" s="28" t="str">
        <f aca="false">IF(Data!G849="","",IFERROR(VLOOKUP(Data!G849,Codes!$A$18:$B$19,2,FALSE()),"Invalid ("&amp;Data!G849&amp;")"))</f>
        <v>No</v>
      </c>
      <c r="H849" s="28" t="str">
        <f aca="false">IF(Data!H849="","",IFERROR(VLOOKUP(Data!H849,Codes!$A$23:$B$25,2,FALSE()),"Invalid ("&amp;Data!H849&amp;")"))</f>
        <v>ST-T wave abnormality</v>
      </c>
      <c r="I849" s="20" t="n">
        <f aca="false">IF(Data!I849="","",Data!I849)</f>
        <v>129</v>
      </c>
      <c r="J849" s="28" t="str">
        <f aca="false">IF(Data!J849="","",IFERROR(VLOOKUP(Data!J849,Codes!$A$29:$B$30,2,FALSE()),"Invalid ("&amp;Data!J849&amp;")"))</f>
        <v>Yes</v>
      </c>
      <c r="K849" s="21" t="n">
        <f aca="false">IF(Data!K849="","",Data!K849)</f>
        <v>3</v>
      </c>
      <c r="L849" s="28" t="str">
        <f aca="false">IF(Data!L849="","",IFERROR(VLOOKUP(Data!L849,Codes!$A$34:$B$36,2,FALSE()),"Invalid ("&amp;Data!L849&amp;")"))</f>
        <v>Downsloping</v>
      </c>
      <c r="M849" s="20" t="str">
        <f aca="false">IF(Data!M849="","",Data!M849)</f>
        <v/>
      </c>
      <c r="N849" s="28" t="str">
        <f aca="false">IF(Data!N849="","",IFERROR(VLOOKUP(Data!N849,Codes!$A$47:$B$49,2,FALSE()),"Invalid ("&amp;Data!N849&amp;")"))</f>
        <v/>
      </c>
      <c r="O849" s="28" t="str">
        <f aca="false">IF(Data!O849="","",IFERROR(VLOOKUP(Data!O849,Codes!$A$53:$B$57,2,FALSE()),"Invalid ("&amp;Data!O849&amp;")"))</f>
        <v>Disease (2)</v>
      </c>
      <c r="P849" s="22" t="str">
        <f aca="false">IF(Data!P849="","",IFERROR(VLOOKUP(Data!P849,Codes!$A$61:$B$64,2,FALSE()),"Invalid ("&amp;Data!P849&amp;")"))</f>
        <v>VA Medical Center, Long Beach</v>
      </c>
    </row>
    <row r="850" customFormat="false" ht="15" hidden="false" customHeight="false" outlineLevel="0" collapsed="false">
      <c r="A850" s="19" t="n">
        <f aca="false">Data!A850</f>
        <v>849</v>
      </c>
      <c r="B850" s="20" t="n">
        <f aca="false">IF(Data!B850="","",Data!B850)</f>
        <v>61</v>
      </c>
      <c r="C850" s="28" t="str">
        <f aca="false">IF(Data!C850="","",IFERROR(VLOOKUP(Data!C850,Codes!$A$6:$B$7,2,FALSE()),"Invalid ("&amp;Data!C850&amp;")"))</f>
        <v>Female</v>
      </c>
      <c r="D850" s="28" t="str">
        <f aca="false">IF(Data!D850="","",IFERROR(VLOOKUP(Data!D850,Codes!$A$11:$B$14,2,FALSE()),"Invalid ("&amp;Data!D850&amp;")"))</f>
        <v>Atypical angina</v>
      </c>
      <c r="E850" s="20" t="n">
        <f aca="false">IF(Data!E850="","",Data!E850)</f>
        <v>140</v>
      </c>
      <c r="F850" s="20" t="n">
        <f aca="false">IF(Data!F850="","",Data!F850)</f>
        <v>298</v>
      </c>
      <c r="G850" s="28" t="str">
        <f aca="false">IF(Data!G850="","",IFERROR(VLOOKUP(Data!G850,Codes!$A$18:$B$19,2,FALSE()),"Invalid ("&amp;Data!G850&amp;")"))</f>
        <v>Yes</v>
      </c>
      <c r="H850" s="28" t="str">
        <f aca="false">IF(Data!H850="","",IFERROR(VLOOKUP(Data!H850,Codes!$A$23:$B$25,2,FALSE()),"Invalid ("&amp;Data!H850&amp;")"))</f>
        <v>Normal</v>
      </c>
      <c r="I850" s="20" t="n">
        <f aca="false">IF(Data!I850="","",Data!I850)</f>
        <v>120</v>
      </c>
      <c r="J850" s="28" t="str">
        <f aca="false">IF(Data!J850="","",IFERROR(VLOOKUP(Data!J850,Codes!$A$29:$B$30,2,FALSE()),"Invalid ("&amp;Data!J850&amp;")"))</f>
        <v>Yes</v>
      </c>
      <c r="K850" s="21" t="n">
        <f aca="false">IF(Data!K850="","",Data!K850)</f>
        <v>0</v>
      </c>
      <c r="L850" s="28" t="str">
        <f aca="false">IF(Data!L850="","",IFERROR(VLOOKUP(Data!L850,Codes!$A$34:$B$36,2,FALSE()),"Invalid ("&amp;Data!L850&amp;")"))</f>
        <v/>
      </c>
      <c r="M850" s="20" t="str">
        <f aca="false">IF(Data!M850="","",Data!M850)</f>
        <v/>
      </c>
      <c r="N850" s="28" t="str">
        <f aca="false">IF(Data!N850="","",IFERROR(VLOOKUP(Data!N850,Codes!$A$47:$B$49,2,FALSE()),"Invalid ("&amp;Data!N850&amp;")"))</f>
        <v>Reversible defect</v>
      </c>
      <c r="O850" s="28" t="str">
        <f aca="false">IF(Data!O850="","",IFERROR(VLOOKUP(Data!O850,Codes!$A$53:$B$57,2,FALSE()),"Invalid ("&amp;Data!O850&amp;")"))</f>
        <v>No disease</v>
      </c>
      <c r="P850" s="22" t="str">
        <f aca="false">IF(Data!P850="","",IFERROR(VLOOKUP(Data!P850,Codes!$A$61:$B$64,2,FALSE()),"Invalid ("&amp;Data!P850&amp;")"))</f>
        <v>VA Medical Center, Long Beach</v>
      </c>
    </row>
    <row r="851" customFormat="false" ht="15" hidden="false" customHeight="false" outlineLevel="0" collapsed="false">
      <c r="A851" s="19" t="n">
        <f aca="false">Data!A851</f>
        <v>850</v>
      </c>
      <c r="B851" s="20" t="n">
        <f aca="false">IF(Data!B851="","",Data!B851)</f>
        <v>48</v>
      </c>
      <c r="C851" s="28" t="str">
        <f aca="false">IF(Data!C851="","",IFERROR(VLOOKUP(Data!C851,Codes!$A$6:$B$7,2,FALSE()),"Invalid ("&amp;Data!C851&amp;")"))</f>
        <v>Male</v>
      </c>
      <c r="D851" s="28" t="str">
        <f aca="false">IF(Data!D851="","",IFERROR(VLOOKUP(Data!D851,Codes!$A$11:$B$14,2,FALSE()),"Invalid ("&amp;Data!D851&amp;")"))</f>
        <v>Asymptomatic</v>
      </c>
      <c r="E851" s="20" t="str">
        <f aca="false">IF(Data!E851="","",Data!E851)</f>
        <v/>
      </c>
      <c r="F851" s="20" t="n">
        <f aca="false">IF(Data!F851="","",Data!F851)</f>
        <v>272</v>
      </c>
      <c r="G851" s="28" t="str">
        <f aca="false">IF(Data!G851="","",IFERROR(VLOOKUP(Data!G851,Codes!$A$18:$B$19,2,FALSE()),"Invalid ("&amp;Data!G851&amp;")"))</f>
        <v>No</v>
      </c>
      <c r="H851" s="28" t="str">
        <f aca="false">IF(Data!H851="","",IFERROR(VLOOKUP(Data!H851,Codes!$A$23:$B$25,2,FALSE()),"Invalid ("&amp;Data!H851&amp;")"))</f>
        <v>ST-T wave abnormality</v>
      </c>
      <c r="I851" s="20" t="str">
        <f aca="false">IF(Data!I851="","",Data!I851)</f>
        <v/>
      </c>
      <c r="J851" s="28" t="str">
        <f aca="false">IF(Data!J851="","",IFERROR(VLOOKUP(Data!J851,Codes!$A$29:$B$30,2,FALSE()),"Invalid ("&amp;Data!J851&amp;")"))</f>
        <v/>
      </c>
      <c r="K851" s="21" t="str">
        <f aca="false">IF(Data!K851="","",Data!K851)</f>
        <v/>
      </c>
      <c r="L851" s="28" t="str">
        <f aca="false">IF(Data!L851="","",IFERROR(VLOOKUP(Data!L851,Codes!$A$34:$B$36,2,FALSE()),"Invalid ("&amp;Data!L851&amp;")"))</f>
        <v/>
      </c>
      <c r="M851" s="20" t="str">
        <f aca="false">IF(Data!M851="","",Data!M851)</f>
        <v/>
      </c>
      <c r="N851" s="28" t="str">
        <f aca="false">IF(Data!N851="","",IFERROR(VLOOKUP(Data!N851,Codes!$A$47:$B$49,2,FALSE()),"Invalid ("&amp;Data!N851&amp;")"))</f>
        <v/>
      </c>
      <c r="O851" s="28" t="str">
        <f aca="false">IF(Data!O851="","",IFERROR(VLOOKUP(Data!O851,Codes!$A$53:$B$57,2,FALSE()),"Invalid ("&amp;Data!O851&amp;")"))</f>
        <v>No disease</v>
      </c>
      <c r="P851" s="22" t="str">
        <f aca="false">IF(Data!P851="","",IFERROR(VLOOKUP(Data!P851,Codes!$A$61:$B$64,2,FALSE()),"Invalid ("&amp;Data!P851&amp;")"))</f>
        <v>VA Medical Center, Long Beach</v>
      </c>
    </row>
    <row r="852" customFormat="false" ht="15" hidden="false" customHeight="false" outlineLevel="0" collapsed="false">
      <c r="A852" s="19" t="n">
        <f aca="false">Data!A852</f>
        <v>851</v>
      </c>
      <c r="B852" s="20" t="n">
        <f aca="false">IF(Data!B852="","",Data!B852)</f>
        <v>48</v>
      </c>
      <c r="C852" s="28" t="str">
        <f aca="false">IF(Data!C852="","",IFERROR(VLOOKUP(Data!C852,Codes!$A$6:$B$7,2,FALSE()),"Invalid ("&amp;Data!C852&amp;")"))</f>
        <v>Male</v>
      </c>
      <c r="D852" s="28" t="str">
        <f aca="false">IF(Data!D852="","",IFERROR(VLOOKUP(Data!D852,Codes!$A$11:$B$14,2,FALSE()),"Invalid ("&amp;Data!D852&amp;")"))</f>
        <v>Non-anginal pain</v>
      </c>
      <c r="E852" s="20" t="n">
        <f aca="false">IF(Data!E852="","",Data!E852)</f>
        <v>132</v>
      </c>
      <c r="F852" s="20" t="n">
        <f aca="false">IF(Data!F852="","",Data!F852)</f>
        <v>220</v>
      </c>
      <c r="G852" s="28" t="str">
        <f aca="false">IF(Data!G852="","",IFERROR(VLOOKUP(Data!G852,Codes!$A$18:$B$19,2,FALSE()),"Invalid ("&amp;Data!G852&amp;")"))</f>
        <v>Yes</v>
      </c>
      <c r="H852" s="28" t="str">
        <f aca="false">IF(Data!H852="","",IFERROR(VLOOKUP(Data!H852,Codes!$A$23:$B$25,2,FALSE()),"Invalid ("&amp;Data!H852&amp;")"))</f>
        <v>ST-T wave abnormality</v>
      </c>
      <c r="I852" s="20" t="n">
        <f aca="false">IF(Data!I852="","",Data!I852)</f>
        <v>162</v>
      </c>
      <c r="J852" s="28" t="str">
        <f aca="false">IF(Data!J852="","",IFERROR(VLOOKUP(Data!J852,Codes!$A$29:$B$30,2,FALSE()),"Invalid ("&amp;Data!J852&amp;")"))</f>
        <v>No</v>
      </c>
      <c r="K852" s="21" t="n">
        <f aca="false">IF(Data!K852="","",Data!K852)</f>
        <v>0</v>
      </c>
      <c r="L852" s="28" t="str">
        <f aca="false">IF(Data!L852="","",IFERROR(VLOOKUP(Data!L852,Codes!$A$34:$B$36,2,FALSE()),"Invalid ("&amp;Data!L852&amp;")"))</f>
        <v/>
      </c>
      <c r="M852" s="20" t="str">
        <f aca="false">IF(Data!M852="","",Data!M852)</f>
        <v/>
      </c>
      <c r="N852" s="28" t="str">
        <f aca="false">IF(Data!N852="","",IFERROR(VLOOKUP(Data!N852,Codes!$A$47:$B$49,2,FALSE()),"Invalid ("&amp;Data!N852&amp;")"))</f>
        <v>Fixed defect</v>
      </c>
      <c r="O852" s="28" t="str">
        <f aca="false">IF(Data!O852="","",IFERROR(VLOOKUP(Data!O852,Codes!$A$53:$B$57,2,FALSE()),"Invalid ("&amp;Data!O852&amp;")"))</f>
        <v>Disease (1)</v>
      </c>
      <c r="P852" s="22" t="str">
        <f aca="false">IF(Data!P852="","",IFERROR(VLOOKUP(Data!P852,Codes!$A$61:$B$64,2,FALSE()),"Invalid ("&amp;Data!P852&amp;")"))</f>
        <v>VA Medical Center, Long Beach</v>
      </c>
    </row>
    <row r="853" customFormat="false" ht="15" hidden="false" customHeight="false" outlineLevel="0" collapsed="false">
      <c r="A853" s="19" t="n">
        <f aca="false">Data!A853</f>
        <v>852</v>
      </c>
      <c r="B853" s="20" t="n">
        <f aca="false">IF(Data!B853="","",Data!B853)</f>
        <v>61</v>
      </c>
      <c r="C853" s="28" t="str">
        <f aca="false">IF(Data!C853="","",IFERROR(VLOOKUP(Data!C853,Codes!$A$6:$B$7,2,FALSE()),"Invalid ("&amp;Data!C853&amp;")"))</f>
        <v>Male</v>
      </c>
      <c r="D853" s="28" t="str">
        <f aca="false">IF(Data!D853="","",IFERROR(VLOOKUP(Data!D853,Codes!$A$11:$B$14,2,FALSE()),"Invalid ("&amp;Data!D853&amp;")"))</f>
        <v>Typical angina</v>
      </c>
      <c r="E853" s="20" t="n">
        <f aca="false">IF(Data!E853="","",Data!E853)</f>
        <v>142</v>
      </c>
      <c r="F853" s="20" t="n">
        <f aca="false">IF(Data!F853="","",Data!F853)</f>
        <v>200</v>
      </c>
      <c r="G853" s="28" t="str">
        <f aca="false">IF(Data!G853="","",IFERROR(VLOOKUP(Data!G853,Codes!$A$18:$B$19,2,FALSE()),"Invalid ("&amp;Data!G853&amp;")"))</f>
        <v>Yes</v>
      </c>
      <c r="H853" s="28" t="str">
        <f aca="false">IF(Data!H853="","",IFERROR(VLOOKUP(Data!H853,Codes!$A$23:$B$25,2,FALSE()),"Invalid ("&amp;Data!H853&amp;")"))</f>
        <v>ST-T wave abnormality</v>
      </c>
      <c r="I853" s="20" t="n">
        <f aca="false">IF(Data!I853="","",Data!I853)</f>
        <v>100</v>
      </c>
      <c r="J853" s="28" t="str">
        <f aca="false">IF(Data!J853="","",IFERROR(VLOOKUP(Data!J853,Codes!$A$29:$B$30,2,FALSE()),"Invalid ("&amp;Data!J853&amp;")"))</f>
        <v>No</v>
      </c>
      <c r="K853" s="21" t="n">
        <f aca="false">IF(Data!K853="","",Data!K853)</f>
        <v>1.5</v>
      </c>
      <c r="L853" s="28" t="str">
        <f aca="false">IF(Data!L853="","",IFERROR(VLOOKUP(Data!L853,Codes!$A$34:$B$36,2,FALSE()),"Invalid ("&amp;Data!L853&amp;")"))</f>
        <v>Downsloping</v>
      </c>
      <c r="M853" s="20" t="str">
        <f aca="false">IF(Data!M853="","",Data!M853)</f>
        <v/>
      </c>
      <c r="N853" s="28" t="str">
        <f aca="false">IF(Data!N853="","",IFERROR(VLOOKUP(Data!N853,Codes!$A$47:$B$49,2,FALSE()),"Invalid ("&amp;Data!N853&amp;")"))</f>
        <v/>
      </c>
      <c r="O853" s="28" t="str">
        <f aca="false">IF(Data!O853="","",IFERROR(VLOOKUP(Data!O853,Codes!$A$53:$B$57,2,FALSE()),"Invalid ("&amp;Data!O853&amp;")"))</f>
        <v>Disease (3)</v>
      </c>
      <c r="P853" s="22" t="str">
        <f aca="false">IF(Data!P853="","",IFERROR(VLOOKUP(Data!P853,Codes!$A$61:$B$64,2,FALSE()),"Invalid ("&amp;Data!P853&amp;")"))</f>
        <v>VA Medical Center, Long Beach</v>
      </c>
    </row>
    <row r="854" customFormat="false" ht="15" hidden="false" customHeight="false" outlineLevel="0" collapsed="false">
      <c r="A854" s="19" t="n">
        <f aca="false">Data!A854</f>
        <v>853</v>
      </c>
      <c r="B854" s="20" t="n">
        <f aca="false">IF(Data!B854="","",Data!B854)</f>
        <v>66</v>
      </c>
      <c r="C854" s="28" t="str">
        <f aca="false">IF(Data!C854="","",IFERROR(VLOOKUP(Data!C854,Codes!$A$6:$B$7,2,FALSE()),"Invalid ("&amp;Data!C854&amp;")"))</f>
        <v>Male</v>
      </c>
      <c r="D854" s="28" t="str">
        <f aca="false">IF(Data!D854="","",IFERROR(VLOOKUP(Data!D854,Codes!$A$11:$B$14,2,FALSE()),"Invalid ("&amp;Data!D854&amp;")"))</f>
        <v>Asymptomatic</v>
      </c>
      <c r="E854" s="20" t="n">
        <f aca="false">IF(Data!E854="","",Data!E854)</f>
        <v>112</v>
      </c>
      <c r="F854" s="20" t="n">
        <f aca="false">IF(Data!F854="","",Data!F854)</f>
        <v>261</v>
      </c>
      <c r="G854" s="28" t="str">
        <f aca="false">IF(Data!G854="","",IFERROR(VLOOKUP(Data!G854,Codes!$A$18:$B$19,2,FALSE()),"Invalid ("&amp;Data!G854&amp;")"))</f>
        <v>No</v>
      </c>
      <c r="H854" s="28" t="str">
        <f aca="false">IF(Data!H854="","",IFERROR(VLOOKUP(Data!H854,Codes!$A$23:$B$25,2,FALSE()),"Invalid ("&amp;Data!H854&amp;")"))</f>
        <v>Normal</v>
      </c>
      <c r="I854" s="20" t="n">
        <f aca="false">IF(Data!I854="","",Data!I854)</f>
        <v>140</v>
      </c>
      <c r="J854" s="28" t="str">
        <f aca="false">IF(Data!J854="","",IFERROR(VLOOKUP(Data!J854,Codes!$A$29:$B$30,2,FALSE()),"Invalid ("&amp;Data!J854&amp;")"))</f>
        <v>No</v>
      </c>
      <c r="K854" s="21" t="n">
        <f aca="false">IF(Data!K854="","",Data!K854)</f>
        <v>1.5</v>
      </c>
      <c r="L854" s="28" t="str">
        <f aca="false">IF(Data!L854="","",IFERROR(VLOOKUP(Data!L854,Codes!$A$34:$B$36,2,FALSE()),"Invalid ("&amp;Data!L854&amp;")"))</f>
        <v>Upsloping</v>
      </c>
      <c r="M854" s="20" t="str">
        <f aca="false">IF(Data!M854="","",Data!M854)</f>
        <v/>
      </c>
      <c r="N854" s="28" t="str">
        <f aca="false">IF(Data!N854="","",IFERROR(VLOOKUP(Data!N854,Codes!$A$47:$B$49,2,FALSE()),"Invalid ("&amp;Data!N854&amp;")"))</f>
        <v/>
      </c>
      <c r="O854" s="28" t="str">
        <f aca="false">IF(Data!O854="","",IFERROR(VLOOKUP(Data!O854,Codes!$A$53:$B$57,2,FALSE()),"Invalid ("&amp;Data!O854&amp;")"))</f>
        <v>Disease (1)</v>
      </c>
      <c r="P854" s="22" t="str">
        <f aca="false">IF(Data!P854="","",IFERROR(VLOOKUP(Data!P854,Codes!$A$61:$B$64,2,FALSE()),"Invalid ("&amp;Data!P854&amp;")"))</f>
        <v>VA Medical Center, Long Beach</v>
      </c>
    </row>
    <row r="855" customFormat="false" ht="15" hidden="false" customHeight="false" outlineLevel="0" collapsed="false">
      <c r="A855" s="19" t="n">
        <f aca="false">Data!A855</f>
        <v>854</v>
      </c>
      <c r="B855" s="20" t="n">
        <f aca="false">IF(Data!B855="","",Data!B855)</f>
        <v>68</v>
      </c>
      <c r="C855" s="28" t="str">
        <f aca="false">IF(Data!C855="","",IFERROR(VLOOKUP(Data!C855,Codes!$A$6:$B$7,2,FALSE()),"Invalid ("&amp;Data!C855&amp;")"))</f>
        <v>Male</v>
      </c>
      <c r="D855" s="28" t="str">
        <f aca="false">IF(Data!D855="","",IFERROR(VLOOKUP(Data!D855,Codes!$A$11:$B$14,2,FALSE()),"Invalid ("&amp;Data!D855&amp;")"))</f>
        <v>Typical angina</v>
      </c>
      <c r="E855" s="20" t="str">
        <f aca="false">IF(Data!E855="","",Data!E855)</f>
        <v/>
      </c>
      <c r="F855" s="20" t="n">
        <f aca="false">IF(Data!F855="","",Data!F855)</f>
        <v>181</v>
      </c>
      <c r="G855" s="28" t="str">
        <f aca="false">IF(Data!G855="","",IFERROR(VLOOKUP(Data!G855,Codes!$A$18:$B$19,2,FALSE()),"Invalid ("&amp;Data!G855&amp;")"))</f>
        <v>Yes</v>
      </c>
      <c r="H855" s="28" t="str">
        <f aca="false">IF(Data!H855="","",IFERROR(VLOOKUP(Data!H855,Codes!$A$23:$B$25,2,FALSE()),"Invalid ("&amp;Data!H855&amp;")"))</f>
        <v>ST-T wave abnormality</v>
      </c>
      <c r="I855" s="20" t="str">
        <f aca="false">IF(Data!I855="","",Data!I855)</f>
        <v/>
      </c>
      <c r="J855" s="28" t="str">
        <f aca="false">IF(Data!J855="","",IFERROR(VLOOKUP(Data!J855,Codes!$A$29:$B$30,2,FALSE()),"Invalid ("&amp;Data!J855&amp;")"))</f>
        <v/>
      </c>
      <c r="K855" s="21" t="str">
        <f aca="false">IF(Data!K855="","",Data!K855)</f>
        <v/>
      </c>
      <c r="L855" s="28" t="str">
        <f aca="false">IF(Data!L855="","",IFERROR(VLOOKUP(Data!L855,Codes!$A$34:$B$36,2,FALSE()),"Invalid ("&amp;Data!L855&amp;")"))</f>
        <v/>
      </c>
      <c r="M855" s="20" t="str">
        <f aca="false">IF(Data!M855="","",Data!M855)</f>
        <v/>
      </c>
      <c r="N855" s="28" t="str">
        <f aca="false">IF(Data!N855="","",IFERROR(VLOOKUP(Data!N855,Codes!$A$47:$B$49,2,FALSE()),"Invalid ("&amp;Data!N855&amp;")"))</f>
        <v/>
      </c>
      <c r="O855" s="28" t="str">
        <f aca="false">IF(Data!O855="","",IFERROR(VLOOKUP(Data!O855,Codes!$A$53:$B$57,2,FALSE()),"Invalid ("&amp;Data!O855&amp;")"))</f>
        <v>No disease</v>
      </c>
      <c r="P855" s="22" t="str">
        <f aca="false">IF(Data!P855="","",IFERROR(VLOOKUP(Data!P855,Codes!$A$61:$B$64,2,FALSE()),"Invalid ("&amp;Data!P855&amp;")"))</f>
        <v>VA Medical Center, Long Beach</v>
      </c>
    </row>
    <row r="856" customFormat="false" ht="15" hidden="false" customHeight="false" outlineLevel="0" collapsed="false">
      <c r="A856" s="19" t="n">
        <f aca="false">Data!A856</f>
        <v>855</v>
      </c>
      <c r="B856" s="20" t="n">
        <f aca="false">IF(Data!B856="","",Data!B856)</f>
        <v>55</v>
      </c>
      <c r="C856" s="28" t="str">
        <f aca="false">IF(Data!C856="","",IFERROR(VLOOKUP(Data!C856,Codes!$A$6:$B$7,2,FALSE()),"Invalid ("&amp;Data!C856&amp;")"))</f>
        <v>Male</v>
      </c>
      <c r="D856" s="28" t="str">
        <f aca="false">IF(Data!D856="","",IFERROR(VLOOKUP(Data!D856,Codes!$A$11:$B$14,2,FALSE()),"Invalid ("&amp;Data!D856&amp;")"))</f>
        <v>Asymptomatic</v>
      </c>
      <c r="E856" s="20" t="n">
        <f aca="false">IF(Data!E856="","",Data!E856)</f>
        <v>172</v>
      </c>
      <c r="F856" s="20" t="n">
        <f aca="false">IF(Data!F856="","",Data!F856)</f>
        <v>260</v>
      </c>
      <c r="G856" s="28" t="str">
        <f aca="false">IF(Data!G856="","",IFERROR(VLOOKUP(Data!G856,Codes!$A$18:$B$19,2,FALSE()),"Invalid ("&amp;Data!G856&amp;")"))</f>
        <v>No</v>
      </c>
      <c r="H856" s="28" t="str">
        <f aca="false">IF(Data!H856="","",IFERROR(VLOOKUP(Data!H856,Codes!$A$23:$B$25,2,FALSE()),"Invalid ("&amp;Data!H856&amp;")"))</f>
        <v>Normal</v>
      </c>
      <c r="I856" s="20" t="n">
        <f aca="false">IF(Data!I856="","",Data!I856)</f>
        <v>73</v>
      </c>
      <c r="J856" s="28" t="str">
        <f aca="false">IF(Data!J856="","",IFERROR(VLOOKUP(Data!J856,Codes!$A$29:$B$30,2,FALSE()),"Invalid ("&amp;Data!J856&amp;")"))</f>
        <v>No</v>
      </c>
      <c r="K856" s="21" t="n">
        <f aca="false">IF(Data!K856="","",Data!K856)</f>
        <v>2</v>
      </c>
      <c r="L856" s="28" t="str">
        <f aca="false">IF(Data!L856="","",IFERROR(VLOOKUP(Data!L856,Codes!$A$34:$B$36,2,FALSE()),"Invalid ("&amp;Data!L856&amp;")"))</f>
        <v/>
      </c>
      <c r="M856" s="20" t="str">
        <f aca="false">IF(Data!M856="","",Data!M856)</f>
        <v/>
      </c>
      <c r="N856" s="28" t="str">
        <f aca="false">IF(Data!N856="","",IFERROR(VLOOKUP(Data!N856,Codes!$A$47:$B$49,2,FALSE()),"Invalid ("&amp;Data!N856&amp;")"))</f>
        <v/>
      </c>
      <c r="O856" s="28" t="str">
        <f aca="false">IF(Data!O856="","",IFERROR(VLOOKUP(Data!O856,Codes!$A$53:$B$57,2,FALSE()),"Invalid ("&amp;Data!O856&amp;")"))</f>
        <v>Disease (3)</v>
      </c>
      <c r="P856" s="22" t="str">
        <f aca="false">IF(Data!P856="","",IFERROR(VLOOKUP(Data!P856,Codes!$A$61:$B$64,2,FALSE()),"Invalid ("&amp;Data!P856&amp;")"))</f>
        <v>VA Medical Center, Long Beach</v>
      </c>
    </row>
    <row r="857" customFormat="false" ht="15" hidden="false" customHeight="false" outlineLevel="0" collapsed="false">
      <c r="A857" s="19" t="n">
        <f aca="false">Data!A857</f>
        <v>856</v>
      </c>
      <c r="B857" s="20" t="n">
        <f aca="false">IF(Data!B857="","",Data!B857)</f>
        <v>62</v>
      </c>
      <c r="C857" s="28" t="str">
        <f aca="false">IF(Data!C857="","",IFERROR(VLOOKUP(Data!C857,Codes!$A$6:$B$7,2,FALSE()),"Invalid ("&amp;Data!C857&amp;")"))</f>
        <v>Male</v>
      </c>
      <c r="D857" s="28" t="str">
        <f aca="false">IF(Data!D857="","",IFERROR(VLOOKUP(Data!D857,Codes!$A$11:$B$14,2,FALSE()),"Invalid ("&amp;Data!D857&amp;")"))</f>
        <v>Non-anginal pain</v>
      </c>
      <c r="E857" s="20" t="n">
        <f aca="false">IF(Data!E857="","",Data!E857)</f>
        <v>120</v>
      </c>
      <c r="F857" s="20" t="n">
        <f aca="false">IF(Data!F857="","",Data!F857)</f>
        <v>220</v>
      </c>
      <c r="G857" s="28" t="str">
        <f aca="false">IF(Data!G857="","",IFERROR(VLOOKUP(Data!G857,Codes!$A$18:$B$19,2,FALSE()),"Invalid ("&amp;Data!G857&amp;")"))</f>
        <v>No</v>
      </c>
      <c r="H857" s="28" t="str">
        <f aca="false">IF(Data!H857="","",IFERROR(VLOOKUP(Data!H857,Codes!$A$23:$B$25,2,FALSE()),"Invalid ("&amp;Data!H857&amp;")"))</f>
        <v>Left ventricular hypertrophy</v>
      </c>
      <c r="I857" s="20" t="n">
        <f aca="false">IF(Data!I857="","",Data!I857)</f>
        <v>86</v>
      </c>
      <c r="J857" s="28" t="str">
        <f aca="false">IF(Data!J857="","",IFERROR(VLOOKUP(Data!J857,Codes!$A$29:$B$30,2,FALSE()),"Invalid ("&amp;Data!J857&amp;")"))</f>
        <v>No</v>
      </c>
      <c r="K857" s="21" t="n">
        <f aca="false">IF(Data!K857="","",Data!K857)</f>
        <v>0</v>
      </c>
      <c r="L857" s="28" t="str">
        <f aca="false">IF(Data!L857="","",IFERROR(VLOOKUP(Data!L857,Codes!$A$34:$B$36,2,FALSE()),"Invalid ("&amp;Data!L857&amp;")"))</f>
        <v/>
      </c>
      <c r="M857" s="20" t="str">
        <f aca="false">IF(Data!M857="","",Data!M857)</f>
        <v/>
      </c>
      <c r="N857" s="28" t="str">
        <f aca="false">IF(Data!N857="","",IFERROR(VLOOKUP(Data!N857,Codes!$A$47:$B$49,2,FALSE()),"Invalid ("&amp;Data!N857&amp;")"))</f>
        <v/>
      </c>
      <c r="O857" s="28" t="str">
        <f aca="false">IF(Data!O857="","",IFERROR(VLOOKUP(Data!O857,Codes!$A$53:$B$57,2,FALSE()),"Invalid ("&amp;Data!O857&amp;")"))</f>
        <v>No disease</v>
      </c>
      <c r="P857" s="22" t="str">
        <f aca="false">IF(Data!P857="","",IFERROR(VLOOKUP(Data!P857,Codes!$A$61:$B$64,2,FALSE()),"Invalid ("&amp;Data!P857&amp;")"))</f>
        <v>VA Medical Center, Long Beach</v>
      </c>
    </row>
    <row r="858" customFormat="false" ht="15" hidden="false" customHeight="false" outlineLevel="0" collapsed="false">
      <c r="A858" s="19" t="n">
        <f aca="false">Data!A858</f>
        <v>857</v>
      </c>
      <c r="B858" s="20" t="n">
        <f aca="false">IF(Data!B858="","",Data!B858)</f>
        <v>71</v>
      </c>
      <c r="C858" s="28" t="str">
        <f aca="false">IF(Data!C858="","",IFERROR(VLOOKUP(Data!C858,Codes!$A$6:$B$7,2,FALSE()),"Invalid ("&amp;Data!C858&amp;")"))</f>
        <v>Male</v>
      </c>
      <c r="D858" s="28" t="str">
        <f aca="false">IF(Data!D858="","",IFERROR(VLOOKUP(Data!D858,Codes!$A$11:$B$14,2,FALSE()),"Invalid ("&amp;Data!D858&amp;")"))</f>
        <v>Non-anginal pain</v>
      </c>
      <c r="E858" s="20" t="str">
        <f aca="false">IF(Data!E858="","",Data!E858)</f>
        <v/>
      </c>
      <c r="F858" s="20" t="n">
        <f aca="false">IF(Data!F858="","",Data!F858)</f>
        <v>221</v>
      </c>
      <c r="G858" s="28" t="str">
        <f aca="false">IF(Data!G858="","",IFERROR(VLOOKUP(Data!G858,Codes!$A$18:$B$19,2,FALSE()),"Invalid ("&amp;Data!G858&amp;")"))</f>
        <v>No</v>
      </c>
      <c r="H858" s="28" t="str">
        <f aca="false">IF(Data!H858="","",IFERROR(VLOOKUP(Data!H858,Codes!$A$23:$B$25,2,FALSE()),"Invalid ("&amp;Data!H858&amp;")"))</f>
        <v>Normal</v>
      </c>
      <c r="I858" s="20" t="str">
        <f aca="false">IF(Data!I858="","",Data!I858)</f>
        <v/>
      </c>
      <c r="J858" s="28" t="str">
        <f aca="false">IF(Data!J858="","",IFERROR(VLOOKUP(Data!J858,Codes!$A$29:$B$30,2,FALSE()),"Invalid ("&amp;Data!J858&amp;")"))</f>
        <v/>
      </c>
      <c r="K858" s="21" t="str">
        <f aca="false">IF(Data!K858="","",Data!K858)</f>
        <v/>
      </c>
      <c r="L858" s="28" t="str">
        <f aca="false">IF(Data!L858="","",IFERROR(VLOOKUP(Data!L858,Codes!$A$34:$B$36,2,FALSE()),"Invalid ("&amp;Data!L858&amp;")"))</f>
        <v/>
      </c>
      <c r="M858" s="20" t="str">
        <f aca="false">IF(Data!M858="","",Data!M858)</f>
        <v/>
      </c>
      <c r="N858" s="28" t="str">
        <f aca="false">IF(Data!N858="","",IFERROR(VLOOKUP(Data!N858,Codes!$A$47:$B$49,2,FALSE()),"Invalid ("&amp;Data!N858&amp;")"))</f>
        <v/>
      </c>
      <c r="O858" s="28" t="str">
        <f aca="false">IF(Data!O858="","",IFERROR(VLOOKUP(Data!O858,Codes!$A$53:$B$57,2,FALSE()),"Invalid ("&amp;Data!O858&amp;")"))</f>
        <v>Disease (3)</v>
      </c>
      <c r="P858" s="22" t="str">
        <f aca="false">IF(Data!P858="","",IFERROR(VLOOKUP(Data!P858,Codes!$A$61:$B$64,2,FALSE()),"Invalid ("&amp;Data!P858&amp;")"))</f>
        <v>VA Medical Center, Long Beach</v>
      </c>
    </row>
    <row r="859" customFormat="false" ht="15" hidden="false" customHeight="false" outlineLevel="0" collapsed="false">
      <c r="A859" s="19" t="n">
        <f aca="false">Data!A859</f>
        <v>858</v>
      </c>
      <c r="B859" s="20" t="n">
        <f aca="false">IF(Data!B859="","",Data!B859)</f>
        <v>74</v>
      </c>
      <c r="C859" s="28" t="str">
        <f aca="false">IF(Data!C859="","",IFERROR(VLOOKUP(Data!C859,Codes!$A$6:$B$7,2,FALSE()),"Invalid ("&amp;Data!C859&amp;")"))</f>
        <v>Male</v>
      </c>
      <c r="D859" s="28" t="str">
        <f aca="false">IF(Data!D859="","",IFERROR(VLOOKUP(Data!D859,Codes!$A$11:$B$14,2,FALSE()),"Invalid ("&amp;Data!D859&amp;")"))</f>
        <v>Typical angina</v>
      </c>
      <c r="E859" s="20" t="str">
        <f aca="false">IF(Data!E859="","",Data!E859)</f>
        <v/>
      </c>
      <c r="F859" s="20" t="n">
        <f aca="false">IF(Data!F859="","",Data!F859)</f>
        <v>216</v>
      </c>
      <c r="G859" s="28" t="str">
        <f aca="false">IF(Data!G859="","",IFERROR(VLOOKUP(Data!G859,Codes!$A$18:$B$19,2,FALSE()),"Invalid ("&amp;Data!G859&amp;")"))</f>
        <v>Yes</v>
      </c>
      <c r="H859" s="28" t="str">
        <f aca="false">IF(Data!H859="","",IFERROR(VLOOKUP(Data!H859,Codes!$A$23:$B$25,2,FALSE()),"Invalid ("&amp;Data!H859&amp;")"))</f>
        <v>Normal</v>
      </c>
      <c r="I859" s="20" t="str">
        <f aca="false">IF(Data!I859="","",Data!I859)</f>
        <v/>
      </c>
      <c r="J859" s="28" t="str">
        <f aca="false">IF(Data!J859="","",IFERROR(VLOOKUP(Data!J859,Codes!$A$29:$B$30,2,FALSE()),"Invalid ("&amp;Data!J859&amp;")"))</f>
        <v/>
      </c>
      <c r="K859" s="21" t="str">
        <f aca="false">IF(Data!K859="","",Data!K859)</f>
        <v/>
      </c>
      <c r="L859" s="28" t="str">
        <f aca="false">IF(Data!L859="","",IFERROR(VLOOKUP(Data!L859,Codes!$A$34:$B$36,2,FALSE()),"Invalid ("&amp;Data!L859&amp;")"))</f>
        <v/>
      </c>
      <c r="M859" s="20" t="str">
        <f aca="false">IF(Data!M859="","",Data!M859)</f>
        <v/>
      </c>
      <c r="N859" s="28" t="str">
        <f aca="false">IF(Data!N859="","",IFERROR(VLOOKUP(Data!N859,Codes!$A$47:$B$49,2,FALSE()),"Invalid ("&amp;Data!N859&amp;")"))</f>
        <v/>
      </c>
      <c r="O859" s="28" t="str">
        <f aca="false">IF(Data!O859="","",IFERROR(VLOOKUP(Data!O859,Codes!$A$53:$B$57,2,FALSE()),"Invalid ("&amp;Data!O859&amp;")"))</f>
        <v>Disease (3)</v>
      </c>
      <c r="P859" s="22" t="str">
        <f aca="false">IF(Data!P859="","",IFERROR(VLOOKUP(Data!P859,Codes!$A$61:$B$64,2,FALSE()),"Invalid ("&amp;Data!P859&amp;")"))</f>
        <v>VA Medical Center, Long Beach</v>
      </c>
    </row>
    <row r="860" customFormat="false" ht="15" hidden="false" customHeight="false" outlineLevel="0" collapsed="false">
      <c r="A860" s="19" t="n">
        <f aca="false">Data!A860</f>
        <v>859</v>
      </c>
      <c r="B860" s="20" t="n">
        <f aca="false">IF(Data!B860="","",Data!B860)</f>
        <v>53</v>
      </c>
      <c r="C860" s="28" t="str">
        <f aca="false">IF(Data!C860="","",IFERROR(VLOOKUP(Data!C860,Codes!$A$6:$B$7,2,FALSE()),"Invalid ("&amp;Data!C860&amp;")"))</f>
        <v>Male</v>
      </c>
      <c r="D860" s="28" t="str">
        <f aca="false">IF(Data!D860="","",IFERROR(VLOOKUP(Data!D860,Codes!$A$11:$B$14,2,FALSE()),"Invalid ("&amp;Data!D860&amp;")"))</f>
        <v>Non-anginal pain</v>
      </c>
      <c r="E860" s="20" t="n">
        <f aca="false">IF(Data!E860="","",Data!E860)</f>
        <v>155</v>
      </c>
      <c r="F860" s="20" t="n">
        <f aca="false">IF(Data!F860="","",Data!F860)</f>
        <v>175</v>
      </c>
      <c r="G860" s="28" t="str">
        <f aca="false">IF(Data!G860="","",IFERROR(VLOOKUP(Data!G860,Codes!$A$18:$B$19,2,FALSE()),"Invalid ("&amp;Data!G860&amp;")"))</f>
        <v>Yes</v>
      </c>
      <c r="H860" s="28" t="str">
        <f aca="false">IF(Data!H860="","",IFERROR(VLOOKUP(Data!H860,Codes!$A$23:$B$25,2,FALSE()),"Invalid ("&amp;Data!H860&amp;")"))</f>
        <v>ST-T wave abnormality</v>
      </c>
      <c r="I860" s="20" t="n">
        <f aca="false">IF(Data!I860="","",Data!I860)</f>
        <v>160</v>
      </c>
      <c r="J860" s="28" t="str">
        <f aca="false">IF(Data!J860="","",IFERROR(VLOOKUP(Data!J860,Codes!$A$29:$B$30,2,FALSE()),"Invalid ("&amp;Data!J860&amp;")"))</f>
        <v>No</v>
      </c>
      <c r="K860" s="21" t="str">
        <f aca="false">IF(Data!K860="","",Data!K860)</f>
        <v/>
      </c>
      <c r="L860" s="28" t="str">
        <f aca="false">IF(Data!L860="","",IFERROR(VLOOKUP(Data!L860,Codes!$A$34:$B$36,2,FALSE()),"Invalid ("&amp;Data!L860&amp;")"))</f>
        <v/>
      </c>
      <c r="M860" s="20" t="str">
        <f aca="false">IF(Data!M860="","",Data!M860)</f>
        <v/>
      </c>
      <c r="N860" s="28" t="str">
        <f aca="false">IF(Data!N860="","",IFERROR(VLOOKUP(Data!N860,Codes!$A$47:$B$49,2,FALSE()),"Invalid ("&amp;Data!N860&amp;")"))</f>
        <v>Fixed defect</v>
      </c>
      <c r="O860" s="28" t="str">
        <f aca="false">IF(Data!O860="","",IFERROR(VLOOKUP(Data!O860,Codes!$A$53:$B$57,2,FALSE()),"Invalid ("&amp;Data!O860&amp;")"))</f>
        <v>No disease</v>
      </c>
      <c r="P860" s="22" t="str">
        <f aca="false">IF(Data!P860="","",IFERROR(VLOOKUP(Data!P860,Codes!$A$61:$B$64,2,FALSE()),"Invalid ("&amp;Data!P860&amp;")"))</f>
        <v>VA Medical Center, Long Beach</v>
      </c>
    </row>
    <row r="861" customFormat="false" ht="15" hidden="false" customHeight="false" outlineLevel="0" collapsed="false">
      <c r="A861" s="19" t="n">
        <f aca="false">Data!A861</f>
        <v>860</v>
      </c>
      <c r="B861" s="20" t="n">
        <f aca="false">IF(Data!B861="","",Data!B861)</f>
        <v>58</v>
      </c>
      <c r="C861" s="28" t="str">
        <f aca="false">IF(Data!C861="","",IFERROR(VLOOKUP(Data!C861,Codes!$A$6:$B$7,2,FALSE()),"Invalid ("&amp;Data!C861&amp;")"))</f>
        <v>Male</v>
      </c>
      <c r="D861" s="28" t="str">
        <f aca="false">IF(Data!D861="","",IFERROR(VLOOKUP(Data!D861,Codes!$A$11:$B$14,2,FALSE()),"Invalid ("&amp;Data!D861&amp;")"))</f>
        <v>Non-anginal pain</v>
      </c>
      <c r="E861" s="20" t="n">
        <f aca="false">IF(Data!E861="","",Data!E861)</f>
        <v>150</v>
      </c>
      <c r="F861" s="20" t="n">
        <f aca="false">IF(Data!F861="","",Data!F861)</f>
        <v>219</v>
      </c>
      <c r="G861" s="28" t="str">
        <f aca="false">IF(Data!G861="","",IFERROR(VLOOKUP(Data!G861,Codes!$A$18:$B$19,2,FALSE()),"Invalid ("&amp;Data!G861&amp;")"))</f>
        <v>No</v>
      </c>
      <c r="H861" s="28" t="str">
        <f aca="false">IF(Data!H861="","",IFERROR(VLOOKUP(Data!H861,Codes!$A$23:$B$25,2,FALSE()),"Invalid ("&amp;Data!H861&amp;")"))</f>
        <v>ST-T wave abnormality</v>
      </c>
      <c r="I861" s="20" t="n">
        <f aca="false">IF(Data!I861="","",Data!I861)</f>
        <v>118</v>
      </c>
      <c r="J861" s="28" t="str">
        <f aca="false">IF(Data!J861="","",IFERROR(VLOOKUP(Data!J861,Codes!$A$29:$B$30,2,FALSE()),"Invalid ("&amp;Data!J861&amp;")"))</f>
        <v>Yes</v>
      </c>
      <c r="K861" s="21" t="n">
        <f aca="false">IF(Data!K861="","",Data!K861)</f>
        <v>0</v>
      </c>
      <c r="L861" s="28" t="str">
        <f aca="false">IF(Data!L861="","",IFERROR(VLOOKUP(Data!L861,Codes!$A$34:$B$36,2,FALSE()),"Invalid ("&amp;Data!L861&amp;")"))</f>
        <v/>
      </c>
      <c r="M861" s="20" t="str">
        <f aca="false">IF(Data!M861="","",Data!M861)</f>
        <v/>
      </c>
      <c r="N861" s="28" t="str">
        <f aca="false">IF(Data!N861="","",IFERROR(VLOOKUP(Data!N861,Codes!$A$47:$B$49,2,FALSE()),"Invalid ("&amp;Data!N861&amp;")"))</f>
        <v/>
      </c>
      <c r="O861" s="28" t="str">
        <f aca="false">IF(Data!O861="","",IFERROR(VLOOKUP(Data!O861,Codes!$A$53:$B$57,2,FALSE()),"Invalid ("&amp;Data!O861&amp;")"))</f>
        <v>Disease (2)</v>
      </c>
      <c r="P861" s="22" t="str">
        <f aca="false">IF(Data!P861="","",IFERROR(VLOOKUP(Data!P861,Codes!$A$61:$B$64,2,FALSE()),"Invalid ("&amp;Data!P861&amp;")"))</f>
        <v>VA Medical Center, Long Beach</v>
      </c>
    </row>
    <row r="862" customFormat="false" ht="15" hidden="false" customHeight="false" outlineLevel="0" collapsed="false">
      <c r="A862" s="19" t="n">
        <f aca="false">Data!A862</f>
        <v>861</v>
      </c>
      <c r="B862" s="20" t="n">
        <f aca="false">IF(Data!B862="","",Data!B862)</f>
        <v>75</v>
      </c>
      <c r="C862" s="28" t="str">
        <f aca="false">IF(Data!C862="","",IFERROR(VLOOKUP(Data!C862,Codes!$A$6:$B$7,2,FALSE()),"Invalid ("&amp;Data!C862&amp;")"))</f>
        <v>Male</v>
      </c>
      <c r="D862" s="28" t="str">
        <f aca="false">IF(Data!D862="","",IFERROR(VLOOKUP(Data!D862,Codes!$A$11:$B$14,2,FALSE()),"Invalid ("&amp;Data!D862&amp;")"))</f>
        <v>Asymptomatic</v>
      </c>
      <c r="E862" s="20" t="n">
        <f aca="false">IF(Data!E862="","",Data!E862)</f>
        <v>160</v>
      </c>
      <c r="F862" s="20" t="n">
        <f aca="false">IF(Data!F862="","",Data!F862)</f>
        <v>310</v>
      </c>
      <c r="G862" s="28" t="str">
        <f aca="false">IF(Data!G862="","",IFERROR(VLOOKUP(Data!G862,Codes!$A$18:$B$19,2,FALSE()),"Invalid ("&amp;Data!G862&amp;")"))</f>
        <v>Yes</v>
      </c>
      <c r="H862" s="28" t="str">
        <f aca="false">IF(Data!H862="","",IFERROR(VLOOKUP(Data!H862,Codes!$A$23:$B$25,2,FALSE()),"Invalid ("&amp;Data!H862&amp;")"))</f>
        <v>Normal</v>
      </c>
      <c r="I862" s="20" t="n">
        <f aca="false">IF(Data!I862="","",Data!I862)</f>
        <v>112</v>
      </c>
      <c r="J862" s="28" t="str">
        <f aca="false">IF(Data!J862="","",IFERROR(VLOOKUP(Data!J862,Codes!$A$29:$B$30,2,FALSE()),"Invalid ("&amp;Data!J862&amp;")"))</f>
        <v>Yes</v>
      </c>
      <c r="K862" s="21" t="n">
        <f aca="false">IF(Data!K862="","",Data!K862)</f>
        <v>2</v>
      </c>
      <c r="L862" s="28" t="str">
        <f aca="false">IF(Data!L862="","",IFERROR(VLOOKUP(Data!L862,Codes!$A$34:$B$36,2,FALSE()),"Invalid ("&amp;Data!L862&amp;")"))</f>
        <v>Downsloping</v>
      </c>
      <c r="M862" s="20" t="str">
        <f aca="false">IF(Data!M862="","",Data!M862)</f>
        <v/>
      </c>
      <c r="N862" s="28" t="str">
        <f aca="false">IF(Data!N862="","",IFERROR(VLOOKUP(Data!N862,Codes!$A$47:$B$49,2,FALSE()),"Invalid ("&amp;Data!N862&amp;")"))</f>
        <v>Reversible defect</v>
      </c>
      <c r="O862" s="28" t="str">
        <f aca="false">IF(Data!O862="","",IFERROR(VLOOKUP(Data!O862,Codes!$A$53:$B$57,2,FALSE()),"Invalid ("&amp;Data!O862&amp;")"))</f>
        <v>No disease</v>
      </c>
      <c r="P862" s="22" t="str">
        <f aca="false">IF(Data!P862="","",IFERROR(VLOOKUP(Data!P862,Codes!$A$61:$B$64,2,FALSE()),"Invalid ("&amp;Data!P862&amp;")"))</f>
        <v>VA Medical Center, Long Beach</v>
      </c>
    </row>
    <row r="863" customFormat="false" ht="15" hidden="false" customHeight="false" outlineLevel="0" collapsed="false">
      <c r="A863" s="19" t="n">
        <f aca="false">Data!A863</f>
        <v>862</v>
      </c>
      <c r="B863" s="20" t="n">
        <f aca="false">IF(Data!B863="","",Data!B863)</f>
        <v>56</v>
      </c>
      <c r="C863" s="28" t="str">
        <f aca="false">IF(Data!C863="","",IFERROR(VLOOKUP(Data!C863,Codes!$A$6:$B$7,2,FALSE()),"Invalid ("&amp;Data!C863&amp;")"))</f>
        <v>Male</v>
      </c>
      <c r="D863" s="28" t="str">
        <f aca="false">IF(Data!D863="","",IFERROR(VLOOKUP(Data!D863,Codes!$A$11:$B$14,2,FALSE()),"Invalid ("&amp;Data!D863&amp;")"))</f>
        <v>Non-anginal pain</v>
      </c>
      <c r="E863" s="20" t="str">
        <f aca="false">IF(Data!E863="","",Data!E863)</f>
        <v/>
      </c>
      <c r="F863" s="20" t="n">
        <f aca="false">IF(Data!F863="","",Data!F863)</f>
        <v>208</v>
      </c>
      <c r="G863" s="28" t="str">
        <f aca="false">IF(Data!G863="","",IFERROR(VLOOKUP(Data!G863,Codes!$A$18:$B$19,2,FALSE()),"Invalid ("&amp;Data!G863&amp;")"))</f>
        <v>Yes</v>
      </c>
      <c r="H863" s="28" t="str">
        <f aca="false">IF(Data!H863="","",IFERROR(VLOOKUP(Data!H863,Codes!$A$23:$B$25,2,FALSE()),"Invalid ("&amp;Data!H863&amp;")"))</f>
        <v>ST-T wave abnormality</v>
      </c>
      <c r="I863" s="20" t="str">
        <f aca="false">IF(Data!I863="","",Data!I863)</f>
        <v/>
      </c>
      <c r="J863" s="28" t="str">
        <f aca="false">IF(Data!J863="","",IFERROR(VLOOKUP(Data!J863,Codes!$A$29:$B$30,2,FALSE()),"Invalid ("&amp;Data!J863&amp;")"))</f>
        <v/>
      </c>
      <c r="K863" s="21" t="str">
        <f aca="false">IF(Data!K863="","",Data!K863)</f>
        <v/>
      </c>
      <c r="L863" s="28" t="str">
        <f aca="false">IF(Data!L863="","",IFERROR(VLOOKUP(Data!L863,Codes!$A$34:$B$36,2,FALSE()),"Invalid ("&amp;Data!L863&amp;")"))</f>
        <v/>
      </c>
      <c r="M863" s="20" t="str">
        <f aca="false">IF(Data!M863="","",Data!M863)</f>
        <v/>
      </c>
      <c r="N863" s="28" t="str">
        <f aca="false">IF(Data!N863="","",IFERROR(VLOOKUP(Data!N863,Codes!$A$47:$B$49,2,FALSE()),"Invalid ("&amp;Data!N863&amp;")"))</f>
        <v/>
      </c>
      <c r="O863" s="28" t="str">
        <f aca="false">IF(Data!O863="","",IFERROR(VLOOKUP(Data!O863,Codes!$A$53:$B$57,2,FALSE()),"Invalid ("&amp;Data!O863&amp;")"))</f>
        <v>Disease (4)</v>
      </c>
      <c r="P863" s="22" t="str">
        <f aca="false">IF(Data!P863="","",IFERROR(VLOOKUP(Data!P863,Codes!$A$61:$B$64,2,FALSE()),"Invalid ("&amp;Data!P863&amp;")"))</f>
        <v>VA Medical Center, Long Beach</v>
      </c>
    </row>
    <row r="864" customFormat="false" ht="15" hidden="false" customHeight="false" outlineLevel="0" collapsed="false">
      <c r="A864" s="19" t="n">
        <f aca="false">Data!A864</f>
        <v>863</v>
      </c>
      <c r="B864" s="20" t="n">
        <f aca="false">IF(Data!B864="","",Data!B864)</f>
        <v>58</v>
      </c>
      <c r="C864" s="28" t="str">
        <f aca="false">IF(Data!C864="","",IFERROR(VLOOKUP(Data!C864,Codes!$A$6:$B$7,2,FALSE()),"Invalid ("&amp;Data!C864&amp;")"))</f>
        <v>Male</v>
      </c>
      <c r="D864" s="28" t="str">
        <f aca="false">IF(Data!D864="","",IFERROR(VLOOKUP(Data!D864,Codes!$A$11:$B$14,2,FALSE()),"Invalid ("&amp;Data!D864&amp;")"))</f>
        <v>Non-anginal pain</v>
      </c>
      <c r="E864" s="20" t="str">
        <f aca="false">IF(Data!E864="","",Data!E864)</f>
        <v/>
      </c>
      <c r="F864" s="20" t="n">
        <f aca="false">IF(Data!F864="","",Data!F864)</f>
        <v>232</v>
      </c>
      <c r="G864" s="28" t="str">
        <f aca="false">IF(Data!G864="","",IFERROR(VLOOKUP(Data!G864,Codes!$A$18:$B$19,2,FALSE()),"Invalid ("&amp;Data!G864&amp;")"))</f>
        <v>No</v>
      </c>
      <c r="H864" s="28" t="str">
        <f aca="false">IF(Data!H864="","",IFERROR(VLOOKUP(Data!H864,Codes!$A$23:$B$25,2,FALSE()),"Invalid ("&amp;Data!H864&amp;")"))</f>
        <v>ST-T wave abnormality</v>
      </c>
      <c r="I864" s="20" t="str">
        <f aca="false">IF(Data!I864="","",Data!I864)</f>
        <v/>
      </c>
      <c r="J864" s="28" t="str">
        <f aca="false">IF(Data!J864="","",IFERROR(VLOOKUP(Data!J864,Codes!$A$29:$B$30,2,FALSE()),"Invalid ("&amp;Data!J864&amp;")"))</f>
        <v/>
      </c>
      <c r="K864" s="21" t="str">
        <f aca="false">IF(Data!K864="","",Data!K864)</f>
        <v/>
      </c>
      <c r="L864" s="28" t="str">
        <f aca="false">IF(Data!L864="","",IFERROR(VLOOKUP(Data!L864,Codes!$A$34:$B$36,2,FALSE()),"Invalid ("&amp;Data!L864&amp;")"))</f>
        <v/>
      </c>
      <c r="M864" s="20" t="str">
        <f aca="false">IF(Data!M864="","",Data!M864)</f>
        <v/>
      </c>
      <c r="N864" s="28" t="str">
        <f aca="false">IF(Data!N864="","",IFERROR(VLOOKUP(Data!N864,Codes!$A$47:$B$49,2,FALSE()),"Invalid ("&amp;Data!N864&amp;")"))</f>
        <v/>
      </c>
      <c r="O864" s="28" t="str">
        <f aca="false">IF(Data!O864="","",IFERROR(VLOOKUP(Data!O864,Codes!$A$53:$B$57,2,FALSE()),"Invalid ("&amp;Data!O864&amp;")"))</f>
        <v>Disease (2)</v>
      </c>
      <c r="P864" s="22" t="str">
        <f aca="false">IF(Data!P864="","",IFERROR(VLOOKUP(Data!P864,Codes!$A$61:$B$64,2,FALSE()),"Invalid ("&amp;Data!P864&amp;")"))</f>
        <v>VA Medical Center, Long Beach</v>
      </c>
    </row>
    <row r="865" customFormat="false" ht="15" hidden="false" customHeight="false" outlineLevel="0" collapsed="false">
      <c r="A865" s="19" t="n">
        <f aca="false">Data!A865</f>
        <v>864</v>
      </c>
      <c r="B865" s="20" t="n">
        <f aca="false">IF(Data!B865="","",Data!B865)</f>
        <v>64</v>
      </c>
      <c r="C865" s="28" t="str">
        <f aca="false">IF(Data!C865="","",IFERROR(VLOOKUP(Data!C865,Codes!$A$6:$B$7,2,FALSE()),"Invalid ("&amp;Data!C865&amp;")"))</f>
        <v>Male</v>
      </c>
      <c r="D865" s="28" t="str">
        <f aca="false">IF(Data!D865="","",IFERROR(VLOOKUP(Data!D865,Codes!$A$11:$B$14,2,FALSE()),"Invalid ("&amp;Data!D865&amp;")"))</f>
        <v>Asymptomatic</v>
      </c>
      <c r="E865" s="20" t="n">
        <f aca="false">IF(Data!E865="","",Data!E865)</f>
        <v>134</v>
      </c>
      <c r="F865" s="20" t="n">
        <f aca="false">IF(Data!F865="","",Data!F865)</f>
        <v>273</v>
      </c>
      <c r="G865" s="28" t="str">
        <f aca="false">IF(Data!G865="","",IFERROR(VLOOKUP(Data!G865,Codes!$A$18:$B$19,2,FALSE()),"Invalid ("&amp;Data!G865&amp;")"))</f>
        <v>No</v>
      </c>
      <c r="H865" s="28" t="str">
        <f aca="false">IF(Data!H865="","",IFERROR(VLOOKUP(Data!H865,Codes!$A$23:$B$25,2,FALSE()),"Invalid ("&amp;Data!H865&amp;")"))</f>
        <v>Normal</v>
      </c>
      <c r="I865" s="20" t="n">
        <f aca="false">IF(Data!I865="","",Data!I865)</f>
        <v>102</v>
      </c>
      <c r="J865" s="28" t="str">
        <f aca="false">IF(Data!J865="","",IFERROR(VLOOKUP(Data!J865,Codes!$A$29:$B$30,2,FALSE()),"Invalid ("&amp;Data!J865&amp;")"))</f>
        <v>Yes</v>
      </c>
      <c r="K865" s="21" t="n">
        <f aca="false">IF(Data!K865="","",Data!K865)</f>
        <v>4</v>
      </c>
      <c r="L865" s="28" t="str">
        <f aca="false">IF(Data!L865="","",IFERROR(VLOOKUP(Data!L865,Codes!$A$34:$B$36,2,FALSE()),"Invalid ("&amp;Data!L865&amp;")"))</f>
        <v>Downsloping</v>
      </c>
      <c r="M865" s="20" t="str">
        <f aca="false">IF(Data!M865="","",Data!M865)</f>
        <v/>
      </c>
      <c r="N865" s="28" t="str">
        <f aca="false">IF(Data!N865="","",IFERROR(VLOOKUP(Data!N865,Codes!$A$47:$B$49,2,FALSE()),"Invalid ("&amp;Data!N865&amp;")"))</f>
        <v/>
      </c>
      <c r="O865" s="28" t="str">
        <f aca="false">IF(Data!O865="","",IFERROR(VLOOKUP(Data!O865,Codes!$A$53:$B$57,2,FALSE()),"Invalid ("&amp;Data!O865&amp;")"))</f>
        <v>Disease (4)</v>
      </c>
      <c r="P865" s="22" t="str">
        <f aca="false">IF(Data!P865="","",IFERROR(VLOOKUP(Data!P865,Codes!$A$61:$B$64,2,FALSE()),"Invalid ("&amp;Data!P865&amp;")"))</f>
        <v>VA Medical Center, Long Beach</v>
      </c>
    </row>
    <row r="866" customFormat="false" ht="15" hidden="false" customHeight="false" outlineLevel="0" collapsed="false">
      <c r="A866" s="19" t="n">
        <f aca="false">Data!A866</f>
        <v>865</v>
      </c>
      <c r="B866" s="20" t="n">
        <f aca="false">IF(Data!B866="","",Data!B866)</f>
        <v>54</v>
      </c>
      <c r="C866" s="28" t="str">
        <f aca="false">IF(Data!C866="","",IFERROR(VLOOKUP(Data!C866,Codes!$A$6:$B$7,2,FALSE()),"Invalid ("&amp;Data!C866&amp;")"))</f>
        <v>Male</v>
      </c>
      <c r="D866" s="28" t="str">
        <f aca="false">IF(Data!D866="","",IFERROR(VLOOKUP(Data!D866,Codes!$A$11:$B$14,2,FALSE()),"Invalid ("&amp;Data!D866&amp;")"))</f>
        <v>Non-anginal pain</v>
      </c>
      <c r="E866" s="20" t="str">
        <f aca="false">IF(Data!E866="","",Data!E866)</f>
        <v/>
      </c>
      <c r="F866" s="20" t="n">
        <f aca="false">IF(Data!F866="","",Data!F866)</f>
        <v>203</v>
      </c>
      <c r="G866" s="28" t="str">
        <f aca="false">IF(Data!G866="","",IFERROR(VLOOKUP(Data!G866,Codes!$A$18:$B$19,2,FALSE()),"Invalid ("&amp;Data!G866&amp;")"))</f>
        <v>No</v>
      </c>
      <c r="H866" s="28" t="str">
        <f aca="false">IF(Data!H866="","",IFERROR(VLOOKUP(Data!H866,Codes!$A$23:$B$25,2,FALSE()),"Invalid ("&amp;Data!H866&amp;")"))</f>
        <v>ST-T wave abnormality</v>
      </c>
      <c r="I866" s="20" t="str">
        <f aca="false">IF(Data!I866="","",Data!I866)</f>
        <v/>
      </c>
      <c r="J866" s="28" t="str">
        <f aca="false">IF(Data!J866="","",IFERROR(VLOOKUP(Data!J866,Codes!$A$29:$B$30,2,FALSE()),"Invalid ("&amp;Data!J866&amp;")"))</f>
        <v/>
      </c>
      <c r="K866" s="21" t="str">
        <f aca="false">IF(Data!K866="","",Data!K866)</f>
        <v/>
      </c>
      <c r="L866" s="28" t="str">
        <f aca="false">IF(Data!L866="","",IFERROR(VLOOKUP(Data!L866,Codes!$A$34:$B$36,2,FALSE()),"Invalid ("&amp;Data!L866&amp;")"))</f>
        <v/>
      </c>
      <c r="M866" s="20" t="str">
        <f aca="false">IF(Data!M866="","",Data!M866)</f>
        <v/>
      </c>
      <c r="N866" s="28" t="str">
        <f aca="false">IF(Data!N866="","",IFERROR(VLOOKUP(Data!N866,Codes!$A$47:$B$49,2,FALSE()),"Invalid ("&amp;Data!N866&amp;")"))</f>
        <v/>
      </c>
      <c r="O866" s="28" t="str">
        <f aca="false">IF(Data!O866="","",IFERROR(VLOOKUP(Data!O866,Codes!$A$53:$B$57,2,FALSE()),"Invalid ("&amp;Data!O866&amp;")"))</f>
        <v>No disease</v>
      </c>
      <c r="P866" s="22" t="str">
        <f aca="false">IF(Data!P866="","",IFERROR(VLOOKUP(Data!P866,Codes!$A$61:$B$64,2,FALSE()),"Invalid ("&amp;Data!P866&amp;")"))</f>
        <v>VA Medical Center, Long Beach</v>
      </c>
    </row>
    <row r="867" customFormat="false" ht="15" hidden="false" customHeight="false" outlineLevel="0" collapsed="false">
      <c r="A867" s="19" t="n">
        <f aca="false">Data!A867</f>
        <v>866</v>
      </c>
      <c r="B867" s="20" t="n">
        <f aca="false">IF(Data!B867="","",Data!B867)</f>
        <v>54</v>
      </c>
      <c r="C867" s="28" t="str">
        <f aca="false">IF(Data!C867="","",IFERROR(VLOOKUP(Data!C867,Codes!$A$6:$B$7,2,FALSE()),"Invalid ("&amp;Data!C867&amp;")"))</f>
        <v>Male</v>
      </c>
      <c r="D867" s="28" t="str">
        <f aca="false">IF(Data!D867="","",IFERROR(VLOOKUP(Data!D867,Codes!$A$11:$B$14,2,FALSE()),"Invalid ("&amp;Data!D867&amp;")"))</f>
        <v>Atypical angina</v>
      </c>
      <c r="E867" s="20" t="str">
        <f aca="false">IF(Data!E867="","",Data!E867)</f>
        <v/>
      </c>
      <c r="F867" s="20" t="n">
        <f aca="false">IF(Data!F867="","",Data!F867)</f>
        <v>182</v>
      </c>
      <c r="G867" s="28" t="str">
        <f aca="false">IF(Data!G867="","",IFERROR(VLOOKUP(Data!G867,Codes!$A$18:$B$19,2,FALSE()),"Invalid ("&amp;Data!G867&amp;")"))</f>
        <v>No</v>
      </c>
      <c r="H867" s="28" t="str">
        <f aca="false">IF(Data!H867="","",IFERROR(VLOOKUP(Data!H867,Codes!$A$23:$B$25,2,FALSE()),"Invalid ("&amp;Data!H867&amp;")"))</f>
        <v>ST-T wave abnormality</v>
      </c>
      <c r="I867" s="20" t="str">
        <f aca="false">IF(Data!I867="","",Data!I867)</f>
        <v/>
      </c>
      <c r="J867" s="28" t="str">
        <f aca="false">IF(Data!J867="","",IFERROR(VLOOKUP(Data!J867,Codes!$A$29:$B$30,2,FALSE()),"Invalid ("&amp;Data!J867&amp;")"))</f>
        <v/>
      </c>
      <c r="K867" s="21" t="str">
        <f aca="false">IF(Data!K867="","",Data!K867)</f>
        <v/>
      </c>
      <c r="L867" s="28" t="str">
        <f aca="false">IF(Data!L867="","",IFERROR(VLOOKUP(Data!L867,Codes!$A$34:$B$36,2,FALSE()),"Invalid ("&amp;Data!L867&amp;")"))</f>
        <v/>
      </c>
      <c r="M867" s="20" t="str">
        <f aca="false">IF(Data!M867="","",Data!M867)</f>
        <v/>
      </c>
      <c r="N867" s="28" t="str">
        <f aca="false">IF(Data!N867="","",IFERROR(VLOOKUP(Data!N867,Codes!$A$47:$B$49,2,FALSE()),"Invalid ("&amp;Data!N867&amp;")"))</f>
        <v/>
      </c>
      <c r="O867" s="28" t="str">
        <f aca="false">IF(Data!O867="","",IFERROR(VLOOKUP(Data!O867,Codes!$A$53:$B$57,2,FALSE()),"Invalid ("&amp;Data!O867&amp;")"))</f>
        <v>No disease</v>
      </c>
      <c r="P867" s="22" t="str">
        <f aca="false">IF(Data!P867="","",IFERROR(VLOOKUP(Data!P867,Codes!$A$61:$B$64,2,FALSE()),"Invalid ("&amp;Data!P867&amp;")"))</f>
        <v>VA Medical Center, Long Beach</v>
      </c>
    </row>
    <row r="868" customFormat="false" ht="15" hidden="false" customHeight="false" outlineLevel="0" collapsed="false">
      <c r="A868" s="19" t="n">
        <f aca="false">Data!A868</f>
        <v>867</v>
      </c>
      <c r="B868" s="20" t="n">
        <f aca="false">IF(Data!B868="","",Data!B868)</f>
        <v>59</v>
      </c>
      <c r="C868" s="28" t="str">
        <f aca="false">IF(Data!C868="","",IFERROR(VLOOKUP(Data!C868,Codes!$A$6:$B$7,2,FALSE()),"Invalid ("&amp;Data!C868&amp;")"))</f>
        <v>Male</v>
      </c>
      <c r="D868" s="28" t="str">
        <f aca="false">IF(Data!D868="","",IFERROR(VLOOKUP(Data!D868,Codes!$A$11:$B$14,2,FALSE()),"Invalid ("&amp;Data!D868&amp;")"))</f>
        <v>Asymptomatic</v>
      </c>
      <c r="E868" s="20" t="n">
        <f aca="false">IF(Data!E868="","",Data!E868)</f>
        <v>140</v>
      </c>
      <c r="F868" s="20" t="n">
        <f aca="false">IF(Data!F868="","",Data!F868)</f>
        <v>274</v>
      </c>
      <c r="G868" s="28" t="str">
        <f aca="false">IF(Data!G868="","",IFERROR(VLOOKUP(Data!G868,Codes!$A$18:$B$19,2,FALSE()),"Invalid ("&amp;Data!G868&amp;")"))</f>
        <v>No</v>
      </c>
      <c r="H868" s="28" t="str">
        <f aca="false">IF(Data!H868="","",IFERROR(VLOOKUP(Data!H868,Codes!$A$23:$B$25,2,FALSE()),"Invalid ("&amp;Data!H868&amp;")"))</f>
        <v>Normal</v>
      </c>
      <c r="I868" s="20" t="n">
        <f aca="false">IF(Data!I868="","",Data!I868)</f>
        <v>154</v>
      </c>
      <c r="J868" s="28" t="str">
        <f aca="false">IF(Data!J868="","",IFERROR(VLOOKUP(Data!J868,Codes!$A$29:$B$30,2,FALSE()),"Invalid ("&amp;Data!J868&amp;")"))</f>
        <v>Yes</v>
      </c>
      <c r="K868" s="21" t="n">
        <f aca="false">IF(Data!K868="","",Data!K868)</f>
        <v>2</v>
      </c>
      <c r="L868" s="28" t="str">
        <f aca="false">IF(Data!L868="","",IFERROR(VLOOKUP(Data!L868,Codes!$A$34:$B$36,2,FALSE()),"Invalid ("&amp;Data!L868&amp;")"))</f>
        <v>Flat</v>
      </c>
      <c r="M868" s="20" t="str">
        <f aca="false">IF(Data!M868="","",Data!M868)</f>
        <v/>
      </c>
      <c r="N868" s="28" t="str">
        <f aca="false">IF(Data!N868="","",IFERROR(VLOOKUP(Data!N868,Codes!$A$47:$B$49,2,FALSE()),"Invalid ("&amp;Data!N868&amp;")"))</f>
        <v/>
      </c>
      <c r="O868" s="28" t="str">
        <f aca="false">IF(Data!O868="","",IFERROR(VLOOKUP(Data!O868,Codes!$A$53:$B$57,2,FALSE()),"Invalid ("&amp;Data!O868&amp;")"))</f>
        <v>No disease</v>
      </c>
      <c r="P868" s="22" t="str">
        <f aca="false">IF(Data!P868="","",IFERROR(VLOOKUP(Data!P868,Codes!$A$61:$B$64,2,FALSE()),"Invalid ("&amp;Data!P868&amp;")"))</f>
        <v>VA Medical Center, Long Beach</v>
      </c>
    </row>
    <row r="869" customFormat="false" ht="15" hidden="false" customHeight="false" outlineLevel="0" collapsed="false">
      <c r="A869" s="19" t="n">
        <f aca="false">Data!A869</f>
        <v>868</v>
      </c>
      <c r="B869" s="20" t="n">
        <f aca="false">IF(Data!B869="","",Data!B869)</f>
        <v>55</v>
      </c>
      <c r="C869" s="28" t="str">
        <f aca="false">IF(Data!C869="","",IFERROR(VLOOKUP(Data!C869,Codes!$A$6:$B$7,2,FALSE()),"Invalid ("&amp;Data!C869&amp;")"))</f>
        <v>Male</v>
      </c>
      <c r="D869" s="28" t="str">
        <f aca="false">IF(Data!D869="","",IFERROR(VLOOKUP(Data!D869,Codes!$A$11:$B$14,2,FALSE()),"Invalid ("&amp;Data!D869&amp;")"))</f>
        <v>Asymptomatic</v>
      </c>
      <c r="E869" s="20" t="str">
        <f aca="false">IF(Data!E869="","",Data!E869)</f>
        <v/>
      </c>
      <c r="F869" s="20" t="n">
        <f aca="false">IF(Data!F869="","",Data!F869)</f>
        <v>204</v>
      </c>
      <c r="G869" s="28" t="str">
        <f aca="false">IF(Data!G869="","",IFERROR(VLOOKUP(Data!G869,Codes!$A$18:$B$19,2,FALSE()),"Invalid ("&amp;Data!G869&amp;")"))</f>
        <v>Yes</v>
      </c>
      <c r="H869" s="28" t="str">
        <f aca="false">IF(Data!H869="","",IFERROR(VLOOKUP(Data!H869,Codes!$A$23:$B$25,2,FALSE()),"Invalid ("&amp;Data!H869&amp;")"))</f>
        <v>ST-T wave abnormality</v>
      </c>
      <c r="I869" s="20" t="str">
        <f aca="false">IF(Data!I869="","",Data!I869)</f>
        <v/>
      </c>
      <c r="J869" s="28" t="str">
        <f aca="false">IF(Data!J869="","",IFERROR(VLOOKUP(Data!J869,Codes!$A$29:$B$30,2,FALSE()),"Invalid ("&amp;Data!J869&amp;")"))</f>
        <v/>
      </c>
      <c r="K869" s="21" t="str">
        <f aca="false">IF(Data!K869="","",Data!K869)</f>
        <v/>
      </c>
      <c r="L869" s="28" t="str">
        <f aca="false">IF(Data!L869="","",IFERROR(VLOOKUP(Data!L869,Codes!$A$34:$B$36,2,FALSE()),"Invalid ("&amp;Data!L869&amp;")"))</f>
        <v/>
      </c>
      <c r="M869" s="20" t="str">
        <f aca="false">IF(Data!M869="","",Data!M869)</f>
        <v/>
      </c>
      <c r="N869" s="28" t="str">
        <f aca="false">IF(Data!N869="","",IFERROR(VLOOKUP(Data!N869,Codes!$A$47:$B$49,2,FALSE()),"Invalid ("&amp;Data!N869&amp;")"))</f>
        <v/>
      </c>
      <c r="O869" s="28" t="str">
        <f aca="false">IF(Data!O869="","",IFERROR(VLOOKUP(Data!O869,Codes!$A$53:$B$57,2,FALSE()),"Invalid ("&amp;Data!O869&amp;")"))</f>
        <v>Disease (1)</v>
      </c>
      <c r="P869" s="22" t="str">
        <f aca="false">IF(Data!P869="","",IFERROR(VLOOKUP(Data!P869,Codes!$A$61:$B$64,2,FALSE()),"Invalid ("&amp;Data!P869&amp;")"))</f>
        <v>VA Medical Center, Long Beach</v>
      </c>
    </row>
    <row r="870" customFormat="false" ht="15" hidden="false" customHeight="false" outlineLevel="0" collapsed="false">
      <c r="A870" s="19" t="n">
        <f aca="false">Data!A870</f>
        <v>869</v>
      </c>
      <c r="B870" s="20" t="n">
        <f aca="false">IF(Data!B870="","",Data!B870)</f>
        <v>57</v>
      </c>
      <c r="C870" s="28" t="str">
        <f aca="false">IF(Data!C870="","",IFERROR(VLOOKUP(Data!C870,Codes!$A$6:$B$7,2,FALSE()),"Invalid ("&amp;Data!C870&amp;")"))</f>
        <v>Male</v>
      </c>
      <c r="D870" s="28" t="str">
        <f aca="false">IF(Data!D870="","",IFERROR(VLOOKUP(Data!D870,Codes!$A$11:$B$14,2,FALSE()),"Invalid ("&amp;Data!D870&amp;")"))</f>
        <v>Asymptomatic</v>
      </c>
      <c r="E870" s="20" t="n">
        <f aca="false">IF(Data!E870="","",Data!E870)</f>
        <v>144</v>
      </c>
      <c r="F870" s="20" t="n">
        <f aca="false">IF(Data!F870="","",Data!F870)</f>
        <v>270</v>
      </c>
      <c r="G870" s="28" t="str">
        <f aca="false">IF(Data!G870="","",IFERROR(VLOOKUP(Data!G870,Codes!$A$18:$B$19,2,FALSE()),"Invalid ("&amp;Data!G870&amp;")"))</f>
        <v>Yes</v>
      </c>
      <c r="H870" s="28" t="str">
        <f aca="false">IF(Data!H870="","",IFERROR(VLOOKUP(Data!H870,Codes!$A$23:$B$25,2,FALSE()),"Invalid ("&amp;Data!H870&amp;")"))</f>
        <v>ST-T wave abnormality</v>
      </c>
      <c r="I870" s="20" t="n">
        <f aca="false">IF(Data!I870="","",Data!I870)</f>
        <v>160</v>
      </c>
      <c r="J870" s="28" t="str">
        <f aca="false">IF(Data!J870="","",IFERROR(VLOOKUP(Data!J870,Codes!$A$29:$B$30,2,FALSE()),"Invalid ("&amp;Data!J870&amp;")"))</f>
        <v>Yes</v>
      </c>
      <c r="K870" s="21" t="n">
        <f aca="false">IF(Data!K870="","",Data!K870)</f>
        <v>2</v>
      </c>
      <c r="L870" s="28" t="str">
        <f aca="false">IF(Data!L870="","",IFERROR(VLOOKUP(Data!L870,Codes!$A$34:$B$36,2,FALSE()),"Invalid ("&amp;Data!L870&amp;")"))</f>
        <v>Flat</v>
      </c>
      <c r="M870" s="20" t="str">
        <f aca="false">IF(Data!M870="","",Data!M870)</f>
        <v/>
      </c>
      <c r="N870" s="28" t="str">
        <f aca="false">IF(Data!N870="","",IFERROR(VLOOKUP(Data!N870,Codes!$A$47:$B$49,2,FALSE()),"Invalid ("&amp;Data!N870&amp;")"))</f>
        <v/>
      </c>
      <c r="O870" s="28" t="str">
        <f aca="false">IF(Data!O870="","",IFERROR(VLOOKUP(Data!O870,Codes!$A$53:$B$57,2,FALSE()),"Invalid ("&amp;Data!O870&amp;")"))</f>
        <v>Disease (3)</v>
      </c>
      <c r="P870" s="22" t="str">
        <f aca="false">IF(Data!P870="","",IFERROR(VLOOKUP(Data!P870,Codes!$A$61:$B$64,2,FALSE()),"Invalid ("&amp;Data!P870&amp;")"))</f>
        <v>VA Medical Center, Long Beach</v>
      </c>
    </row>
    <row r="871" customFormat="false" ht="15" hidden="false" customHeight="false" outlineLevel="0" collapsed="false">
      <c r="A871" s="19" t="n">
        <f aca="false">Data!A871</f>
        <v>870</v>
      </c>
      <c r="B871" s="20" t="n">
        <f aca="false">IF(Data!B871="","",Data!B871)</f>
        <v>61</v>
      </c>
      <c r="C871" s="28" t="str">
        <f aca="false">IF(Data!C871="","",IFERROR(VLOOKUP(Data!C871,Codes!$A$6:$B$7,2,FALSE()),"Invalid ("&amp;Data!C871&amp;")"))</f>
        <v>Male</v>
      </c>
      <c r="D871" s="28" t="str">
        <f aca="false">IF(Data!D871="","",IFERROR(VLOOKUP(Data!D871,Codes!$A$11:$B$14,2,FALSE()),"Invalid ("&amp;Data!D871&amp;")"))</f>
        <v>Asymptomatic</v>
      </c>
      <c r="E871" s="20" t="str">
        <f aca="false">IF(Data!E871="","",Data!E871)</f>
        <v/>
      </c>
      <c r="F871" s="20" t="n">
        <f aca="false">IF(Data!F871="","",Data!F871)</f>
        <v>292</v>
      </c>
      <c r="G871" s="28" t="str">
        <f aca="false">IF(Data!G871="","",IFERROR(VLOOKUP(Data!G871,Codes!$A$18:$B$19,2,FALSE()),"Invalid ("&amp;Data!G871&amp;")"))</f>
        <v>No</v>
      </c>
      <c r="H871" s="28" t="str">
        <f aca="false">IF(Data!H871="","",IFERROR(VLOOKUP(Data!H871,Codes!$A$23:$B$25,2,FALSE()),"Invalid ("&amp;Data!H871&amp;")"))</f>
        <v>ST-T wave abnormality</v>
      </c>
      <c r="I871" s="20" t="str">
        <f aca="false">IF(Data!I871="","",Data!I871)</f>
        <v/>
      </c>
      <c r="J871" s="28" t="str">
        <f aca="false">IF(Data!J871="","",IFERROR(VLOOKUP(Data!J871,Codes!$A$29:$B$30,2,FALSE()),"Invalid ("&amp;Data!J871&amp;")"))</f>
        <v/>
      </c>
      <c r="K871" s="21" t="str">
        <f aca="false">IF(Data!K871="","",Data!K871)</f>
        <v/>
      </c>
      <c r="L871" s="28" t="str">
        <f aca="false">IF(Data!L871="","",IFERROR(VLOOKUP(Data!L871,Codes!$A$34:$B$36,2,FALSE()),"Invalid ("&amp;Data!L871&amp;")"))</f>
        <v/>
      </c>
      <c r="M871" s="20" t="str">
        <f aca="false">IF(Data!M871="","",Data!M871)</f>
        <v/>
      </c>
      <c r="N871" s="28" t="str">
        <f aca="false">IF(Data!N871="","",IFERROR(VLOOKUP(Data!N871,Codes!$A$47:$B$49,2,FALSE()),"Invalid ("&amp;Data!N871&amp;")"))</f>
        <v/>
      </c>
      <c r="O871" s="28" t="str">
        <f aca="false">IF(Data!O871="","",IFERROR(VLOOKUP(Data!O871,Codes!$A$53:$B$57,2,FALSE()),"Invalid ("&amp;Data!O871&amp;")"))</f>
        <v>Disease (3)</v>
      </c>
      <c r="P871" s="22" t="str">
        <f aca="false">IF(Data!P871="","",IFERROR(VLOOKUP(Data!P871,Codes!$A$61:$B$64,2,FALSE()),"Invalid ("&amp;Data!P871&amp;")"))</f>
        <v>VA Medical Center, Long Beach</v>
      </c>
    </row>
    <row r="872" customFormat="false" ht="15" hidden="false" customHeight="false" outlineLevel="0" collapsed="false">
      <c r="A872" s="19" t="n">
        <f aca="false">Data!A872</f>
        <v>871</v>
      </c>
      <c r="B872" s="20" t="n">
        <f aca="false">IF(Data!B872="","",Data!B872)</f>
        <v>41</v>
      </c>
      <c r="C872" s="28" t="str">
        <f aca="false">IF(Data!C872="","",IFERROR(VLOOKUP(Data!C872,Codes!$A$6:$B$7,2,FALSE()),"Invalid ("&amp;Data!C872&amp;")"))</f>
        <v>Male</v>
      </c>
      <c r="D872" s="28" t="str">
        <f aca="false">IF(Data!D872="","",IFERROR(VLOOKUP(Data!D872,Codes!$A$11:$B$14,2,FALSE()),"Invalid ("&amp;Data!D872&amp;")"))</f>
        <v>Asymptomatic</v>
      </c>
      <c r="E872" s="20" t="n">
        <f aca="false">IF(Data!E872="","",Data!E872)</f>
        <v>150</v>
      </c>
      <c r="F872" s="20" t="n">
        <f aca="false">IF(Data!F872="","",Data!F872)</f>
        <v>171</v>
      </c>
      <c r="G872" s="28" t="str">
        <f aca="false">IF(Data!G872="","",IFERROR(VLOOKUP(Data!G872,Codes!$A$18:$B$19,2,FALSE()),"Invalid ("&amp;Data!G872&amp;")"))</f>
        <v>No</v>
      </c>
      <c r="H872" s="28" t="str">
        <f aca="false">IF(Data!H872="","",IFERROR(VLOOKUP(Data!H872,Codes!$A$23:$B$25,2,FALSE()),"Invalid ("&amp;Data!H872&amp;")"))</f>
        <v>Normal</v>
      </c>
      <c r="I872" s="20" t="n">
        <f aca="false">IF(Data!I872="","",Data!I872)</f>
        <v>128</v>
      </c>
      <c r="J872" s="28" t="str">
        <f aca="false">IF(Data!J872="","",IFERROR(VLOOKUP(Data!J872,Codes!$A$29:$B$30,2,FALSE()),"Invalid ("&amp;Data!J872&amp;")"))</f>
        <v>Yes</v>
      </c>
      <c r="K872" s="21" t="n">
        <f aca="false">IF(Data!K872="","",Data!K872)</f>
        <v>1.5</v>
      </c>
      <c r="L872" s="28" t="str">
        <f aca="false">IF(Data!L872="","",IFERROR(VLOOKUP(Data!L872,Codes!$A$34:$B$36,2,FALSE()),"Invalid ("&amp;Data!L872&amp;")"))</f>
        <v>Flat</v>
      </c>
      <c r="M872" s="20" t="str">
        <f aca="false">IF(Data!M872="","",Data!M872)</f>
        <v/>
      </c>
      <c r="N872" s="28" t="str">
        <f aca="false">IF(Data!N872="","",IFERROR(VLOOKUP(Data!N872,Codes!$A$47:$B$49,2,FALSE()),"Invalid ("&amp;Data!N872&amp;")"))</f>
        <v/>
      </c>
      <c r="O872" s="28" t="str">
        <f aca="false">IF(Data!O872="","",IFERROR(VLOOKUP(Data!O872,Codes!$A$53:$B$57,2,FALSE()),"Invalid ("&amp;Data!O872&amp;")"))</f>
        <v>No disease</v>
      </c>
      <c r="P872" s="22" t="str">
        <f aca="false">IF(Data!P872="","",IFERROR(VLOOKUP(Data!P872,Codes!$A$61:$B$64,2,FALSE()),"Invalid ("&amp;Data!P872&amp;")"))</f>
        <v>VA Medical Center, Long Beach</v>
      </c>
    </row>
    <row r="873" customFormat="false" ht="15" hidden="false" customHeight="false" outlineLevel="0" collapsed="false">
      <c r="A873" s="19" t="n">
        <f aca="false">Data!A873</f>
        <v>872</v>
      </c>
      <c r="B873" s="20" t="n">
        <f aca="false">IF(Data!B873="","",Data!B873)</f>
        <v>71</v>
      </c>
      <c r="C873" s="28" t="str">
        <f aca="false">IF(Data!C873="","",IFERROR(VLOOKUP(Data!C873,Codes!$A$6:$B$7,2,FALSE()),"Invalid ("&amp;Data!C873&amp;")"))</f>
        <v>Male</v>
      </c>
      <c r="D873" s="28" t="str">
        <f aca="false">IF(Data!D873="","",IFERROR(VLOOKUP(Data!D873,Codes!$A$11:$B$14,2,FALSE()),"Invalid ("&amp;Data!D873&amp;")"))</f>
        <v>Asymptomatic</v>
      </c>
      <c r="E873" s="20" t="n">
        <f aca="false">IF(Data!E873="","",Data!E873)</f>
        <v>130</v>
      </c>
      <c r="F873" s="20" t="n">
        <f aca="false">IF(Data!F873="","",Data!F873)</f>
        <v>221</v>
      </c>
      <c r="G873" s="28" t="str">
        <f aca="false">IF(Data!G873="","",IFERROR(VLOOKUP(Data!G873,Codes!$A$18:$B$19,2,FALSE()),"Invalid ("&amp;Data!G873&amp;")"))</f>
        <v>No</v>
      </c>
      <c r="H873" s="28" t="str">
        <f aca="false">IF(Data!H873="","",IFERROR(VLOOKUP(Data!H873,Codes!$A$23:$B$25,2,FALSE()),"Invalid ("&amp;Data!H873&amp;")"))</f>
        <v>ST-T wave abnormality</v>
      </c>
      <c r="I873" s="20" t="n">
        <f aca="false">IF(Data!I873="","",Data!I873)</f>
        <v>115</v>
      </c>
      <c r="J873" s="28" t="str">
        <f aca="false">IF(Data!J873="","",IFERROR(VLOOKUP(Data!J873,Codes!$A$29:$B$30,2,FALSE()),"Invalid ("&amp;Data!J873&amp;")"))</f>
        <v>Yes</v>
      </c>
      <c r="K873" s="21" t="n">
        <f aca="false">IF(Data!K873="","",Data!K873)</f>
        <v>0</v>
      </c>
      <c r="L873" s="28" t="str">
        <f aca="false">IF(Data!L873="","",IFERROR(VLOOKUP(Data!L873,Codes!$A$34:$B$36,2,FALSE()),"Invalid ("&amp;Data!L873&amp;")"))</f>
        <v/>
      </c>
      <c r="M873" s="20" t="str">
        <f aca="false">IF(Data!M873="","",Data!M873)</f>
        <v/>
      </c>
      <c r="N873" s="28" t="str">
        <f aca="false">IF(Data!N873="","",IFERROR(VLOOKUP(Data!N873,Codes!$A$47:$B$49,2,FALSE()),"Invalid ("&amp;Data!N873&amp;")"))</f>
        <v/>
      </c>
      <c r="O873" s="28" t="str">
        <f aca="false">IF(Data!O873="","",IFERROR(VLOOKUP(Data!O873,Codes!$A$53:$B$57,2,FALSE()),"Invalid ("&amp;Data!O873&amp;")"))</f>
        <v>Disease (3)</v>
      </c>
      <c r="P873" s="22" t="str">
        <f aca="false">IF(Data!P873="","",IFERROR(VLOOKUP(Data!P873,Codes!$A$61:$B$64,2,FALSE()),"Invalid ("&amp;Data!P873&amp;")"))</f>
        <v>VA Medical Center, Long Beach</v>
      </c>
    </row>
    <row r="874" customFormat="false" ht="15" hidden="false" customHeight="false" outlineLevel="0" collapsed="false">
      <c r="A874" s="19" t="n">
        <f aca="false">Data!A874</f>
        <v>873</v>
      </c>
      <c r="B874" s="20" t="n">
        <f aca="false">IF(Data!B874="","",Data!B874)</f>
        <v>38</v>
      </c>
      <c r="C874" s="28" t="str">
        <f aca="false">IF(Data!C874="","",IFERROR(VLOOKUP(Data!C874,Codes!$A$6:$B$7,2,FALSE()),"Invalid ("&amp;Data!C874&amp;")"))</f>
        <v>Male</v>
      </c>
      <c r="D874" s="28" t="str">
        <f aca="false">IF(Data!D874="","",IFERROR(VLOOKUP(Data!D874,Codes!$A$11:$B$14,2,FALSE()),"Invalid ("&amp;Data!D874&amp;")"))</f>
        <v>Asymptomatic</v>
      </c>
      <c r="E874" s="20" t="n">
        <f aca="false">IF(Data!E874="","",Data!E874)</f>
        <v>110</v>
      </c>
      <c r="F874" s="20" t="n">
        <f aca="false">IF(Data!F874="","",Data!F874)</f>
        <v>289</v>
      </c>
      <c r="G874" s="28" t="str">
        <f aca="false">IF(Data!G874="","",IFERROR(VLOOKUP(Data!G874,Codes!$A$18:$B$19,2,FALSE()),"Invalid ("&amp;Data!G874&amp;")"))</f>
        <v>No</v>
      </c>
      <c r="H874" s="28" t="str">
        <f aca="false">IF(Data!H874="","",IFERROR(VLOOKUP(Data!H874,Codes!$A$23:$B$25,2,FALSE()),"Invalid ("&amp;Data!H874&amp;")"))</f>
        <v>Normal</v>
      </c>
      <c r="I874" s="20" t="n">
        <f aca="false">IF(Data!I874="","",Data!I874)</f>
        <v>105</v>
      </c>
      <c r="J874" s="28" t="str">
        <f aca="false">IF(Data!J874="","",IFERROR(VLOOKUP(Data!J874,Codes!$A$29:$B$30,2,FALSE()),"Invalid ("&amp;Data!J874&amp;")"))</f>
        <v>Yes</v>
      </c>
      <c r="K874" s="21" t="n">
        <f aca="false">IF(Data!K874="","",Data!K874)</f>
        <v>1.5</v>
      </c>
      <c r="L874" s="28" t="str">
        <f aca="false">IF(Data!L874="","",IFERROR(VLOOKUP(Data!L874,Codes!$A$34:$B$36,2,FALSE()),"Invalid ("&amp;Data!L874&amp;")"))</f>
        <v>Downsloping</v>
      </c>
      <c r="M874" s="20" t="str">
        <f aca="false">IF(Data!M874="","",Data!M874)</f>
        <v/>
      </c>
      <c r="N874" s="28" t="str">
        <f aca="false">IF(Data!N874="","",IFERROR(VLOOKUP(Data!N874,Codes!$A$47:$B$49,2,FALSE()),"Invalid ("&amp;Data!N874&amp;")"))</f>
        <v/>
      </c>
      <c r="O874" s="28" t="str">
        <f aca="false">IF(Data!O874="","",IFERROR(VLOOKUP(Data!O874,Codes!$A$53:$B$57,2,FALSE()),"Invalid ("&amp;Data!O874&amp;")"))</f>
        <v>Disease (1)</v>
      </c>
      <c r="P874" s="22" t="str">
        <f aca="false">IF(Data!P874="","",IFERROR(VLOOKUP(Data!P874,Codes!$A$61:$B$64,2,FALSE()),"Invalid ("&amp;Data!P874&amp;")"))</f>
        <v>VA Medical Center, Long Beach</v>
      </c>
    </row>
    <row r="875" customFormat="false" ht="15" hidden="false" customHeight="false" outlineLevel="0" collapsed="false">
      <c r="A875" s="19" t="n">
        <f aca="false">Data!A875</f>
        <v>874</v>
      </c>
      <c r="B875" s="20" t="n">
        <f aca="false">IF(Data!B875="","",Data!B875)</f>
        <v>55</v>
      </c>
      <c r="C875" s="28" t="str">
        <f aca="false">IF(Data!C875="","",IFERROR(VLOOKUP(Data!C875,Codes!$A$6:$B$7,2,FALSE()),"Invalid ("&amp;Data!C875&amp;")"))</f>
        <v>Male</v>
      </c>
      <c r="D875" s="28" t="str">
        <f aca="false">IF(Data!D875="","",IFERROR(VLOOKUP(Data!D875,Codes!$A$11:$B$14,2,FALSE()),"Invalid ("&amp;Data!D875&amp;")"))</f>
        <v>Asymptomatic</v>
      </c>
      <c r="E875" s="20" t="n">
        <f aca="false">IF(Data!E875="","",Data!E875)</f>
        <v>158</v>
      </c>
      <c r="F875" s="20" t="n">
        <f aca="false">IF(Data!F875="","",Data!F875)</f>
        <v>217</v>
      </c>
      <c r="G875" s="28" t="str">
        <f aca="false">IF(Data!G875="","",IFERROR(VLOOKUP(Data!G875,Codes!$A$18:$B$19,2,FALSE()),"Invalid ("&amp;Data!G875&amp;")"))</f>
        <v>No</v>
      </c>
      <c r="H875" s="28" t="str">
        <f aca="false">IF(Data!H875="","",IFERROR(VLOOKUP(Data!H875,Codes!$A$23:$B$25,2,FALSE()),"Invalid ("&amp;Data!H875&amp;")"))</f>
        <v>Normal</v>
      </c>
      <c r="I875" s="20" t="n">
        <f aca="false">IF(Data!I875="","",Data!I875)</f>
        <v>110</v>
      </c>
      <c r="J875" s="28" t="str">
        <f aca="false">IF(Data!J875="","",IFERROR(VLOOKUP(Data!J875,Codes!$A$29:$B$30,2,FALSE()),"Invalid ("&amp;Data!J875&amp;")"))</f>
        <v>Yes</v>
      </c>
      <c r="K875" s="21" t="n">
        <f aca="false">IF(Data!K875="","",Data!K875)</f>
        <v>2.5</v>
      </c>
      <c r="L875" s="28" t="str">
        <f aca="false">IF(Data!L875="","",IFERROR(VLOOKUP(Data!L875,Codes!$A$34:$B$36,2,FALSE()),"Invalid ("&amp;Data!L875&amp;")"))</f>
        <v>Flat</v>
      </c>
      <c r="M875" s="20" t="str">
        <f aca="false">IF(Data!M875="","",Data!M875)</f>
        <v/>
      </c>
      <c r="N875" s="28" t="str">
        <f aca="false">IF(Data!N875="","",IFERROR(VLOOKUP(Data!N875,Codes!$A$47:$B$49,2,FALSE()),"Invalid ("&amp;Data!N875&amp;")"))</f>
        <v/>
      </c>
      <c r="O875" s="28" t="str">
        <f aca="false">IF(Data!O875="","",IFERROR(VLOOKUP(Data!O875,Codes!$A$53:$B$57,2,FALSE()),"Invalid ("&amp;Data!O875&amp;")"))</f>
        <v>Disease (1)</v>
      </c>
      <c r="P875" s="22" t="str">
        <f aca="false">IF(Data!P875="","",IFERROR(VLOOKUP(Data!P875,Codes!$A$61:$B$64,2,FALSE()),"Invalid ("&amp;Data!P875&amp;")"))</f>
        <v>VA Medical Center, Long Beach</v>
      </c>
    </row>
    <row r="876" customFormat="false" ht="15" hidden="false" customHeight="false" outlineLevel="0" collapsed="false">
      <c r="A876" s="19" t="n">
        <f aca="false">Data!A876</f>
        <v>875</v>
      </c>
      <c r="B876" s="20" t="n">
        <f aca="false">IF(Data!B876="","",Data!B876)</f>
        <v>56</v>
      </c>
      <c r="C876" s="28" t="str">
        <f aca="false">IF(Data!C876="","",IFERROR(VLOOKUP(Data!C876,Codes!$A$6:$B$7,2,FALSE()),"Invalid ("&amp;Data!C876&amp;")"))</f>
        <v>Male</v>
      </c>
      <c r="D876" s="28" t="str">
        <f aca="false">IF(Data!D876="","",IFERROR(VLOOKUP(Data!D876,Codes!$A$11:$B$14,2,FALSE()),"Invalid ("&amp;Data!D876&amp;")"))</f>
        <v>Asymptomatic</v>
      </c>
      <c r="E876" s="20" t="n">
        <f aca="false">IF(Data!E876="","",Data!E876)</f>
        <v>128</v>
      </c>
      <c r="F876" s="20" t="n">
        <f aca="false">IF(Data!F876="","",Data!F876)</f>
        <v>223</v>
      </c>
      <c r="G876" s="28" t="str">
        <f aca="false">IF(Data!G876="","",IFERROR(VLOOKUP(Data!G876,Codes!$A$18:$B$19,2,FALSE()),"Invalid ("&amp;Data!G876&amp;")"))</f>
        <v>No</v>
      </c>
      <c r="H876" s="28" t="str">
        <f aca="false">IF(Data!H876="","",IFERROR(VLOOKUP(Data!H876,Codes!$A$23:$B$25,2,FALSE()),"Invalid ("&amp;Data!H876&amp;")"))</f>
        <v>ST-T wave abnormality</v>
      </c>
      <c r="I876" s="20" t="n">
        <f aca="false">IF(Data!I876="","",Data!I876)</f>
        <v>119</v>
      </c>
      <c r="J876" s="28" t="str">
        <f aca="false">IF(Data!J876="","",IFERROR(VLOOKUP(Data!J876,Codes!$A$29:$B$30,2,FALSE()),"Invalid ("&amp;Data!J876&amp;")"))</f>
        <v>Yes</v>
      </c>
      <c r="K876" s="21" t="n">
        <f aca="false">IF(Data!K876="","",Data!K876)</f>
        <v>2</v>
      </c>
      <c r="L876" s="28" t="str">
        <f aca="false">IF(Data!L876="","",IFERROR(VLOOKUP(Data!L876,Codes!$A$34:$B$36,2,FALSE()),"Invalid ("&amp;Data!L876&amp;")"))</f>
        <v>Downsloping</v>
      </c>
      <c r="M876" s="20" t="str">
        <f aca="false">IF(Data!M876="","",Data!M876)</f>
        <v/>
      </c>
      <c r="N876" s="28" t="str">
        <f aca="false">IF(Data!N876="","",IFERROR(VLOOKUP(Data!N876,Codes!$A$47:$B$49,2,FALSE()),"Invalid ("&amp;Data!N876&amp;")"))</f>
        <v/>
      </c>
      <c r="O876" s="28" t="str">
        <f aca="false">IF(Data!O876="","",IFERROR(VLOOKUP(Data!O876,Codes!$A$53:$B$57,2,FALSE()),"Invalid ("&amp;Data!O876&amp;")"))</f>
        <v>Disease (2)</v>
      </c>
      <c r="P876" s="22" t="str">
        <f aca="false">IF(Data!P876="","",IFERROR(VLOOKUP(Data!P876,Codes!$A$61:$B$64,2,FALSE()),"Invalid ("&amp;Data!P876&amp;")"))</f>
        <v>VA Medical Center, Long Beach</v>
      </c>
    </row>
    <row r="877" customFormat="false" ht="15" hidden="false" customHeight="false" outlineLevel="0" collapsed="false">
      <c r="A877" s="19" t="n">
        <f aca="false">Data!A877</f>
        <v>876</v>
      </c>
      <c r="B877" s="20" t="n">
        <f aca="false">IF(Data!B877="","",Data!B877)</f>
        <v>69</v>
      </c>
      <c r="C877" s="28" t="str">
        <f aca="false">IF(Data!C877="","",IFERROR(VLOOKUP(Data!C877,Codes!$A$6:$B$7,2,FALSE()),"Invalid ("&amp;Data!C877&amp;")"))</f>
        <v>Male</v>
      </c>
      <c r="D877" s="28" t="str">
        <f aca="false">IF(Data!D877="","",IFERROR(VLOOKUP(Data!D877,Codes!$A$11:$B$14,2,FALSE()),"Invalid ("&amp;Data!D877&amp;")"))</f>
        <v>Asymptomatic</v>
      </c>
      <c r="E877" s="20" t="str">
        <f aca="false">IF(Data!E877="","",Data!E877)</f>
        <v/>
      </c>
      <c r="F877" s="20" t="str">
        <f aca="false">IF(Data!F877="","",Data!F877)</f>
        <v/>
      </c>
      <c r="G877" s="28" t="str">
        <f aca="false">IF(Data!G877="","",IFERROR(VLOOKUP(Data!G877,Codes!$A$18:$B$19,2,FALSE()),"Invalid ("&amp;Data!G877&amp;")"))</f>
        <v>Yes</v>
      </c>
      <c r="H877" s="28" t="str">
        <f aca="false">IF(Data!H877="","",IFERROR(VLOOKUP(Data!H877,Codes!$A$23:$B$25,2,FALSE()),"Invalid ("&amp;Data!H877&amp;")"))</f>
        <v>Normal</v>
      </c>
      <c r="I877" s="20" t="str">
        <f aca="false">IF(Data!I877="","",Data!I877)</f>
        <v/>
      </c>
      <c r="J877" s="28" t="str">
        <f aca="false">IF(Data!J877="","",IFERROR(VLOOKUP(Data!J877,Codes!$A$29:$B$30,2,FALSE()),"Invalid ("&amp;Data!J877&amp;")"))</f>
        <v/>
      </c>
      <c r="K877" s="21" t="str">
        <f aca="false">IF(Data!K877="","",Data!K877)</f>
        <v/>
      </c>
      <c r="L877" s="28" t="str">
        <f aca="false">IF(Data!L877="","",IFERROR(VLOOKUP(Data!L877,Codes!$A$34:$B$36,2,FALSE()),"Invalid ("&amp;Data!L877&amp;")"))</f>
        <v/>
      </c>
      <c r="M877" s="20" t="str">
        <f aca="false">IF(Data!M877="","",Data!M877)</f>
        <v/>
      </c>
      <c r="N877" s="28" t="str">
        <f aca="false">IF(Data!N877="","",IFERROR(VLOOKUP(Data!N877,Codes!$A$47:$B$49,2,FALSE()),"Invalid ("&amp;Data!N877&amp;")"))</f>
        <v/>
      </c>
      <c r="O877" s="28" t="str">
        <f aca="false">IF(Data!O877="","",IFERROR(VLOOKUP(Data!O877,Codes!$A$53:$B$57,2,FALSE()),"Invalid ("&amp;Data!O877&amp;")"))</f>
        <v>Disease (2)</v>
      </c>
      <c r="P877" s="22" t="str">
        <f aca="false">IF(Data!P877="","",IFERROR(VLOOKUP(Data!P877,Codes!$A$61:$B$64,2,FALSE()),"Invalid ("&amp;Data!P877&amp;")"))</f>
        <v>VA Medical Center, Long Beach</v>
      </c>
    </row>
    <row r="878" customFormat="false" ht="15" hidden="false" customHeight="false" outlineLevel="0" collapsed="false">
      <c r="A878" s="19" t="n">
        <f aca="false">Data!A878</f>
        <v>877</v>
      </c>
      <c r="B878" s="20" t="n">
        <f aca="false">IF(Data!B878="","",Data!B878)</f>
        <v>64</v>
      </c>
      <c r="C878" s="28" t="str">
        <f aca="false">IF(Data!C878="","",IFERROR(VLOOKUP(Data!C878,Codes!$A$6:$B$7,2,FALSE()),"Invalid ("&amp;Data!C878&amp;")"))</f>
        <v>Male</v>
      </c>
      <c r="D878" s="28" t="str">
        <f aca="false">IF(Data!D878="","",IFERROR(VLOOKUP(Data!D878,Codes!$A$11:$B$14,2,FALSE()),"Invalid ("&amp;Data!D878&amp;")"))</f>
        <v>Asymptomatic</v>
      </c>
      <c r="E878" s="20" t="n">
        <f aca="false">IF(Data!E878="","",Data!E878)</f>
        <v>150</v>
      </c>
      <c r="F878" s="20" t="n">
        <f aca="false">IF(Data!F878="","",Data!F878)</f>
        <v>193</v>
      </c>
      <c r="G878" s="28" t="str">
        <f aca="false">IF(Data!G878="","",IFERROR(VLOOKUP(Data!G878,Codes!$A$18:$B$19,2,FALSE()),"Invalid ("&amp;Data!G878&amp;")"))</f>
        <v>No</v>
      </c>
      <c r="H878" s="28" t="str">
        <f aca="false">IF(Data!H878="","",IFERROR(VLOOKUP(Data!H878,Codes!$A$23:$B$25,2,FALSE()),"Invalid ("&amp;Data!H878&amp;")"))</f>
        <v>ST-T wave abnormality</v>
      </c>
      <c r="I878" s="20" t="n">
        <f aca="false">IF(Data!I878="","",Data!I878)</f>
        <v>135</v>
      </c>
      <c r="J878" s="28" t="str">
        <f aca="false">IF(Data!J878="","",IFERROR(VLOOKUP(Data!J878,Codes!$A$29:$B$30,2,FALSE()),"Invalid ("&amp;Data!J878&amp;")"))</f>
        <v>Yes</v>
      </c>
      <c r="K878" s="21" t="n">
        <f aca="false">IF(Data!K878="","",Data!K878)</f>
        <v>0.5</v>
      </c>
      <c r="L878" s="28" t="str">
        <f aca="false">IF(Data!L878="","",IFERROR(VLOOKUP(Data!L878,Codes!$A$34:$B$36,2,FALSE()),"Invalid ("&amp;Data!L878&amp;")"))</f>
        <v>Flat</v>
      </c>
      <c r="M878" s="20" t="str">
        <f aca="false">IF(Data!M878="","",Data!M878)</f>
        <v/>
      </c>
      <c r="N878" s="28" t="str">
        <f aca="false">IF(Data!N878="","",IFERROR(VLOOKUP(Data!N878,Codes!$A$47:$B$49,2,FALSE()),"Invalid ("&amp;Data!N878&amp;")"))</f>
        <v/>
      </c>
      <c r="O878" s="28" t="str">
        <f aca="false">IF(Data!O878="","",IFERROR(VLOOKUP(Data!O878,Codes!$A$53:$B$57,2,FALSE()),"Invalid ("&amp;Data!O878&amp;")"))</f>
        <v>Disease (2)</v>
      </c>
      <c r="P878" s="22" t="str">
        <f aca="false">IF(Data!P878="","",IFERROR(VLOOKUP(Data!P878,Codes!$A$61:$B$64,2,FALSE()),"Invalid ("&amp;Data!P878&amp;")"))</f>
        <v>VA Medical Center, Long Beach</v>
      </c>
    </row>
    <row r="879" customFormat="false" ht="15" hidden="false" customHeight="false" outlineLevel="0" collapsed="false">
      <c r="A879" s="19" t="n">
        <f aca="false">Data!A879</f>
        <v>878</v>
      </c>
      <c r="B879" s="20" t="n">
        <f aca="false">IF(Data!B879="","",Data!B879)</f>
        <v>72</v>
      </c>
      <c r="C879" s="28" t="str">
        <f aca="false">IF(Data!C879="","",IFERROR(VLOOKUP(Data!C879,Codes!$A$6:$B$7,2,FALSE()),"Invalid ("&amp;Data!C879&amp;")"))</f>
        <v>Male</v>
      </c>
      <c r="D879" s="28" t="str">
        <f aca="false">IF(Data!D879="","",IFERROR(VLOOKUP(Data!D879,Codes!$A$11:$B$14,2,FALSE()),"Invalid ("&amp;Data!D879&amp;")"))</f>
        <v>Asymptomatic</v>
      </c>
      <c r="E879" s="20" t="n">
        <f aca="false">IF(Data!E879="","",Data!E879)</f>
        <v>160</v>
      </c>
      <c r="F879" s="20" t="str">
        <f aca="false">IF(Data!F879="","",Data!F879)</f>
        <v/>
      </c>
      <c r="G879" s="28" t="str">
        <f aca="false">IF(Data!G879="","",IFERROR(VLOOKUP(Data!G879,Codes!$A$18:$B$19,2,FALSE()),"Invalid ("&amp;Data!G879&amp;")"))</f>
        <v>Yes</v>
      </c>
      <c r="H879" s="28" t="str">
        <f aca="false">IF(Data!H879="","",IFERROR(VLOOKUP(Data!H879,Codes!$A$23:$B$25,2,FALSE()),"Invalid ("&amp;Data!H879&amp;")"))</f>
        <v>Left ventricular hypertrophy</v>
      </c>
      <c r="I879" s="20" t="n">
        <f aca="false">IF(Data!I879="","",Data!I879)</f>
        <v>130</v>
      </c>
      <c r="J879" s="28" t="str">
        <f aca="false">IF(Data!J879="","",IFERROR(VLOOKUP(Data!J879,Codes!$A$29:$B$30,2,FALSE()),"Invalid ("&amp;Data!J879&amp;")"))</f>
        <v>No</v>
      </c>
      <c r="K879" s="21" t="n">
        <f aca="false">IF(Data!K879="","",Data!K879)</f>
        <v>1.5</v>
      </c>
      <c r="L879" s="28" t="str">
        <f aca="false">IF(Data!L879="","",IFERROR(VLOOKUP(Data!L879,Codes!$A$34:$B$36,2,FALSE()),"Invalid ("&amp;Data!L879&amp;")"))</f>
        <v/>
      </c>
      <c r="M879" s="20" t="str">
        <f aca="false">IF(Data!M879="","",Data!M879)</f>
        <v/>
      </c>
      <c r="N879" s="28" t="str">
        <f aca="false">IF(Data!N879="","",IFERROR(VLOOKUP(Data!N879,Codes!$A$47:$B$49,2,FALSE()),"Invalid ("&amp;Data!N879&amp;")"))</f>
        <v/>
      </c>
      <c r="O879" s="28" t="str">
        <f aca="false">IF(Data!O879="","",IFERROR(VLOOKUP(Data!O879,Codes!$A$53:$B$57,2,FALSE()),"Invalid ("&amp;Data!O879&amp;")"))</f>
        <v>Disease (2)</v>
      </c>
      <c r="P879" s="22" t="str">
        <f aca="false">IF(Data!P879="","",IFERROR(VLOOKUP(Data!P879,Codes!$A$61:$B$64,2,FALSE()),"Invalid ("&amp;Data!P879&amp;")"))</f>
        <v>VA Medical Center, Long Beach</v>
      </c>
    </row>
    <row r="880" customFormat="false" ht="15" hidden="false" customHeight="false" outlineLevel="0" collapsed="false">
      <c r="A880" s="19" t="n">
        <f aca="false">Data!A880</f>
        <v>879</v>
      </c>
      <c r="B880" s="20" t="n">
        <f aca="false">IF(Data!B880="","",Data!B880)</f>
        <v>69</v>
      </c>
      <c r="C880" s="28" t="str">
        <f aca="false">IF(Data!C880="","",IFERROR(VLOOKUP(Data!C880,Codes!$A$6:$B$7,2,FALSE()),"Invalid ("&amp;Data!C880&amp;")"))</f>
        <v>Male</v>
      </c>
      <c r="D880" s="28" t="str">
        <f aca="false">IF(Data!D880="","",IFERROR(VLOOKUP(Data!D880,Codes!$A$11:$B$14,2,FALSE()),"Invalid ("&amp;Data!D880&amp;")"))</f>
        <v>Asymptomatic</v>
      </c>
      <c r="E880" s="20" t="str">
        <f aca="false">IF(Data!E880="","",Data!E880)</f>
        <v/>
      </c>
      <c r="F880" s="20" t="n">
        <f aca="false">IF(Data!F880="","",Data!F880)</f>
        <v>210</v>
      </c>
      <c r="G880" s="28" t="str">
        <f aca="false">IF(Data!G880="","",IFERROR(VLOOKUP(Data!G880,Codes!$A$18:$B$19,2,FALSE()),"Invalid ("&amp;Data!G880&amp;")"))</f>
        <v>Yes</v>
      </c>
      <c r="H880" s="28" t="str">
        <f aca="false">IF(Data!H880="","",IFERROR(VLOOKUP(Data!H880,Codes!$A$23:$B$25,2,FALSE()),"Invalid ("&amp;Data!H880&amp;")"))</f>
        <v>ST-T wave abnormality</v>
      </c>
      <c r="I880" s="20" t="str">
        <f aca="false">IF(Data!I880="","",Data!I880)</f>
        <v/>
      </c>
      <c r="J880" s="28" t="str">
        <f aca="false">IF(Data!J880="","",IFERROR(VLOOKUP(Data!J880,Codes!$A$29:$B$30,2,FALSE()),"Invalid ("&amp;Data!J880&amp;")"))</f>
        <v/>
      </c>
      <c r="K880" s="21" t="str">
        <f aca="false">IF(Data!K880="","",Data!K880)</f>
        <v/>
      </c>
      <c r="L880" s="28" t="str">
        <f aca="false">IF(Data!L880="","",IFERROR(VLOOKUP(Data!L880,Codes!$A$34:$B$36,2,FALSE()),"Invalid ("&amp;Data!L880&amp;")"))</f>
        <v/>
      </c>
      <c r="M880" s="20" t="str">
        <f aca="false">IF(Data!M880="","",Data!M880)</f>
        <v/>
      </c>
      <c r="N880" s="28" t="str">
        <f aca="false">IF(Data!N880="","",IFERROR(VLOOKUP(Data!N880,Codes!$A$47:$B$49,2,FALSE()),"Invalid ("&amp;Data!N880&amp;")"))</f>
        <v/>
      </c>
      <c r="O880" s="28" t="str">
        <f aca="false">IF(Data!O880="","",IFERROR(VLOOKUP(Data!O880,Codes!$A$53:$B$57,2,FALSE()),"Invalid ("&amp;Data!O880&amp;")"))</f>
        <v>Disease (2)</v>
      </c>
      <c r="P880" s="22" t="str">
        <f aca="false">IF(Data!P880="","",IFERROR(VLOOKUP(Data!P880,Codes!$A$61:$B$64,2,FALSE()),"Invalid ("&amp;Data!P880&amp;")"))</f>
        <v>VA Medical Center, Long Beach</v>
      </c>
    </row>
    <row r="881" customFormat="false" ht="15" hidden="false" customHeight="false" outlineLevel="0" collapsed="false">
      <c r="A881" s="19" t="n">
        <f aca="false">Data!A881</f>
        <v>880</v>
      </c>
      <c r="B881" s="20" t="n">
        <f aca="false">IF(Data!B881="","",Data!B881)</f>
        <v>56</v>
      </c>
      <c r="C881" s="28" t="str">
        <f aca="false">IF(Data!C881="","",IFERROR(VLOOKUP(Data!C881,Codes!$A$6:$B$7,2,FALSE()),"Invalid ("&amp;Data!C881&amp;")"))</f>
        <v>Male</v>
      </c>
      <c r="D881" s="28" t="str">
        <f aca="false">IF(Data!D881="","",IFERROR(VLOOKUP(Data!D881,Codes!$A$11:$B$14,2,FALSE()),"Invalid ("&amp;Data!D881&amp;")"))</f>
        <v>Asymptomatic</v>
      </c>
      <c r="E881" s="20" t="str">
        <f aca="false">IF(Data!E881="","",Data!E881)</f>
        <v/>
      </c>
      <c r="F881" s="20" t="n">
        <f aca="false">IF(Data!F881="","",Data!F881)</f>
        <v>282</v>
      </c>
      <c r="G881" s="28" t="str">
        <f aca="false">IF(Data!G881="","",IFERROR(VLOOKUP(Data!G881,Codes!$A$18:$B$19,2,FALSE()),"Invalid ("&amp;Data!G881&amp;")"))</f>
        <v>Yes</v>
      </c>
      <c r="H881" s="28" t="str">
        <f aca="false">IF(Data!H881="","",IFERROR(VLOOKUP(Data!H881,Codes!$A$23:$B$25,2,FALSE()),"Invalid ("&amp;Data!H881&amp;")"))</f>
        <v>Normal</v>
      </c>
      <c r="I881" s="20" t="str">
        <f aca="false">IF(Data!I881="","",Data!I881)</f>
        <v/>
      </c>
      <c r="J881" s="28" t="str">
        <f aca="false">IF(Data!J881="","",IFERROR(VLOOKUP(Data!J881,Codes!$A$29:$B$30,2,FALSE()),"Invalid ("&amp;Data!J881&amp;")"))</f>
        <v/>
      </c>
      <c r="K881" s="21" t="str">
        <f aca="false">IF(Data!K881="","",Data!K881)</f>
        <v/>
      </c>
      <c r="L881" s="28" t="str">
        <f aca="false">IF(Data!L881="","",IFERROR(VLOOKUP(Data!L881,Codes!$A$34:$B$36,2,FALSE()),"Invalid ("&amp;Data!L881&amp;")"))</f>
        <v/>
      </c>
      <c r="M881" s="20" t="str">
        <f aca="false">IF(Data!M881="","",Data!M881)</f>
        <v/>
      </c>
      <c r="N881" s="28" t="str">
        <f aca="false">IF(Data!N881="","",IFERROR(VLOOKUP(Data!N881,Codes!$A$47:$B$49,2,FALSE()),"Invalid ("&amp;Data!N881&amp;")"))</f>
        <v/>
      </c>
      <c r="O881" s="28" t="str">
        <f aca="false">IF(Data!O881="","",IFERROR(VLOOKUP(Data!O881,Codes!$A$53:$B$57,2,FALSE()),"Invalid ("&amp;Data!O881&amp;")"))</f>
        <v>Disease (1)</v>
      </c>
      <c r="P881" s="22" t="str">
        <f aca="false">IF(Data!P881="","",IFERROR(VLOOKUP(Data!P881,Codes!$A$61:$B$64,2,FALSE()),"Invalid ("&amp;Data!P881&amp;")"))</f>
        <v>VA Medical Center, Long Beach</v>
      </c>
    </row>
    <row r="882" customFormat="false" ht="15" hidden="false" customHeight="false" outlineLevel="0" collapsed="false">
      <c r="A882" s="19" t="n">
        <f aca="false">Data!A882</f>
        <v>881</v>
      </c>
      <c r="B882" s="20" t="n">
        <f aca="false">IF(Data!B882="","",Data!B882)</f>
        <v>62</v>
      </c>
      <c r="C882" s="28" t="str">
        <f aca="false">IF(Data!C882="","",IFERROR(VLOOKUP(Data!C882,Codes!$A$6:$B$7,2,FALSE()),"Invalid ("&amp;Data!C882&amp;")"))</f>
        <v>Male</v>
      </c>
      <c r="D882" s="28" t="str">
        <f aca="false">IF(Data!D882="","",IFERROR(VLOOKUP(Data!D882,Codes!$A$11:$B$14,2,FALSE()),"Invalid ("&amp;Data!D882&amp;")"))</f>
        <v>Asymptomatic</v>
      </c>
      <c r="E882" s="20" t="str">
        <f aca="false">IF(Data!E882="","",Data!E882)</f>
        <v/>
      </c>
      <c r="F882" s="20" t="n">
        <f aca="false">IF(Data!F882="","",Data!F882)</f>
        <v>170</v>
      </c>
      <c r="G882" s="28" t="str">
        <f aca="false">IF(Data!G882="","",IFERROR(VLOOKUP(Data!G882,Codes!$A$18:$B$19,2,FALSE()),"Invalid ("&amp;Data!G882&amp;")"))</f>
        <v>No</v>
      </c>
      <c r="H882" s="28" t="str">
        <f aca="false">IF(Data!H882="","",IFERROR(VLOOKUP(Data!H882,Codes!$A$23:$B$25,2,FALSE()),"Invalid ("&amp;Data!H882&amp;")"))</f>
        <v>ST-T wave abnormality</v>
      </c>
      <c r="I882" s="20" t="n">
        <f aca="false">IF(Data!I882="","",Data!I882)</f>
        <v>120</v>
      </c>
      <c r="J882" s="28" t="str">
        <f aca="false">IF(Data!J882="","",IFERROR(VLOOKUP(Data!J882,Codes!$A$29:$B$30,2,FALSE()),"Invalid ("&amp;Data!J882&amp;")"))</f>
        <v>Yes</v>
      </c>
      <c r="K882" s="21" t="n">
        <f aca="false">IF(Data!K882="","",Data!K882)</f>
        <v>3</v>
      </c>
      <c r="L882" s="28" t="str">
        <f aca="false">IF(Data!L882="","",IFERROR(VLOOKUP(Data!L882,Codes!$A$34:$B$36,2,FALSE()),"Invalid ("&amp;Data!L882&amp;")"))</f>
        <v/>
      </c>
      <c r="M882" s="20" t="str">
        <f aca="false">IF(Data!M882="","",Data!M882)</f>
        <v/>
      </c>
      <c r="N882" s="28" t="str">
        <f aca="false">IF(Data!N882="","",IFERROR(VLOOKUP(Data!N882,Codes!$A$47:$B$49,2,FALSE()),"Invalid ("&amp;Data!N882&amp;")"))</f>
        <v/>
      </c>
      <c r="O882" s="28" t="str">
        <f aca="false">IF(Data!O882="","",IFERROR(VLOOKUP(Data!O882,Codes!$A$53:$B$57,2,FALSE()),"Invalid ("&amp;Data!O882&amp;")"))</f>
        <v>Disease (4)</v>
      </c>
      <c r="P882" s="22" t="str">
        <f aca="false">IF(Data!P882="","",IFERROR(VLOOKUP(Data!P882,Codes!$A$61:$B$64,2,FALSE()),"Invalid ("&amp;Data!P882&amp;")"))</f>
        <v>VA Medical Center, Long Beach</v>
      </c>
    </row>
    <row r="883" customFormat="false" ht="15" hidden="false" customHeight="false" outlineLevel="0" collapsed="false">
      <c r="A883" s="19" t="n">
        <f aca="false">Data!A883</f>
        <v>882</v>
      </c>
      <c r="B883" s="20" t="n">
        <f aca="false">IF(Data!B883="","",Data!B883)</f>
        <v>67</v>
      </c>
      <c r="C883" s="28" t="str">
        <f aca="false">IF(Data!C883="","",IFERROR(VLOOKUP(Data!C883,Codes!$A$6:$B$7,2,FALSE()),"Invalid ("&amp;Data!C883&amp;")"))</f>
        <v>Male</v>
      </c>
      <c r="D883" s="28" t="str">
        <f aca="false">IF(Data!D883="","",IFERROR(VLOOKUP(Data!D883,Codes!$A$11:$B$14,2,FALSE()),"Invalid ("&amp;Data!D883&amp;")"))</f>
        <v>Asymptomatic</v>
      </c>
      <c r="E883" s="20" t="str">
        <f aca="false">IF(Data!E883="","",Data!E883)</f>
        <v/>
      </c>
      <c r="F883" s="20" t="n">
        <f aca="false">IF(Data!F883="","",Data!F883)</f>
        <v>369</v>
      </c>
      <c r="G883" s="28" t="str">
        <f aca="false">IF(Data!G883="","",IFERROR(VLOOKUP(Data!G883,Codes!$A$18:$B$19,2,FALSE()),"Invalid ("&amp;Data!G883&amp;")"))</f>
        <v>No</v>
      </c>
      <c r="H883" s="28" t="str">
        <f aca="false">IF(Data!H883="","",IFERROR(VLOOKUP(Data!H883,Codes!$A$23:$B$25,2,FALSE()),"Invalid ("&amp;Data!H883&amp;")"))</f>
        <v>Normal</v>
      </c>
      <c r="I883" s="20" t="str">
        <f aca="false">IF(Data!I883="","",Data!I883)</f>
        <v/>
      </c>
      <c r="J883" s="28" t="str">
        <f aca="false">IF(Data!J883="","",IFERROR(VLOOKUP(Data!J883,Codes!$A$29:$B$30,2,FALSE()),"Invalid ("&amp;Data!J883&amp;")"))</f>
        <v/>
      </c>
      <c r="K883" s="21" t="str">
        <f aca="false">IF(Data!K883="","",Data!K883)</f>
        <v/>
      </c>
      <c r="L883" s="28" t="str">
        <f aca="false">IF(Data!L883="","",IFERROR(VLOOKUP(Data!L883,Codes!$A$34:$B$36,2,FALSE()),"Invalid ("&amp;Data!L883&amp;")"))</f>
        <v/>
      </c>
      <c r="M883" s="20" t="str">
        <f aca="false">IF(Data!M883="","",Data!M883)</f>
        <v/>
      </c>
      <c r="N883" s="28" t="str">
        <f aca="false">IF(Data!N883="","",IFERROR(VLOOKUP(Data!N883,Codes!$A$47:$B$49,2,FALSE()),"Invalid ("&amp;Data!N883&amp;")"))</f>
        <v/>
      </c>
      <c r="O883" s="28" t="str">
        <f aca="false">IF(Data!O883="","",IFERROR(VLOOKUP(Data!O883,Codes!$A$53:$B$57,2,FALSE()),"Invalid ("&amp;Data!O883&amp;")"))</f>
        <v>Disease (3)</v>
      </c>
      <c r="P883" s="22" t="str">
        <f aca="false">IF(Data!P883="","",IFERROR(VLOOKUP(Data!P883,Codes!$A$61:$B$64,2,FALSE()),"Invalid ("&amp;Data!P883&amp;")"))</f>
        <v>VA Medical Center, Long Beach</v>
      </c>
    </row>
    <row r="884" customFormat="false" ht="15" hidden="false" customHeight="false" outlineLevel="0" collapsed="false">
      <c r="A884" s="19" t="n">
        <f aca="false">Data!A884</f>
        <v>883</v>
      </c>
      <c r="B884" s="20" t="n">
        <f aca="false">IF(Data!B884="","",Data!B884)</f>
        <v>57</v>
      </c>
      <c r="C884" s="28" t="str">
        <f aca="false">IF(Data!C884="","",IFERROR(VLOOKUP(Data!C884,Codes!$A$6:$B$7,2,FALSE()),"Invalid ("&amp;Data!C884&amp;")"))</f>
        <v>Male</v>
      </c>
      <c r="D884" s="28" t="str">
        <f aca="false">IF(Data!D884="","",IFERROR(VLOOKUP(Data!D884,Codes!$A$11:$B$14,2,FALSE()),"Invalid ("&amp;Data!D884&amp;")"))</f>
        <v>Asymptomatic</v>
      </c>
      <c r="E884" s="20" t="n">
        <f aca="false">IF(Data!E884="","",Data!E884)</f>
        <v>156</v>
      </c>
      <c r="F884" s="20" t="n">
        <f aca="false">IF(Data!F884="","",Data!F884)</f>
        <v>173</v>
      </c>
      <c r="G884" s="28" t="str">
        <f aca="false">IF(Data!G884="","",IFERROR(VLOOKUP(Data!G884,Codes!$A$18:$B$19,2,FALSE()),"Invalid ("&amp;Data!G884&amp;")"))</f>
        <v>No</v>
      </c>
      <c r="H884" s="28" t="str">
        <f aca="false">IF(Data!H884="","",IFERROR(VLOOKUP(Data!H884,Codes!$A$23:$B$25,2,FALSE()),"Invalid ("&amp;Data!H884&amp;")"))</f>
        <v>Left ventricular hypertrophy</v>
      </c>
      <c r="I884" s="20" t="n">
        <f aca="false">IF(Data!I884="","",Data!I884)</f>
        <v>119</v>
      </c>
      <c r="J884" s="28" t="str">
        <f aca="false">IF(Data!J884="","",IFERROR(VLOOKUP(Data!J884,Codes!$A$29:$B$30,2,FALSE()),"Invalid ("&amp;Data!J884&amp;")"))</f>
        <v>Yes</v>
      </c>
      <c r="K884" s="21" t="n">
        <f aca="false">IF(Data!K884="","",Data!K884)</f>
        <v>3</v>
      </c>
      <c r="L884" s="28" t="str">
        <f aca="false">IF(Data!L884="","",IFERROR(VLOOKUP(Data!L884,Codes!$A$34:$B$36,2,FALSE()),"Invalid ("&amp;Data!L884&amp;")"))</f>
        <v>Downsloping</v>
      </c>
      <c r="M884" s="20" t="str">
        <f aca="false">IF(Data!M884="","",Data!M884)</f>
        <v/>
      </c>
      <c r="N884" s="28" t="str">
        <f aca="false">IF(Data!N884="","",IFERROR(VLOOKUP(Data!N884,Codes!$A$47:$B$49,2,FALSE()),"Invalid ("&amp;Data!N884&amp;")"))</f>
        <v/>
      </c>
      <c r="O884" s="28" t="str">
        <f aca="false">IF(Data!O884="","",IFERROR(VLOOKUP(Data!O884,Codes!$A$53:$B$57,2,FALSE()),"Invalid ("&amp;Data!O884&amp;")"))</f>
        <v>Disease (3)</v>
      </c>
      <c r="P884" s="22" t="str">
        <f aca="false">IF(Data!P884="","",IFERROR(VLOOKUP(Data!P884,Codes!$A$61:$B$64,2,FALSE()),"Invalid ("&amp;Data!P884&amp;")"))</f>
        <v>VA Medical Center, Long Beach</v>
      </c>
    </row>
    <row r="885" customFormat="false" ht="15" hidden="false" customHeight="false" outlineLevel="0" collapsed="false">
      <c r="A885" s="19" t="n">
        <f aca="false">Data!A885</f>
        <v>884</v>
      </c>
      <c r="B885" s="20" t="n">
        <f aca="false">IF(Data!B885="","",Data!B885)</f>
        <v>69</v>
      </c>
      <c r="C885" s="28" t="str">
        <f aca="false">IF(Data!C885="","",IFERROR(VLOOKUP(Data!C885,Codes!$A$6:$B$7,2,FALSE()),"Invalid ("&amp;Data!C885&amp;")"))</f>
        <v>Male</v>
      </c>
      <c r="D885" s="28" t="str">
        <f aca="false">IF(Data!D885="","",IFERROR(VLOOKUP(Data!D885,Codes!$A$11:$B$14,2,FALSE()),"Invalid ("&amp;Data!D885&amp;")"))</f>
        <v>Asymptomatic</v>
      </c>
      <c r="E885" s="20" t="str">
        <f aca="false">IF(Data!E885="","",Data!E885)</f>
        <v/>
      </c>
      <c r="F885" s="20" t="n">
        <f aca="false">IF(Data!F885="","",Data!F885)</f>
        <v>289</v>
      </c>
      <c r="G885" s="28" t="str">
        <f aca="false">IF(Data!G885="","",IFERROR(VLOOKUP(Data!G885,Codes!$A$18:$B$19,2,FALSE()),"Invalid ("&amp;Data!G885&amp;")"))</f>
        <v>Yes</v>
      </c>
      <c r="H885" s="28" t="str">
        <f aca="false">IF(Data!H885="","",IFERROR(VLOOKUP(Data!H885,Codes!$A$23:$B$25,2,FALSE()),"Invalid ("&amp;Data!H885&amp;")"))</f>
        <v>ST-T wave abnormality</v>
      </c>
      <c r="I885" s="20" t="str">
        <f aca="false">IF(Data!I885="","",Data!I885)</f>
        <v/>
      </c>
      <c r="J885" s="28" t="str">
        <f aca="false">IF(Data!J885="","",IFERROR(VLOOKUP(Data!J885,Codes!$A$29:$B$30,2,FALSE()),"Invalid ("&amp;Data!J885&amp;")"))</f>
        <v/>
      </c>
      <c r="K885" s="21" t="str">
        <f aca="false">IF(Data!K885="","",Data!K885)</f>
        <v/>
      </c>
      <c r="L885" s="28" t="str">
        <f aca="false">IF(Data!L885="","",IFERROR(VLOOKUP(Data!L885,Codes!$A$34:$B$36,2,FALSE()),"Invalid ("&amp;Data!L885&amp;")"))</f>
        <v/>
      </c>
      <c r="M885" s="20" t="str">
        <f aca="false">IF(Data!M885="","",Data!M885)</f>
        <v/>
      </c>
      <c r="N885" s="28" t="str">
        <f aca="false">IF(Data!N885="","",IFERROR(VLOOKUP(Data!N885,Codes!$A$47:$B$49,2,FALSE()),"Invalid ("&amp;Data!N885&amp;")"))</f>
        <v/>
      </c>
      <c r="O885" s="28" t="str">
        <f aca="false">IF(Data!O885="","",IFERROR(VLOOKUP(Data!O885,Codes!$A$53:$B$57,2,FALSE()),"Invalid ("&amp;Data!O885&amp;")"))</f>
        <v>Disease (3)</v>
      </c>
      <c r="P885" s="22" t="str">
        <f aca="false">IF(Data!P885="","",IFERROR(VLOOKUP(Data!P885,Codes!$A$61:$B$64,2,FALSE()),"Invalid ("&amp;Data!P885&amp;")"))</f>
        <v>VA Medical Center, Long Beach</v>
      </c>
    </row>
    <row r="886" customFormat="false" ht="15" hidden="false" customHeight="false" outlineLevel="0" collapsed="false">
      <c r="A886" s="19" t="n">
        <f aca="false">Data!A886</f>
        <v>885</v>
      </c>
      <c r="B886" s="20" t="n">
        <f aca="false">IF(Data!B886="","",Data!B886)</f>
        <v>51</v>
      </c>
      <c r="C886" s="28" t="str">
        <f aca="false">IF(Data!C886="","",IFERROR(VLOOKUP(Data!C886,Codes!$A$6:$B$7,2,FALSE()),"Invalid ("&amp;Data!C886&amp;")"))</f>
        <v>Male</v>
      </c>
      <c r="D886" s="28" t="str">
        <f aca="false">IF(Data!D886="","",IFERROR(VLOOKUP(Data!D886,Codes!$A$11:$B$14,2,FALSE()),"Invalid ("&amp;Data!D886&amp;")"))</f>
        <v>Asymptomatic</v>
      </c>
      <c r="E886" s="20" t="str">
        <f aca="false">IF(Data!E886="","",Data!E886)</f>
        <v/>
      </c>
      <c r="F886" s="20" t="str">
        <f aca="false">IF(Data!F886="","",Data!F886)</f>
        <v/>
      </c>
      <c r="G886" s="28" t="str">
        <f aca="false">IF(Data!G886="","",IFERROR(VLOOKUP(Data!G886,Codes!$A$18:$B$19,2,FALSE()),"Invalid ("&amp;Data!G886&amp;")"))</f>
        <v>Yes</v>
      </c>
      <c r="H886" s="28" t="str">
        <f aca="false">IF(Data!H886="","",IFERROR(VLOOKUP(Data!H886,Codes!$A$23:$B$25,2,FALSE()),"Invalid ("&amp;Data!H886&amp;")"))</f>
        <v>Left ventricular hypertrophy</v>
      </c>
      <c r="I886" s="20" t="str">
        <f aca="false">IF(Data!I886="","",Data!I886)</f>
        <v/>
      </c>
      <c r="J886" s="28" t="str">
        <f aca="false">IF(Data!J886="","",IFERROR(VLOOKUP(Data!J886,Codes!$A$29:$B$30,2,FALSE()),"Invalid ("&amp;Data!J886&amp;")"))</f>
        <v/>
      </c>
      <c r="K886" s="21" t="str">
        <f aca="false">IF(Data!K886="","",Data!K886)</f>
        <v/>
      </c>
      <c r="L886" s="28" t="str">
        <f aca="false">IF(Data!L886="","",IFERROR(VLOOKUP(Data!L886,Codes!$A$34:$B$36,2,FALSE()),"Invalid ("&amp;Data!L886&amp;")"))</f>
        <v/>
      </c>
      <c r="M886" s="20" t="str">
        <f aca="false">IF(Data!M886="","",Data!M886)</f>
        <v/>
      </c>
      <c r="N886" s="28" t="str">
        <f aca="false">IF(Data!N886="","",IFERROR(VLOOKUP(Data!N886,Codes!$A$47:$B$49,2,FALSE()),"Invalid ("&amp;Data!N886&amp;")"))</f>
        <v>Reversible defect</v>
      </c>
      <c r="O886" s="28" t="str">
        <f aca="false">IF(Data!O886="","",IFERROR(VLOOKUP(Data!O886,Codes!$A$53:$B$57,2,FALSE()),"Invalid ("&amp;Data!O886&amp;")"))</f>
        <v>Disease (1)</v>
      </c>
      <c r="P886" s="22" t="str">
        <f aca="false">IF(Data!P886="","",IFERROR(VLOOKUP(Data!P886,Codes!$A$61:$B$64,2,FALSE()),"Invalid ("&amp;Data!P886&amp;")"))</f>
        <v>VA Medical Center, Long Beach</v>
      </c>
    </row>
    <row r="887" customFormat="false" ht="15" hidden="false" customHeight="false" outlineLevel="0" collapsed="false">
      <c r="A887" s="19" t="n">
        <f aca="false">Data!A887</f>
        <v>886</v>
      </c>
      <c r="B887" s="20" t="n">
        <f aca="false">IF(Data!B887="","",Data!B887)</f>
        <v>48</v>
      </c>
      <c r="C887" s="28" t="str">
        <f aca="false">IF(Data!C887="","",IFERROR(VLOOKUP(Data!C887,Codes!$A$6:$B$7,2,FALSE()),"Invalid ("&amp;Data!C887&amp;")"))</f>
        <v>Male</v>
      </c>
      <c r="D887" s="28" t="str">
        <f aca="false">IF(Data!D887="","",IFERROR(VLOOKUP(Data!D887,Codes!$A$11:$B$14,2,FALSE()),"Invalid ("&amp;Data!D887&amp;")"))</f>
        <v>Asymptomatic</v>
      </c>
      <c r="E887" s="20" t="n">
        <f aca="false">IF(Data!E887="","",Data!E887)</f>
        <v>140</v>
      </c>
      <c r="F887" s="20" t="str">
        <f aca="false">IF(Data!F887="","",Data!F887)</f>
        <v/>
      </c>
      <c r="G887" s="28" t="str">
        <f aca="false">IF(Data!G887="","",IFERROR(VLOOKUP(Data!G887,Codes!$A$18:$B$19,2,FALSE()),"Invalid ("&amp;Data!G887&amp;")"))</f>
        <v>No</v>
      </c>
      <c r="H887" s="28" t="str">
        <f aca="false">IF(Data!H887="","",IFERROR(VLOOKUP(Data!H887,Codes!$A$23:$B$25,2,FALSE()),"Invalid ("&amp;Data!H887&amp;")"))</f>
        <v>Normal</v>
      </c>
      <c r="I887" s="20" t="n">
        <f aca="false">IF(Data!I887="","",Data!I887)</f>
        <v>159</v>
      </c>
      <c r="J887" s="28" t="str">
        <f aca="false">IF(Data!J887="","",IFERROR(VLOOKUP(Data!J887,Codes!$A$29:$B$30,2,FALSE()),"Invalid ("&amp;Data!J887&amp;")"))</f>
        <v>Yes</v>
      </c>
      <c r="K887" s="21" t="n">
        <f aca="false">IF(Data!K887="","",Data!K887)</f>
        <v>1.5</v>
      </c>
      <c r="L887" s="28" t="str">
        <f aca="false">IF(Data!L887="","",IFERROR(VLOOKUP(Data!L887,Codes!$A$34:$B$36,2,FALSE()),"Invalid ("&amp;Data!L887&amp;")"))</f>
        <v>Upsloping</v>
      </c>
      <c r="M887" s="20" t="str">
        <f aca="false">IF(Data!M887="","",Data!M887)</f>
        <v/>
      </c>
      <c r="N887" s="28" t="str">
        <f aca="false">IF(Data!N887="","",IFERROR(VLOOKUP(Data!N887,Codes!$A$47:$B$49,2,FALSE()),"Invalid ("&amp;Data!N887&amp;")"))</f>
        <v/>
      </c>
      <c r="O887" s="28" t="str">
        <f aca="false">IF(Data!O887="","",IFERROR(VLOOKUP(Data!O887,Codes!$A$53:$B$57,2,FALSE()),"Invalid ("&amp;Data!O887&amp;")"))</f>
        <v>Disease (3)</v>
      </c>
      <c r="P887" s="22" t="str">
        <f aca="false">IF(Data!P887="","",IFERROR(VLOOKUP(Data!P887,Codes!$A$61:$B$64,2,FALSE()),"Invalid ("&amp;Data!P887&amp;")"))</f>
        <v>VA Medical Center, Long Beach</v>
      </c>
    </row>
    <row r="888" customFormat="false" ht="15" hidden="false" customHeight="false" outlineLevel="0" collapsed="false">
      <c r="A888" s="19" t="n">
        <f aca="false">Data!A888</f>
        <v>887</v>
      </c>
      <c r="B888" s="20" t="n">
        <f aca="false">IF(Data!B888="","",Data!B888)</f>
        <v>69</v>
      </c>
      <c r="C888" s="28" t="str">
        <f aca="false">IF(Data!C888="","",IFERROR(VLOOKUP(Data!C888,Codes!$A$6:$B$7,2,FALSE()),"Invalid ("&amp;Data!C888&amp;")"))</f>
        <v>Male</v>
      </c>
      <c r="D888" s="28" t="str">
        <f aca="false">IF(Data!D888="","",IFERROR(VLOOKUP(Data!D888,Codes!$A$11:$B$14,2,FALSE()),"Invalid ("&amp;Data!D888&amp;")"))</f>
        <v>Asymptomatic</v>
      </c>
      <c r="E888" s="20" t="n">
        <f aca="false">IF(Data!E888="","",Data!E888)</f>
        <v>122</v>
      </c>
      <c r="F888" s="20" t="n">
        <f aca="false">IF(Data!F888="","",Data!F888)</f>
        <v>216</v>
      </c>
      <c r="G888" s="28" t="str">
        <f aca="false">IF(Data!G888="","",IFERROR(VLOOKUP(Data!G888,Codes!$A$18:$B$19,2,FALSE()),"Invalid ("&amp;Data!G888&amp;")"))</f>
        <v>Yes</v>
      </c>
      <c r="H888" s="28" t="str">
        <f aca="false">IF(Data!H888="","",IFERROR(VLOOKUP(Data!H888,Codes!$A$23:$B$25,2,FALSE()),"Invalid ("&amp;Data!H888&amp;")"))</f>
        <v>Left ventricular hypertrophy</v>
      </c>
      <c r="I888" s="20" t="n">
        <f aca="false">IF(Data!I888="","",Data!I888)</f>
        <v>84</v>
      </c>
      <c r="J888" s="28" t="str">
        <f aca="false">IF(Data!J888="","",IFERROR(VLOOKUP(Data!J888,Codes!$A$29:$B$30,2,FALSE()),"Invalid ("&amp;Data!J888&amp;")"))</f>
        <v>Yes</v>
      </c>
      <c r="K888" s="21" t="n">
        <f aca="false">IF(Data!K888="","",Data!K888)</f>
        <v>0</v>
      </c>
      <c r="L888" s="28" t="str">
        <f aca="false">IF(Data!L888="","",IFERROR(VLOOKUP(Data!L888,Codes!$A$34:$B$36,2,FALSE()),"Invalid ("&amp;Data!L888&amp;")"))</f>
        <v/>
      </c>
      <c r="M888" s="20" t="str">
        <f aca="false">IF(Data!M888="","",Data!M888)</f>
        <v/>
      </c>
      <c r="N888" s="28" t="str">
        <f aca="false">IF(Data!N888="","",IFERROR(VLOOKUP(Data!N888,Codes!$A$47:$B$49,2,FALSE()),"Invalid ("&amp;Data!N888&amp;")"))</f>
        <v>Reversible defect</v>
      </c>
      <c r="O888" s="28" t="str">
        <f aca="false">IF(Data!O888="","",IFERROR(VLOOKUP(Data!O888,Codes!$A$53:$B$57,2,FALSE()),"Invalid ("&amp;Data!O888&amp;")"))</f>
        <v>Disease (2)</v>
      </c>
      <c r="P888" s="22" t="str">
        <f aca="false">IF(Data!P888="","",IFERROR(VLOOKUP(Data!P888,Codes!$A$61:$B$64,2,FALSE()),"Invalid ("&amp;Data!P888&amp;")"))</f>
        <v>VA Medical Center, Long Beach</v>
      </c>
    </row>
    <row r="889" customFormat="false" ht="15" hidden="false" customHeight="false" outlineLevel="0" collapsed="false">
      <c r="A889" s="19" t="n">
        <f aca="false">Data!A889</f>
        <v>888</v>
      </c>
      <c r="B889" s="20" t="n">
        <f aca="false">IF(Data!B889="","",Data!B889)</f>
        <v>69</v>
      </c>
      <c r="C889" s="28" t="str">
        <f aca="false">IF(Data!C889="","",IFERROR(VLOOKUP(Data!C889,Codes!$A$6:$B$7,2,FALSE()),"Invalid ("&amp;Data!C889&amp;")"))</f>
        <v>Male</v>
      </c>
      <c r="D889" s="28" t="str">
        <f aca="false">IF(Data!D889="","",IFERROR(VLOOKUP(Data!D889,Codes!$A$11:$B$14,2,FALSE()),"Invalid ("&amp;Data!D889&amp;")"))</f>
        <v>Non-anginal pain</v>
      </c>
      <c r="E889" s="20" t="str">
        <f aca="false">IF(Data!E889="","",Data!E889)</f>
        <v/>
      </c>
      <c r="F889" s="20" t="n">
        <f aca="false">IF(Data!F889="","",Data!F889)</f>
        <v>271</v>
      </c>
      <c r="G889" s="28" t="str">
        <f aca="false">IF(Data!G889="","",IFERROR(VLOOKUP(Data!G889,Codes!$A$18:$B$19,2,FALSE()),"Invalid ("&amp;Data!G889&amp;")"))</f>
        <v>No</v>
      </c>
      <c r="H889" s="28" t="str">
        <f aca="false">IF(Data!H889="","",IFERROR(VLOOKUP(Data!H889,Codes!$A$23:$B$25,2,FALSE()),"Invalid ("&amp;Data!H889&amp;")"))</f>
        <v>Left ventricular hypertrophy</v>
      </c>
      <c r="I889" s="20" t="str">
        <f aca="false">IF(Data!I889="","",Data!I889)</f>
        <v/>
      </c>
      <c r="J889" s="28" t="str">
        <f aca="false">IF(Data!J889="","",IFERROR(VLOOKUP(Data!J889,Codes!$A$29:$B$30,2,FALSE()),"Invalid ("&amp;Data!J889&amp;")"))</f>
        <v/>
      </c>
      <c r="K889" s="21" t="str">
        <f aca="false">IF(Data!K889="","",Data!K889)</f>
        <v/>
      </c>
      <c r="L889" s="28" t="str">
        <f aca="false">IF(Data!L889="","",IFERROR(VLOOKUP(Data!L889,Codes!$A$34:$B$36,2,FALSE()),"Invalid ("&amp;Data!L889&amp;")"))</f>
        <v/>
      </c>
      <c r="M889" s="20" t="str">
        <f aca="false">IF(Data!M889="","",Data!M889)</f>
        <v/>
      </c>
      <c r="N889" s="28" t="str">
        <f aca="false">IF(Data!N889="","",IFERROR(VLOOKUP(Data!N889,Codes!$A$47:$B$49,2,FALSE()),"Invalid ("&amp;Data!N889&amp;")"))</f>
        <v/>
      </c>
      <c r="O889" s="28" t="str">
        <f aca="false">IF(Data!O889="","",IFERROR(VLOOKUP(Data!O889,Codes!$A$53:$B$57,2,FALSE()),"Invalid ("&amp;Data!O889&amp;")"))</f>
        <v>No disease</v>
      </c>
      <c r="P889" s="22" t="str">
        <f aca="false">IF(Data!P889="","",IFERROR(VLOOKUP(Data!P889,Codes!$A$61:$B$64,2,FALSE()),"Invalid ("&amp;Data!P889&amp;")"))</f>
        <v>VA Medical Center, Long Beach</v>
      </c>
    </row>
    <row r="890" customFormat="false" ht="15" hidden="false" customHeight="false" outlineLevel="0" collapsed="false">
      <c r="A890" s="19" t="n">
        <f aca="false">Data!A890</f>
        <v>889</v>
      </c>
      <c r="B890" s="20" t="n">
        <f aca="false">IF(Data!B890="","",Data!B890)</f>
        <v>64</v>
      </c>
      <c r="C890" s="28" t="str">
        <f aca="false">IF(Data!C890="","",IFERROR(VLOOKUP(Data!C890,Codes!$A$6:$B$7,2,FALSE()),"Invalid ("&amp;Data!C890&amp;")"))</f>
        <v>Male</v>
      </c>
      <c r="D890" s="28" t="str">
        <f aca="false">IF(Data!D890="","",IFERROR(VLOOKUP(Data!D890,Codes!$A$11:$B$14,2,FALSE()),"Invalid ("&amp;Data!D890&amp;")"))</f>
        <v>Asymptomatic</v>
      </c>
      <c r="E890" s="20" t="str">
        <f aca="false">IF(Data!E890="","",Data!E890)</f>
        <v/>
      </c>
      <c r="F890" s="20" t="n">
        <f aca="false">IF(Data!F890="","",Data!F890)</f>
        <v>244</v>
      </c>
      <c r="G890" s="28" t="str">
        <f aca="false">IF(Data!G890="","",IFERROR(VLOOKUP(Data!G890,Codes!$A$18:$B$19,2,FALSE()),"Invalid ("&amp;Data!G890&amp;")"))</f>
        <v>Yes</v>
      </c>
      <c r="H890" s="28" t="str">
        <f aca="false">IF(Data!H890="","",IFERROR(VLOOKUP(Data!H890,Codes!$A$23:$B$25,2,FALSE()),"Invalid ("&amp;Data!H890&amp;")"))</f>
        <v>ST-T wave abnormality</v>
      </c>
      <c r="I890" s="20" t="str">
        <f aca="false">IF(Data!I890="","",Data!I890)</f>
        <v/>
      </c>
      <c r="J890" s="28" t="str">
        <f aca="false">IF(Data!J890="","",IFERROR(VLOOKUP(Data!J890,Codes!$A$29:$B$30,2,FALSE()),"Invalid ("&amp;Data!J890&amp;")"))</f>
        <v/>
      </c>
      <c r="K890" s="21" t="str">
        <f aca="false">IF(Data!K890="","",Data!K890)</f>
        <v/>
      </c>
      <c r="L890" s="28" t="str">
        <f aca="false">IF(Data!L890="","",IFERROR(VLOOKUP(Data!L890,Codes!$A$34:$B$36,2,FALSE()),"Invalid ("&amp;Data!L890&amp;")"))</f>
        <v/>
      </c>
      <c r="M890" s="20" t="str">
        <f aca="false">IF(Data!M890="","",Data!M890)</f>
        <v/>
      </c>
      <c r="N890" s="28" t="str">
        <f aca="false">IF(Data!N890="","",IFERROR(VLOOKUP(Data!N890,Codes!$A$47:$B$49,2,FALSE()),"Invalid ("&amp;Data!N890&amp;")"))</f>
        <v/>
      </c>
      <c r="O890" s="28" t="str">
        <f aca="false">IF(Data!O890="","",IFERROR(VLOOKUP(Data!O890,Codes!$A$53:$B$57,2,FALSE()),"Invalid ("&amp;Data!O890&amp;")"))</f>
        <v>Disease (2)</v>
      </c>
      <c r="P890" s="22" t="str">
        <f aca="false">IF(Data!P890="","",IFERROR(VLOOKUP(Data!P890,Codes!$A$61:$B$64,2,FALSE()),"Invalid ("&amp;Data!P890&amp;")"))</f>
        <v>VA Medical Center, Long Beach</v>
      </c>
    </row>
    <row r="891" customFormat="false" ht="15" hidden="false" customHeight="false" outlineLevel="0" collapsed="false">
      <c r="A891" s="19" t="n">
        <f aca="false">Data!A891</f>
        <v>890</v>
      </c>
      <c r="B891" s="20" t="n">
        <f aca="false">IF(Data!B891="","",Data!B891)</f>
        <v>57</v>
      </c>
      <c r="C891" s="28" t="str">
        <f aca="false">IF(Data!C891="","",IFERROR(VLOOKUP(Data!C891,Codes!$A$6:$B$7,2,FALSE()),"Invalid ("&amp;Data!C891&amp;")"))</f>
        <v>Male</v>
      </c>
      <c r="D891" s="28" t="str">
        <f aca="false">IF(Data!D891="","",IFERROR(VLOOKUP(Data!D891,Codes!$A$11:$B$14,2,FALSE()),"Invalid ("&amp;Data!D891&amp;")"))</f>
        <v>Atypical angina</v>
      </c>
      <c r="E891" s="20" t="n">
        <f aca="false">IF(Data!E891="","",Data!E891)</f>
        <v>180</v>
      </c>
      <c r="F891" s="20" t="n">
        <f aca="false">IF(Data!F891="","",Data!F891)</f>
        <v>285</v>
      </c>
      <c r="G891" s="28" t="str">
        <f aca="false">IF(Data!G891="","",IFERROR(VLOOKUP(Data!G891,Codes!$A$18:$B$19,2,FALSE()),"Invalid ("&amp;Data!G891&amp;")"))</f>
        <v>Yes</v>
      </c>
      <c r="H891" s="28" t="str">
        <f aca="false">IF(Data!H891="","",IFERROR(VLOOKUP(Data!H891,Codes!$A$23:$B$25,2,FALSE()),"Invalid ("&amp;Data!H891&amp;")"))</f>
        <v>ST-T wave abnormality</v>
      </c>
      <c r="I891" s="20" t="n">
        <f aca="false">IF(Data!I891="","",Data!I891)</f>
        <v>120</v>
      </c>
      <c r="J891" s="28" t="str">
        <f aca="false">IF(Data!J891="","",IFERROR(VLOOKUP(Data!J891,Codes!$A$29:$B$30,2,FALSE()),"Invalid ("&amp;Data!J891&amp;")"))</f>
        <v>No</v>
      </c>
      <c r="K891" s="21" t="n">
        <f aca="false">IF(Data!K891="","",Data!K891)</f>
        <v>0.8</v>
      </c>
      <c r="L891" s="28" t="str">
        <f aca="false">IF(Data!L891="","",IFERROR(VLOOKUP(Data!L891,Codes!$A$34:$B$36,2,FALSE()),"Invalid ("&amp;Data!L891&amp;")"))</f>
        <v/>
      </c>
      <c r="M891" s="20" t="str">
        <f aca="false">IF(Data!M891="","",Data!M891)</f>
        <v/>
      </c>
      <c r="N891" s="28" t="str">
        <f aca="false">IF(Data!N891="","",IFERROR(VLOOKUP(Data!N891,Codes!$A$47:$B$49,2,FALSE()),"Invalid ("&amp;Data!N891&amp;")"))</f>
        <v/>
      </c>
      <c r="O891" s="28" t="str">
        <f aca="false">IF(Data!O891="","",IFERROR(VLOOKUP(Data!O891,Codes!$A$53:$B$57,2,FALSE()),"Invalid ("&amp;Data!O891&amp;")"))</f>
        <v>Disease (1)</v>
      </c>
      <c r="P891" s="22" t="str">
        <f aca="false">IF(Data!P891="","",IFERROR(VLOOKUP(Data!P891,Codes!$A$61:$B$64,2,FALSE()),"Invalid ("&amp;Data!P891&amp;")"))</f>
        <v>VA Medical Center, Long Beach</v>
      </c>
    </row>
    <row r="892" customFormat="false" ht="15" hidden="false" customHeight="false" outlineLevel="0" collapsed="false">
      <c r="A892" s="19" t="n">
        <f aca="false">Data!A892</f>
        <v>891</v>
      </c>
      <c r="B892" s="20" t="n">
        <f aca="false">IF(Data!B892="","",Data!B892)</f>
        <v>53</v>
      </c>
      <c r="C892" s="28" t="str">
        <f aca="false">IF(Data!C892="","",IFERROR(VLOOKUP(Data!C892,Codes!$A$6:$B$7,2,FALSE()),"Invalid ("&amp;Data!C892&amp;")"))</f>
        <v>Male</v>
      </c>
      <c r="D892" s="28" t="str">
        <f aca="false">IF(Data!D892="","",IFERROR(VLOOKUP(Data!D892,Codes!$A$11:$B$14,2,FALSE()),"Invalid ("&amp;Data!D892&amp;")"))</f>
        <v>Asymptomatic</v>
      </c>
      <c r="E892" s="20" t="n">
        <f aca="false">IF(Data!E892="","",Data!E892)</f>
        <v>124</v>
      </c>
      <c r="F892" s="20" t="n">
        <f aca="false">IF(Data!F892="","",Data!F892)</f>
        <v>243</v>
      </c>
      <c r="G892" s="28" t="str">
        <f aca="false">IF(Data!G892="","",IFERROR(VLOOKUP(Data!G892,Codes!$A$18:$B$19,2,FALSE()),"Invalid ("&amp;Data!G892&amp;")"))</f>
        <v>No</v>
      </c>
      <c r="H892" s="28" t="str">
        <f aca="false">IF(Data!H892="","",IFERROR(VLOOKUP(Data!H892,Codes!$A$23:$B$25,2,FALSE()),"Invalid ("&amp;Data!H892&amp;")"))</f>
        <v>Normal</v>
      </c>
      <c r="I892" s="20" t="n">
        <f aca="false">IF(Data!I892="","",Data!I892)</f>
        <v>122</v>
      </c>
      <c r="J892" s="28" t="str">
        <f aca="false">IF(Data!J892="","",IFERROR(VLOOKUP(Data!J892,Codes!$A$29:$B$30,2,FALSE()),"Invalid ("&amp;Data!J892&amp;")"))</f>
        <v>Yes</v>
      </c>
      <c r="K892" s="21" t="n">
        <f aca="false">IF(Data!K892="","",Data!K892)</f>
        <v>2</v>
      </c>
      <c r="L892" s="28" t="str">
        <f aca="false">IF(Data!L892="","",IFERROR(VLOOKUP(Data!L892,Codes!$A$34:$B$36,2,FALSE()),"Invalid ("&amp;Data!L892&amp;")"))</f>
        <v>Flat</v>
      </c>
      <c r="M892" s="20" t="str">
        <f aca="false">IF(Data!M892="","",Data!M892)</f>
        <v/>
      </c>
      <c r="N892" s="28" t="str">
        <f aca="false">IF(Data!N892="","",IFERROR(VLOOKUP(Data!N892,Codes!$A$47:$B$49,2,FALSE()),"Invalid ("&amp;Data!N892&amp;")"))</f>
        <v>Reversible defect</v>
      </c>
      <c r="O892" s="28" t="str">
        <f aca="false">IF(Data!O892="","",IFERROR(VLOOKUP(Data!O892,Codes!$A$53:$B$57,2,FALSE()),"Invalid ("&amp;Data!O892&amp;")"))</f>
        <v>Disease (1)</v>
      </c>
      <c r="P892" s="22" t="str">
        <f aca="false">IF(Data!P892="","",IFERROR(VLOOKUP(Data!P892,Codes!$A$61:$B$64,2,FALSE()),"Invalid ("&amp;Data!P892&amp;")"))</f>
        <v>VA Medical Center, Long Beach</v>
      </c>
    </row>
    <row r="893" customFormat="false" ht="15" hidden="false" customHeight="false" outlineLevel="0" collapsed="false">
      <c r="A893" s="19" t="n">
        <f aca="false">Data!A893</f>
        <v>892</v>
      </c>
      <c r="B893" s="20" t="n">
        <f aca="false">IF(Data!B893="","",Data!B893)</f>
        <v>37</v>
      </c>
      <c r="C893" s="28" t="str">
        <f aca="false">IF(Data!C893="","",IFERROR(VLOOKUP(Data!C893,Codes!$A$6:$B$7,2,FALSE()),"Invalid ("&amp;Data!C893&amp;")"))</f>
        <v>Male</v>
      </c>
      <c r="D893" s="28" t="str">
        <f aca="false">IF(Data!D893="","",IFERROR(VLOOKUP(Data!D893,Codes!$A$11:$B$14,2,FALSE()),"Invalid ("&amp;Data!D893&amp;")"))</f>
        <v>Non-anginal pain</v>
      </c>
      <c r="E893" s="20" t="n">
        <f aca="false">IF(Data!E893="","",Data!E893)</f>
        <v>118</v>
      </c>
      <c r="F893" s="20" t="n">
        <f aca="false">IF(Data!F893="","",Data!F893)</f>
        <v>240</v>
      </c>
      <c r="G893" s="28" t="str">
        <f aca="false">IF(Data!G893="","",IFERROR(VLOOKUP(Data!G893,Codes!$A$18:$B$19,2,FALSE()),"Invalid ("&amp;Data!G893&amp;")"))</f>
        <v>No</v>
      </c>
      <c r="H893" s="28" t="str">
        <f aca="false">IF(Data!H893="","",IFERROR(VLOOKUP(Data!H893,Codes!$A$23:$B$25,2,FALSE()),"Invalid ("&amp;Data!H893&amp;")"))</f>
        <v>Left ventricular hypertrophy</v>
      </c>
      <c r="I893" s="20" t="n">
        <f aca="false">IF(Data!I893="","",Data!I893)</f>
        <v>165</v>
      </c>
      <c r="J893" s="28" t="str">
        <f aca="false">IF(Data!J893="","",IFERROR(VLOOKUP(Data!J893,Codes!$A$29:$B$30,2,FALSE()),"Invalid ("&amp;Data!J893&amp;")"))</f>
        <v>No</v>
      </c>
      <c r="K893" s="21" t="n">
        <f aca="false">IF(Data!K893="","",Data!K893)</f>
        <v>1</v>
      </c>
      <c r="L893" s="28" t="str">
        <f aca="false">IF(Data!L893="","",IFERROR(VLOOKUP(Data!L893,Codes!$A$34:$B$36,2,FALSE()),"Invalid ("&amp;Data!L893&amp;")"))</f>
        <v>Flat</v>
      </c>
      <c r="M893" s="20" t="str">
        <f aca="false">IF(Data!M893="","",Data!M893)</f>
        <v/>
      </c>
      <c r="N893" s="28" t="str">
        <f aca="false">IF(Data!N893="","",IFERROR(VLOOKUP(Data!N893,Codes!$A$47:$B$49,2,FALSE()),"Invalid ("&amp;Data!N893&amp;")"))</f>
        <v>Normal</v>
      </c>
      <c r="O893" s="28" t="str">
        <f aca="false">IF(Data!O893="","",IFERROR(VLOOKUP(Data!O893,Codes!$A$53:$B$57,2,FALSE()),"Invalid ("&amp;Data!O893&amp;")"))</f>
        <v>No disease</v>
      </c>
      <c r="P893" s="22" t="str">
        <f aca="false">IF(Data!P893="","",IFERROR(VLOOKUP(Data!P893,Codes!$A$61:$B$64,2,FALSE()),"Invalid ("&amp;Data!P893&amp;")"))</f>
        <v>VA Medical Center, Long Beach</v>
      </c>
    </row>
    <row r="894" customFormat="false" ht="15" hidden="false" customHeight="false" outlineLevel="0" collapsed="false">
      <c r="A894" s="19" t="n">
        <f aca="false">Data!A894</f>
        <v>893</v>
      </c>
      <c r="B894" s="20" t="n">
        <f aca="false">IF(Data!B894="","",Data!B894)</f>
        <v>67</v>
      </c>
      <c r="C894" s="28" t="str">
        <f aca="false">IF(Data!C894="","",IFERROR(VLOOKUP(Data!C894,Codes!$A$6:$B$7,2,FALSE()),"Invalid ("&amp;Data!C894&amp;")"))</f>
        <v>Male</v>
      </c>
      <c r="D894" s="28" t="str">
        <f aca="false">IF(Data!D894="","",IFERROR(VLOOKUP(Data!D894,Codes!$A$11:$B$14,2,FALSE()),"Invalid ("&amp;Data!D894&amp;")"))</f>
        <v>Asymptomatic</v>
      </c>
      <c r="E894" s="20" t="n">
        <f aca="false">IF(Data!E894="","",Data!E894)</f>
        <v>140</v>
      </c>
      <c r="F894" s="20" t="n">
        <f aca="false">IF(Data!F894="","",Data!F894)</f>
        <v>219</v>
      </c>
      <c r="G894" s="28" t="str">
        <f aca="false">IF(Data!G894="","",IFERROR(VLOOKUP(Data!G894,Codes!$A$18:$B$19,2,FALSE()),"Invalid ("&amp;Data!G894&amp;")"))</f>
        <v>No</v>
      </c>
      <c r="H894" s="28" t="str">
        <f aca="false">IF(Data!H894="","",IFERROR(VLOOKUP(Data!H894,Codes!$A$23:$B$25,2,FALSE()),"Invalid ("&amp;Data!H894&amp;")"))</f>
        <v>ST-T wave abnormality</v>
      </c>
      <c r="I894" s="20" t="n">
        <f aca="false">IF(Data!I894="","",Data!I894)</f>
        <v>122</v>
      </c>
      <c r="J894" s="28" t="str">
        <f aca="false">IF(Data!J894="","",IFERROR(VLOOKUP(Data!J894,Codes!$A$29:$B$30,2,FALSE()),"Invalid ("&amp;Data!J894&amp;")"))</f>
        <v>Yes</v>
      </c>
      <c r="K894" s="21" t="n">
        <f aca="false">IF(Data!K894="","",Data!K894)</f>
        <v>2</v>
      </c>
      <c r="L894" s="28" t="str">
        <f aca="false">IF(Data!L894="","",IFERROR(VLOOKUP(Data!L894,Codes!$A$34:$B$36,2,FALSE()),"Invalid ("&amp;Data!L894&amp;")"))</f>
        <v>Flat</v>
      </c>
      <c r="M894" s="20" t="str">
        <f aca="false">IF(Data!M894="","",Data!M894)</f>
        <v/>
      </c>
      <c r="N894" s="28" t="str">
        <f aca="false">IF(Data!N894="","",IFERROR(VLOOKUP(Data!N894,Codes!$A$47:$B$49,2,FALSE()),"Invalid ("&amp;Data!N894&amp;")"))</f>
        <v>Reversible defect</v>
      </c>
      <c r="O894" s="28" t="str">
        <f aca="false">IF(Data!O894="","",IFERROR(VLOOKUP(Data!O894,Codes!$A$53:$B$57,2,FALSE()),"Invalid ("&amp;Data!O894&amp;")"))</f>
        <v>Disease (3)</v>
      </c>
      <c r="P894" s="22" t="str">
        <f aca="false">IF(Data!P894="","",IFERROR(VLOOKUP(Data!P894,Codes!$A$61:$B$64,2,FALSE()),"Invalid ("&amp;Data!P894&amp;")"))</f>
        <v>VA Medical Center, Long Beach</v>
      </c>
    </row>
    <row r="895" customFormat="false" ht="15" hidden="false" customHeight="false" outlineLevel="0" collapsed="false">
      <c r="A895" s="19" t="n">
        <f aca="false">Data!A895</f>
        <v>894</v>
      </c>
      <c r="B895" s="20" t="n">
        <f aca="false">IF(Data!B895="","",Data!B895)</f>
        <v>74</v>
      </c>
      <c r="C895" s="28" t="str">
        <f aca="false">IF(Data!C895="","",IFERROR(VLOOKUP(Data!C895,Codes!$A$6:$B$7,2,FALSE()),"Invalid ("&amp;Data!C895&amp;")"))</f>
        <v>Male</v>
      </c>
      <c r="D895" s="28" t="str">
        <f aca="false">IF(Data!D895="","",IFERROR(VLOOKUP(Data!D895,Codes!$A$11:$B$14,2,FALSE()),"Invalid ("&amp;Data!D895&amp;")"))</f>
        <v>Non-anginal pain</v>
      </c>
      <c r="E895" s="20" t="n">
        <f aca="false">IF(Data!E895="","",Data!E895)</f>
        <v>140</v>
      </c>
      <c r="F895" s="20" t="n">
        <f aca="false">IF(Data!F895="","",Data!F895)</f>
        <v>237</v>
      </c>
      <c r="G895" s="28" t="str">
        <f aca="false">IF(Data!G895="","",IFERROR(VLOOKUP(Data!G895,Codes!$A$18:$B$19,2,FALSE()),"Invalid ("&amp;Data!G895&amp;")"))</f>
        <v>Yes</v>
      </c>
      <c r="H895" s="28" t="str">
        <f aca="false">IF(Data!H895="","",IFERROR(VLOOKUP(Data!H895,Codes!$A$23:$B$25,2,FALSE()),"Invalid ("&amp;Data!H895&amp;")"))</f>
        <v>Normal</v>
      </c>
      <c r="I895" s="20" t="n">
        <f aca="false">IF(Data!I895="","",Data!I895)</f>
        <v>94</v>
      </c>
      <c r="J895" s="28" t="str">
        <f aca="false">IF(Data!J895="","",IFERROR(VLOOKUP(Data!J895,Codes!$A$29:$B$30,2,FALSE()),"Invalid ("&amp;Data!J895&amp;")"))</f>
        <v>No</v>
      </c>
      <c r="K895" s="21" t="n">
        <f aca="false">IF(Data!K895="","",Data!K895)</f>
        <v>0</v>
      </c>
      <c r="L895" s="28" t="str">
        <f aca="false">IF(Data!L895="","",IFERROR(VLOOKUP(Data!L895,Codes!$A$34:$B$36,2,FALSE()),"Invalid ("&amp;Data!L895&amp;")"))</f>
        <v/>
      </c>
      <c r="M895" s="20" t="str">
        <f aca="false">IF(Data!M895="","",Data!M895)</f>
        <v/>
      </c>
      <c r="N895" s="28" t="str">
        <f aca="false">IF(Data!N895="","",IFERROR(VLOOKUP(Data!N895,Codes!$A$47:$B$49,2,FALSE()),"Invalid ("&amp;Data!N895&amp;")"))</f>
        <v/>
      </c>
      <c r="O895" s="28" t="str">
        <f aca="false">IF(Data!O895="","",IFERROR(VLOOKUP(Data!O895,Codes!$A$53:$B$57,2,FALSE()),"Invalid ("&amp;Data!O895&amp;")"))</f>
        <v>Disease (1)</v>
      </c>
      <c r="P895" s="22" t="str">
        <f aca="false">IF(Data!P895="","",IFERROR(VLOOKUP(Data!P895,Codes!$A$61:$B$64,2,FALSE()),"Invalid ("&amp;Data!P895&amp;")"))</f>
        <v>VA Medical Center, Long Beach</v>
      </c>
    </row>
    <row r="896" customFormat="false" ht="15" hidden="false" customHeight="false" outlineLevel="0" collapsed="false">
      <c r="A896" s="19" t="n">
        <f aca="false">Data!A896</f>
        <v>895</v>
      </c>
      <c r="B896" s="20" t="n">
        <f aca="false">IF(Data!B896="","",Data!B896)</f>
        <v>63</v>
      </c>
      <c r="C896" s="28" t="str">
        <f aca="false">IF(Data!C896="","",IFERROR(VLOOKUP(Data!C896,Codes!$A$6:$B$7,2,FALSE()),"Invalid ("&amp;Data!C896&amp;")"))</f>
        <v>Male</v>
      </c>
      <c r="D896" s="28" t="str">
        <f aca="false">IF(Data!D896="","",IFERROR(VLOOKUP(Data!D896,Codes!$A$11:$B$14,2,FALSE()),"Invalid ("&amp;Data!D896&amp;")"))</f>
        <v>Atypical angina</v>
      </c>
      <c r="E896" s="20" t="str">
        <f aca="false">IF(Data!E896="","",Data!E896)</f>
        <v/>
      </c>
      <c r="F896" s="20" t="n">
        <f aca="false">IF(Data!F896="","",Data!F896)</f>
        <v>165</v>
      </c>
      <c r="G896" s="28" t="str">
        <f aca="false">IF(Data!G896="","",IFERROR(VLOOKUP(Data!G896,Codes!$A$18:$B$19,2,FALSE()),"Invalid ("&amp;Data!G896&amp;")"))</f>
        <v>No</v>
      </c>
      <c r="H896" s="28" t="str">
        <f aca="false">IF(Data!H896="","",IFERROR(VLOOKUP(Data!H896,Codes!$A$23:$B$25,2,FALSE()),"Invalid ("&amp;Data!H896&amp;")"))</f>
        <v>ST-T wave abnormality</v>
      </c>
      <c r="I896" s="20" t="str">
        <f aca="false">IF(Data!I896="","",Data!I896)</f>
        <v/>
      </c>
      <c r="J896" s="28" t="str">
        <f aca="false">IF(Data!J896="","",IFERROR(VLOOKUP(Data!J896,Codes!$A$29:$B$30,2,FALSE()),"Invalid ("&amp;Data!J896&amp;")"))</f>
        <v/>
      </c>
      <c r="K896" s="21" t="str">
        <f aca="false">IF(Data!K896="","",Data!K896)</f>
        <v/>
      </c>
      <c r="L896" s="28" t="str">
        <f aca="false">IF(Data!L896="","",IFERROR(VLOOKUP(Data!L896,Codes!$A$34:$B$36,2,FALSE()),"Invalid ("&amp;Data!L896&amp;")"))</f>
        <v/>
      </c>
      <c r="M896" s="20" t="str">
        <f aca="false">IF(Data!M896="","",Data!M896)</f>
        <v/>
      </c>
      <c r="N896" s="28" t="str">
        <f aca="false">IF(Data!N896="","",IFERROR(VLOOKUP(Data!N896,Codes!$A$47:$B$49,2,FALSE()),"Invalid ("&amp;Data!N896&amp;")"))</f>
        <v/>
      </c>
      <c r="O896" s="28" t="str">
        <f aca="false">IF(Data!O896="","",IFERROR(VLOOKUP(Data!O896,Codes!$A$53:$B$57,2,FALSE()),"Invalid ("&amp;Data!O896&amp;")"))</f>
        <v>No disease</v>
      </c>
      <c r="P896" s="22" t="str">
        <f aca="false">IF(Data!P896="","",IFERROR(VLOOKUP(Data!P896,Codes!$A$61:$B$64,2,FALSE()),"Invalid ("&amp;Data!P896&amp;")"))</f>
        <v>VA Medical Center, Long Beach</v>
      </c>
    </row>
    <row r="897" customFormat="false" ht="15" hidden="false" customHeight="false" outlineLevel="0" collapsed="false">
      <c r="A897" s="19" t="n">
        <f aca="false">Data!A897</f>
        <v>896</v>
      </c>
      <c r="B897" s="20" t="n">
        <f aca="false">IF(Data!B897="","",Data!B897)</f>
        <v>58</v>
      </c>
      <c r="C897" s="28" t="str">
        <f aca="false">IF(Data!C897="","",IFERROR(VLOOKUP(Data!C897,Codes!$A$6:$B$7,2,FALSE()),"Invalid ("&amp;Data!C897&amp;")"))</f>
        <v>Male</v>
      </c>
      <c r="D897" s="28" t="str">
        <f aca="false">IF(Data!D897="","",IFERROR(VLOOKUP(Data!D897,Codes!$A$11:$B$14,2,FALSE()),"Invalid ("&amp;Data!D897&amp;")"))</f>
        <v>Asymptomatic</v>
      </c>
      <c r="E897" s="20" t="n">
        <f aca="false">IF(Data!E897="","",Data!E897)</f>
        <v>100</v>
      </c>
      <c r="F897" s="20" t="n">
        <f aca="false">IF(Data!F897="","",Data!F897)</f>
        <v>213</v>
      </c>
      <c r="G897" s="28" t="str">
        <f aca="false">IF(Data!G897="","",IFERROR(VLOOKUP(Data!G897,Codes!$A$18:$B$19,2,FALSE()),"Invalid ("&amp;Data!G897&amp;")"))</f>
        <v>No</v>
      </c>
      <c r="H897" s="28" t="str">
        <f aca="false">IF(Data!H897="","",IFERROR(VLOOKUP(Data!H897,Codes!$A$23:$B$25,2,FALSE()),"Invalid ("&amp;Data!H897&amp;")"))</f>
        <v>ST-T wave abnormality</v>
      </c>
      <c r="I897" s="20" t="n">
        <f aca="false">IF(Data!I897="","",Data!I897)</f>
        <v>110</v>
      </c>
      <c r="J897" s="28" t="str">
        <f aca="false">IF(Data!J897="","",IFERROR(VLOOKUP(Data!J897,Codes!$A$29:$B$30,2,FALSE()),"Invalid ("&amp;Data!J897&amp;")"))</f>
        <v>No</v>
      </c>
      <c r="K897" s="21" t="n">
        <f aca="false">IF(Data!K897="","",Data!K897)</f>
        <v>0</v>
      </c>
      <c r="L897" s="28" t="str">
        <f aca="false">IF(Data!L897="","",IFERROR(VLOOKUP(Data!L897,Codes!$A$34:$B$36,2,FALSE()),"Invalid ("&amp;Data!L897&amp;")"))</f>
        <v/>
      </c>
      <c r="M897" s="20" t="str">
        <f aca="false">IF(Data!M897="","",Data!M897)</f>
        <v/>
      </c>
      <c r="N897" s="28" t="str">
        <f aca="false">IF(Data!N897="","",IFERROR(VLOOKUP(Data!N897,Codes!$A$47:$B$49,2,FALSE()),"Invalid ("&amp;Data!N897&amp;")"))</f>
        <v/>
      </c>
      <c r="O897" s="28" t="str">
        <f aca="false">IF(Data!O897="","",IFERROR(VLOOKUP(Data!O897,Codes!$A$53:$B$57,2,FALSE()),"Invalid ("&amp;Data!O897&amp;")"))</f>
        <v>No disease</v>
      </c>
      <c r="P897" s="22" t="str">
        <f aca="false">IF(Data!P897="","",IFERROR(VLOOKUP(Data!P897,Codes!$A$61:$B$64,2,FALSE()),"Invalid ("&amp;Data!P897&amp;")"))</f>
        <v>VA Medical Center, Long Beach</v>
      </c>
    </row>
    <row r="898" customFormat="false" ht="15" hidden="false" customHeight="false" outlineLevel="0" collapsed="false">
      <c r="A898" s="19" t="n">
        <f aca="false">Data!A898</f>
        <v>897</v>
      </c>
      <c r="B898" s="20" t="n">
        <f aca="false">IF(Data!B898="","",Data!B898)</f>
        <v>61</v>
      </c>
      <c r="C898" s="28" t="str">
        <f aca="false">IF(Data!C898="","",IFERROR(VLOOKUP(Data!C898,Codes!$A$6:$B$7,2,FALSE()),"Invalid ("&amp;Data!C898&amp;")"))</f>
        <v>Male</v>
      </c>
      <c r="D898" s="28" t="str">
        <f aca="false">IF(Data!D898="","",IFERROR(VLOOKUP(Data!D898,Codes!$A$11:$B$14,2,FALSE()),"Invalid ("&amp;Data!D898&amp;")"))</f>
        <v>Asymptomatic</v>
      </c>
      <c r="E898" s="20" t="n">
        <f aca="false">IF(Data!E898="","",Data!E898)</f>
        <v>190</v>
      </c>
      <c r="F898" s="20" t="n">
        <f aca="false">IF(Data!F898="","",Data!F898)</f>
        <v>287</v>
      </c>
      <c r="G898" s="28" t="str">
        <f aca="false">IF(Data!G898="","",IFERROR(VLOOKUP(Data!G898,Codes!$A$18:$B$19,2,FALSE()),"Invalid ("&amp;Data!G898&amp;")"))</f>
        <v>Yes</v>
      </c>
      <c r="H898" s="28" t="str">
        <f aca="false">IF(Data!H898="","",IFERROR(VLOOKUP(Data!H898,Codes!$A$23:$B$25,2,FALSE()),"Invalid ("&amp;Data!H898&amp;")"))</f>
        <v>Left ventricular hypertrophy</v>
      </c>
      <c r="I898" s="20" t="n">
        <f aca="false">IF(Data!I898="","",Data!I898)</f>
        <v>150</v>
      </c>
      <c r="J898" s="28" t="str">
        <f aca="false">IF(Data!J898="","",IFERROR(VLOOKUP(Data!J898,Codes!$A$29:$B$30,2,FALSE()),"Invalid ("&amp;Data!J898&amp;")"))</f>
        <v>Yes</v>
      </c>
      <c r="K898" s="21" t="n">
        <f aca="false">IF(Data!K898="","",Data!K898)</f>
        <v>2</v>
      </c>
      <c r="L898" s="28" t="str">
        <f aca="false">IF(Data!L898="","",IFERROR(VLOOKUP(Data!L898,Codes!$A$34:$B$36,2,FALSE()),"Invalid ("&amp;Data!L898&amp;")"))</f>
        <v>Downsloping</v>
      </c>
      <c r="M898" s="20" t="str">
        <f aca="false">IF(Data!M898="","",Data!M898)</f>
        <v/>
      </c>
      <c r="N898" s="28" t="str">
        <f aca="false">IF(Data!N898="","",IFERROR(VLOOKUP(Data!N898,Codes!$A$47:$B$49,2,FALSE()),"Invalid ("&amp;Data!N898&amp;")"))</f>
        <v/>
      </c>
      <c r="O898" s="28" t="str">
        <f aca="false">IF(Data!O898="","",IFERROR(VLOOKUP(Data!O898,Codes!$A$53:$B$57,2,FALSE()),"Invalid ("&amp;Data!O898&amp;")"))</f>
        <v>Disease (4)</v>
      </c>
      <c r="P898" s="22" t="str">
        <f aca="false">IF(Data!P898="","",IFERROR(VLOOKUP(Data!P898,Codes!$A$61:$B$64,2,FALSE()),"Invalid ("&amp;Data!P898&amp;")"))</f>
        <v>VA Medical Center, Long Beach</v>
      </c>
    </row>
    <row r="899" customFormat="false" ht="15" hidden="false" customHeight="false" outlineLevel="0" collapsed="false">
      <c r="A899" s="19" t="n">
        <f aca="false">Data!A899</f>
        <v>898</v>
      </c>
      <c r="B899" s="20" t="n">
        <f aca="false">IF(Data!B899="","",Data!B899)</f>
        <v>64</v>
      </c>
      <c r="C899" s="28" t="str">
        <f aca="false">IF(Data!C899="","",IFERROR(VLOOKUP(Data!C899,Codes!$A$6:$B$7,2,FALSE()),"Invalid ("&amp;Data!C899&amp;")"))</f>
        <v>Male</v>
      </c>
      <c r="D899" s="28" t="str">
        <f aca="false">IF(Data!D899="","",IFERROR(VLOOKUP(Data!D899,Codes!$A$11:$B$14,2,FALSE()),"Invalid ("&amp;Data!D899&amp;")"))</f>
        <v>Asymptomatic</v>
      </c>
      <c r="E899" s="20" t="n">
        <f aca="false">IF(Data!E899="","",Data!E899)</f>
        <v>130</v>
      </c>
      <c r="F899" s="20" t="n">
        <f aca="false">IF(Data!F899="","",Data!F899)</f>
        <v>258</v>
      </c>
      <c r="G899" s="28" t="str">
        <f aca="false">IF(Data!G899="","",IFERROR(VLOOKUP(Data!G899,Codes!$A$18:$B$19,2,FALSE()),"Invalid ("&amp;Data!G899&amp;")"))</f>
        <v>Yes</v>
      </c>
      <c r="H899" s="28" t="str">
        <f aca="false">IF(Data!H899="","",IFERROR(VLOOKUP(Data!H899,Codes!$A$23:$B$25,2,FALSE()),"Invalid ("&amp;Data!H899&amp;")"))</f>
        <v>Left ventricular hypertrophy</v>
      </c>
      <c r="I899" s="20" t="n">
        <f aca="false">IF(Data!I899="","",Data!I899)</f>
        <v>130</v>
      </c>
      <c r="J899" s="28" t="str">
        <f aca="false">IF(Data!J899="","",IFERROR(VLOOKUP(Data!J899,Codes!$A$29:$B$30,2,FALSE()),"Invalid ("&amp;Data!J899&amp;")"))</f>
        <v>No</v>
      </c>
      <c r="K899" s="21" t="n">
        <f aca="false">IF(Data!K899="","",Data!K899)</f>
        <v>0</v>
      </c>
      <c r="L899" s="28" t="str">
        <f aca="false">IF(Data!L899="","",IFERROR(VLOOKUP(Data!L899,Codes!$A$34:$B$36,2,FALSE()),"Invalid ("&amp;Data!L899&amp;")"))</f>
        <v/>
      </c>
      <c r="M899" s="20" t="str">
        <f aca="false">IF(Data!M899="","",Data!M899)</f>
        <v/>
      </c>
      <c r="N899" s="28" t="str">
        <f aca="false">IF(Data!N899="","",IFERROR(VLOOKUP(Data!N899,Codes!$A$47:$B$49,2,FALSE()),"Invalid ("&amp;Data!N899&amp;")"))</f>
        <v>Fixed defect</v>
      </c>
      <c r="O899" s="28" t="str">
        <f aca="false">IF(Data!O899="","",IFERROR(VLOOKUP(Data!O899,Codes!$A$53:$B$57,2,FALSE()),"Invalid ("&amp;Data!O899&amp;")"))</f>
        <v>Disease (2)</v>
      </c>
      <c r="P899" s="22" t="str">
        <f aca="false">IF(Data!P899="","",IFERROR(VLOOKUP(Data!P899,Codes!$A$61:$B$64,2,FALSE()),"Invalid ("&amp;Data!P899&amp;")"))</f>
        <v>VA Medical Center, Long Beach</v>
      </c>
    </row>
    <row r="900" customFormat="false" ht="15" hidden="false" customHeight="false" outlineLevel="0" collapsed="false">
      <c r="A900" s="19" t="n">
        <f aca="false">Data!A900</f>
        <v>899</v>
      </c>
      <c r="B900" s="20" t="n">
        <f aca="false">IF(Data!B900="","",Data!B900)</f>
        <v>58</v>
      </c>
      <c r="C900" s="28" t="str">
        <f aca="false">IF(Data!C900="","",IFERROR(VLOOKUP(Data!C900,Codes!$A$6:$B$7,2,FALSE()),"Invalid ("&amp;Data!C900&amp;")"))</f>
        <v>Male</v>
      </c>
      <c r="D900" s="28" t="str">
        <f aca="false">IF(Data!D900="","",IFERROR(VLOOKUP(Data!D900,Codes!$A$11:$B$14,2,FALSE()),"Invalid ("&amp;Data!D900&amp;")"))</f>
        <v>Asymptomatic</v>
      </c>
      <c r="E900" s="20" t="n">
        <f aca="false">IF(Data!E900="","",Data!E900)</f>
        <v>160</v>
      </c>
      <c r="F900" s="20" t="n">
        <f aca="false">IF(Data!F900="","",Data!F900)</f>
        <v>256</v>
      </c>
      <c r="G900" s="28" t="str">
        <f aca="false">IF(Data!G900="","",IFERROR(VLOOKUP(Data!G900,Codes!$A$18:$B$19,2,FALSE()),"Invalid ("&amp;Data!G900&amp;")"))</f>
        <v>Yes</v>
      </c>
      <c r="H900" s="28" t="str">
        <f aca="false">IF(Data!H900="","",IFERROR(VLOOKUP(Data!H900,Codes!$A$23:$B$25,2,FALSE()),"Invalid ("&amp;Data!H900&amp;")"))</f>
        <v>Left ventricular hypertrophy</v>
      </c>
      <c r="I900" s="20" t="n">
        <f aca="false">IF(Data!I900="","",Data!I900)</f>
        <v>113</v>
      </c>
      <c r="J900" s="28" t="str">
        <f aca="false">IF(Data!J900="","",IFERROR(VLOOKUP(Data!J900,Codes!$A$29:$B$30,2,FALSE()),"Invalid ("&amp;Data!J900&amp;")"))</f>
        <v>Yes</v>
      </c>
      <c r="K900" s="21" t="n">
        <f aca="false">IF(Data!K900="","",Data!K900)</f>
        <v>1</v>
      </c>
      <c r="L900" s="28" t="str">
        <f aca="false">IF(Data!L900="","",IFERROR(VLOOKUP(Data!L900,Codes!$A$34:$B$36,2,FALSE()),"Invalid ("&amp;Data!L900&amp;")"))</f>
        <v>Upsloping</v>
      </c>
      <c r="M900" s="20" t="str">
        <f aca="false">IF(Data!M900="","",Data!M900)</f>
        <v/>
      </c>
      <c r="N900" s="28" t="str">
        <f aca="false">IF(Data!N900="","",IFERROR(VLOOKUP(Data!N900,Codes!$A$47:$B$49,2,FALSE()),"Invalid ("&amp;Data!N900&amp;")"))</f>
        <v/>
      </c>
      <c r="O900" s="28" t="str">
        <f aca="false">IF(Data!O900="","",IFERROR(VLOOKUP(Data!O900,Codes!$A$53:$B$57,2,FALSE()),"Invalid ("&amp;Data!O900&amp;")"))</f>
        <v>Disease (3)</v>
      </c>
      <c r="P900" s="22" t="str">
        <f aca="false">IF(Data!P900="","",IFERROR(VLOOKUP(Data!P900,Codes!$A$61:$B$64,2,FALSE()),"Invalid ("&amp;Data!P900&amp;")"))</f>
        <v>VA Medical Center, Long Beach</v>
      </c>
    </row>
    <row r="901" customFormat="false" ht="15" hidden="false" customHeight="false" outlineLevel="0" collapsed="false">
      <c r="A901" s="19" t="n">
        <f aca="false">Data!A901</f>
        <v>900</v>
      </c>
      <c r="B901" s="20" t="n">
        <f aca="false">IF(Data!B901="","",Data!B901)</f>
        <v>60</v>
      </c>
      <c r="C901" s="28" t="str">
        <f aca="false">IF(Data!C901="","",IFERROR(VLOOKUP(Data!C901,Codes!$A$6:$B$7,2,FALSE()),"Invalid ("&amp;Data!C901&amp;")"))</f>
        <v>Male</v>
      </c>
      <c r="D901" s="28" t="str">
        <f aca="false">IF(Data!D901="","",IFERROR(VLOOKUP(Data!D901,Codes!$A$11:$B$14,2,FALSE()),"Invalid ("&amp;Data!D901&amp;")"))</f>
        <v>Asymptomatic</v>
      </c>
      <c r="E901" s="20" t="n">
        <f aca="false">IF(Data!E901="","",Data!E901)</f>
        <v>130</v>
      </c>
      <c r="F901" s="20" t="n">
        <f aca="false">IF(Data!F901="","",Data!F901)</f>
        <v>186</v>
      </c>
      <c r="G901" s="28" t="str">
        <f aca="false">IF(Data!G901="","",IFERROR(VLOOKUP(Data!G901,Codes!$A$18:$B$19,2,FALSE()),"Invalid ("&amp;Data!G901&amp;")"))</f>
        <v>Yes</v>
      </c>
      <c r="H901" s="28" t="str">
        <f aca="false">IF(Data!H901="","",IFERROR(VLOOKUP(Data!H901,Codes!$A$23:$B$25,2,FALSE()),"Invalid ("&amp;Data!H901&amp;")"))</f>
        <v>Left ventricular hypertrophy</v>
      </c>
      <c r="I901" s="20" t="n">
        <f aca="false">IF(Data!I901="","",Data!I901)</f>
        <v>140</v>
      </c>
      <c r="J901" s="28" t="str">
        <f aca="false">IF(Data!J901="","",IFERROR(VLOOKUP(Data!J901,Codes!$A$29:$B$30,2,FALSE()),"Invalid ("&amp;Data!J901&amp;")"))</f>
        <v>Yes</v>
      </c>
      <c r="K901" s="21" t="n">
        <f aca="false">IF(Data!K901="","",Data!K901)</f>
        <v>0.5</v>
      </c>
      <c r="L901" s="28" t="str">
        <f aca="false">IF(Data!L901="","",IFERROR(VLOOKUP(Data!L901,Codes!$A$34:$B$36,2,FALSE()),"Invalid ("&amp;Data!L901&amp;")"))</f>
        <v>Flat</v>
      </c>
      <c r="M901" s="20" t="str">
        <f aca="false">IF(Data!M901="","",Data!M901)</f>
        <v/>
      </c>
      <c r="N901" s="28" t="str">
        <f aca="false">IF(Data!N901="","",IFERROR(VLOOKUP(Data!N901,Codes!$A$47:$B$49,2,FALSE()),"Invalid ("&amp;Data!N901&amp;")"))</f>
        <v/>
      </c>
      <c r="O901" s="28" t="str">
        <f aca="false">IF(Data!O901="","",IFERROR(VLOOKUP(Data!O901,Codes!$A$53:$B$57,2,FALSE()),"Invalid ("&amp;Data!O901&amp;")"))</f>
        <v>Disease (1)</v>
      </c>
      <c r="P901" s="22" t="str">
        <f aca="false">IF(Data!P901="","",IFERROR(VLOOKUP(Data!P901,Codes!$A$61:$B$64,2,FALSE()),"Invalid ("&amp;Data!P901&amp;")"))</f>
        <v>VA Medical Center, Long Beach</v>
      </c>
    </row>
    <row r="902" customFormat="false" ht="15" hidden="false" customHeight="false" outlineLevel="0" collapsed="false">
      <c r="A902" s="19" t="n">
        <f aca="false">Data!A902</f>
        <v>901</v>
      </c>
      <c r="B902" s="20" t="n">
        <f aca="false">IF(Data!B902="","",Data!B902)</f>
        <v>57</v>
      </c>
      <c r="C902" s="28" t="str">
        <f aca="false">IF(Data!C902="","",IFERROR(VLOOKUP(Data!C902,Codes!$A$6:$B$7,2,FALSE()),"Invalid ("&amp;Data!C902&amp;")"))</f>
        <v>Male</v>
      </c>
      <c r="D902" s="28" t="str">
        <f aca="false">IF(Data!D902="","",IFERROR(VLOOKUP(Data!D902,Codes!$A$11:$B$14,2,FALSE()),"Invalid ("&amp;Data!D902&amp;")"))</f>
        <v>Asymptomatic</v>
      </c>
      <c r="E902" s="20" t="n">
        <f aca="false">IF(Data!E902="","",Data!E902)</f>
        <v>122</v>
      </c>
      <c r="F902" s="20" t="n">
        <f aca="false">IF(Data!F902="","",Data!F902)</f>
        <v>264</v>
      </c>
      <c r="G902" s="28" t="str">
        <f aca="false">IF(Data!G902="","",IFERROR(VLOOKUP(Data!G902,Codes!$A$18:$B$19,2,FALSE()),"Invalid ("&amp;Data!G902&amp;")"))</f>
        <v>No</v>
      </c>
      <c r="H902" s="28" t="str">
        <f aca="false">IF(Data!H902="","",IFERROR(VLOOKUP(Data!H902,Codes!$A$23:$B$25,2,FALSE()),"Invalid ("&amp;Data!H902&amp;")"))</f>
        <v>Left ventricular hypertrophy</v>
      </c>
      <c r="I902" s="20" t="n">
        <f aca="false">IF(Data!I902="","",Data!I902)</f>
        <v>100</v>
      </c>
      <c r="J902" s="28" t="str">
        <f aca="false">IF(Data!J902="","",IFERROR(VLOOKUP(Data!J902,Codes!$A$29:$B$30,2,FALSE()),"Invalid ("&amp;Data!J902&amp;")"))</f>
        <v>No</v>
      </c>
      <c r="K902" s="21" t="n">
        <f aca="false">IF(Data!K902="","",Data!K902)</f>
        <v>0</v>
      </c>
      <c r="L902" s="28" t="str">
        <f aca="false">IF(Data!L902="","",IFERROR(VLOOKUP(Data!L902,Codes!$A$34:$B$36,2,FALSE()),"Invalid ("&amp;Data!L902&amp;")"))</f>
        <v/>
      </c>
      <c r="M902" s="20" t="str">
        <f aca="false">IF(Data!M902="","",Data!M902)</f>
        <v/>
      </c>
      <c r="N902" s="28" t="str">
        <f aca="false">IF(Data!N902="","",IFERROR(VLOOKUP(Data!N902,Codes!$A$47:$B$49,2,FALSE()),"Invalid ("&amp;Data!N902&amp;")"))</f>
        <v/>
      </c>
      <c r="O902" s="28" t="str">
        <f aca="false">IF(Data!O902="","",IFERROR(VLOOKUP(Data!O902,Codes!$A$53:$B$57,2,FALSE()),"Invalid ("&amp;Data!O902&amp;")"))</f>
        <v>Disease (1)</v>
      </c>
      <c r="P902" s="22" t="str">
        <f aca="false">IF(Data!P902="","",IFERROR(VLOOKUP(Data!P902,Codes!$A$61:$B$64,2,FALSE()),"Invalid ("&amp;Data!P902&amp;")"))</f>
        <v>VA Medical Center, Long Beach</v>
      </c>
    </row>
    <row r="903" customFormat="false" ht="15" hidden="false" customHeight="false" outlineLevel="0" collapsed="false">
      <c r="A903" s="19" t="n">
        <f aca="false">Data!A903</f>
        <v>902</v>
      </c>
      <c r="B903" s="20" t="n">
        <f aca="false">IF(Data!B903="","",Data!B903)</f>
        <v>55</v>
      </c>
      <c r="C903" s="28" t="str">
        <f aca="false">IF(Data!C903="","",IFERROR(VLOOKUP(Data!C903,Codes!$A$6:$B$7,2,FALSE()),"Invalid ("&amp;Data!C903&amp;")"))</f>
        <v>Male</v>
      </c>
      <c r="D903" s="28" t="str">
        <f aca="false">IF(Data!D903="","",IFERROR(VLOOKUP(Data!D903,Codes!$A$11:$B$14,2,FALSE()),"Invalid ("&amp;Data!D903&amp;")"))</f>
        <v>Non-anginal pain</v>
      </c>
      <c r="E903" s="20" t="str">
        <f aca="false">IF(Data!E903="","",Data!E903)</f>
        <v/>
      </c>
      <c r="F903" s="20" t="str">
        <f aca="false">IF(Data!F903="","",Data!F903)</f>
        <v/>
      </c>
      <c r="G903" s="28" t="str">
        <f aca="false">IF(Data!G903="","",IFERROR(VLOOKUP(Data!G903,Codes!$A$18:$B$19,2,FALSE()),"Invalid ("&amp;Data!G903&amp;")"))</f>
        <v>No</v>
      </c>
      <c r="H903" s="28" t="str">
        <f aca="false">IF(Data!H903="","",IFERROR(VLOOKUP(Data!H903,Codes!$A$23:$B$25,2,FALSE()),"Invalid ("&amp;Data!H903&amp;")"))</f>
        <v>ST-T wave abnormality</v>
      </c>
      <c r="I903" s="20" t="str">
        <f aca="false">IF(Data!I903="","",Data!I903)</f>
        <v/>
      </c>
      <c r="J903" s="28" t="str">
        <f aca="false">IF(Data!J903="","",IFERROR(VLOOKUP(Data!J903,Codes!$A$29:$B$30,2,FALSE()),"Invalid ("&amp;Data!J903&amp;")"))</f>
        <v/>
      </c>
      <c r="K903" s="21" t="str">
        <f aca="false">IF(Data!K903="","",Data!K903)</f>
        <v/>
      </c>
      <c r="L903" s="28" t="str">
        <f aca="false">IF(Data!L903="","",IFERROR(VLOOKUP(Data!L903,Codes!$A$34:$B$36,2,FALSE()),"Invalid ("&amp;Data!L903&amp;")"))</f>
        <v/>
      </c>
      <c r="M903" s="20" t="str">
        <f aca="false">IF(Data!M903="","",Data!M903)</f>
        <v/>
      </c>
      <c r="N903" s="28" t="str">
        <f aca="false">IF(Data!N903="","",IFERROR(VLOOKUP(Data!N903,Codes!$A$47:$B$49,2,FALSE()),"Invalid ("&amp;Data!N903&amp;")"))</f>
        <v/>
      </c>
      <c r="O903" s="28" t="str">
        <f aca="false">IF(Data!O903="","",IFERROR(VLOOKUP(Data!O903,Codes!$A$53:$B$57,2,FALSE()),"Invalid ("&amp;Data!O903&amp;")"))</f>
        <v>No disease</v>
      </c>
      <c r="P903" s="22" t="str">
        <f aca="false">IF(Data!P903="","",IFERROR(VLOOKUP(Data!P903,Codes!$A$61:$B$64,2,FALSE()),"Invalid ("&amp;Data!P903&amp;")"))</f>
        <v>VA Medical Center, Long Beach</v>
      </c>
    </row>
    <row r="904" customFormat="false" ht="15" hidden="false" customHeight="false" outlineLevel="0" collapsed="false">
      <c r="A904" s="19" t="n">
        <f aca="false">Data!A904</f>
        <v>903</v>
      </c>
      <c r="B904" s="20" t="n">
        <f aca="false">IF(Data!B904="","",Data!B904)</f>
        <v>55</v>
      </c>
      <c r="C904" s="28" t="str">
        <f aca="false">IF(Data!C904="","",IFERROR(VLOOKUP(Data!C904,Codes!$A$6:$B$7,2,FALSE()),"Invalid ("&amp;Data!C904&amp;")"))</f>
        <v>Male</v>
      </c>
      <c r="D904" s="28" t="str">
        <f aca="false">IF(Data!D904="","",IFERROR(VLOOKUP(Data!D904,Codes!$A$11:$B$14,2,FALSE()),"Invalid ("&amp;Data!D904&amp;")"))</f>
        <v>Asymptomatic</v>
      </c>
      <c r="E904" s="20" t="n">
        <f aca="false">IF(Data!E904="","",Data!E904)</f>
        <v>120</v>
      </c>
      <c r="F904" s="20" t="n">
        <f aca="false">IF(Data!F904="","",Data!F904)</f>
        <v>226</v>
      </c>
      <c r="G904" s="28" t="str">
        <f aca="false">IF(Data!G904="","",IFERROR(VLOOKUP(Data!G904,Codes!$A$18:$B$19,2,FALSE()),"Invalid ("&amp;Data!G904&amp;")"))</f>
        <v>No</v>
      </c>
      <c r="H904" s="28" t="str">
        <f aca="false">IF(Data!H904="","",IFERROR(VLOOKUP(Data!H904,Codes!$A$23:$B$25,2,FALSE()),"Invalid ("&amp;Data!H904&amp;")"))</f>
        <v>Left ventricular hypertrophy</v>
      </c>
      <c r="I904" s="20" t="n">
        <f aca="false">IF(Data!I904="","",Data!I904)</f>
        <v>127</v>
      </c>
      <c r="J904" s="28" t="str">
        <f aca="false">IF(Data!J904="","",IFERROR(VLOOKUP(Data!J904,Codes!$A$29:$B$30,2,FALSE()),"Invalid ("&amp;Data!J904&amp;")"))</f>
        <v>Yes</v>
      </c>
      <c r="K904" s="21" t="n">
        <f aca="false">IF(Data!K904="","",Data!K904)</f>
        <v>1.7</v>
      </c>
      <c r="L904" s="28" t="str">
        <f aca="false">IF(Data!L904="","",IFERROR(VLOOKUP(Data!L904,Codes!$A$34:$B$36,2,FALSE()),"Invalid ("&amp;Data!L904&amp;")"))</f>
        <v>Downsloping</v>
      </c>
      <c r="M904" s="20" t="str">
        <f aca="false">IF(Data!M904="","",Data!M904)</f>
        <v/>
      </c>
      <c r="N904" s="28" t="str">
        <f aca="false">IF(Data!N904="","",IFERROR(VLOOKUP(Data!N904,Codes!$A$47:$B$49,2,FALSE()),"Invalid ("&amp;Data!N904&amp;")"))</f>
        <v>Reversible defect</v>
      </c>
      <c r="O904" s="28" t="str">
        <f aca="false">IF(Data!O904="","",IFERROR(VLOOKUP(Data!O904,Codes!$A$53:$B$57,2,FALSE()),"Invalid ("&amp;Data!O904&amp;")"))</f>
        <v>Disease (1)</v>
      </c>
      <c r="P904" s="22" t="str">
        <f aca="false">IF(Data!P904="","",IFERROR(VLOOKUP(Data!P904,Codes!$A$61:$B$64,2,FALSE()),"Invalid ("&amp;Data!P904&amp;")"))</f>
        <v>VA Medical Center, Long Beach</v>
      </c>
    </row>
    <row r="905" customFormat="false" ht="15" hidden="false" customHeight="false" outlineLevel="0" collapsed="false">
      <c r="A905" s="19" t="n">
        <f aca="false">Data!A905</f>
        <v>904</v>
      </c>
      <c r="B905" s="20" t="n">
        <f aca="false">IF(Data!B905="","",Data!B905)</f>
        <v>56</v>
      </c>
      <c r="C905" s="28" t="str">
        <f aca="false">IF(Data!C905="","",IFERROR(VLOOKUP(Data!C905,Codes!$A$6:$B$7,2,FALSE()),"Invalid ("&amp;Data!C905&amp;")"))</f>
        <v>Male</v>
      </c>
      <c r="D905" s="28" t="str">
        <f aca="false">IF(Data!D905="","",IFERROR(VLOOKUP(Data!D905,Codes!$A$11:$B$14,2,FALSE()),"Invalid ("&amp;Data!D905&amp;")"))</f>
        <v>Asymptomatic</v>
      </c>
      <c r="E905" s="20" t="n">
        <f aca="false">IF(Data!E905="","",Data!E905)</f>
        <v>130</v>
      </c>
      <c r="F905" s="20" t="n">
        <f aca="false">IF(Data!F905="","",Data!F905)</f>
        <v>203</v>
      </c>
      <c r="G905" s="28" t="str">
        <f aca="false">IF(Data!G905="","",IFERROR(VLOOKUP(Data!G905,Codes!$A$18:$B$19,2,FALSE()),"Invalid ("&amp;Data!G905&amp;")"))</f>
        <v>Yes</v>
      </c>
      <c r="H905" s="28" t="str">
        <f aca="false">IF(Data!H905="","",IFERROR(VLOOKUP(Data!H905,Codes!$A$23:$B$25,2,FALSE()),"Invalid ("&amp;Data!H905&amp;")"))</f>
        <v>Normal</v>
      </c>
      <c r="I905" s="20" t="n">
        <f aca="false">IF(Data!I905="","",Data!I905)</f>
        <v>98</v>
      </c>
      <c r="J905" s="28" t="str">
        <f aca="false">IF(Data!J905="","",IFERROR(VLOOKUP(Data!J905,Codes!$A$29:$B$30,2,FALSE()),"Invalid ("&amp;Data!J905&amp;")"))</f>
        <v>No</v>
      </c>
      <c r="K905" s="21" t="n">
        <f aca="false">IF(Data!K905="","",Data!K905)</f>
        <v>1.5</v>
      </c>
      <c r="L905" s="28" t="str">
        <f aca="false">IF(Data!L905="","",IFERROR(VLOOKUP(Data!L905,Codes!$A$34:$B$36,2,FALSE()),"Invalid ("&amp;Data!L905&amp;")"))</f>
        <v>Flat</v>
      </c>
      <c r="M905" s="20" t="str">
        <f aca="false">IF(Data!M905="","",Data!M905)</f>
        <v/>
      </c>
      <c r="N905" s="28" t="str">
        <f aca="false">IF(Data!N905="","",IFERROR(VLOOKUP(Data!N905,Codes!$A$47:$B$49,2,FALSE()),"Invalid ("&amp;Data!N905&amp;")"))</f>
        <v>Reversible defect</v>
      </c>
      <c r="O905" s="28" t="str">
        <f aca="false">IF(Data!O905="","",IFERROR(VLOOKUP(Data!O905,Codes!$A$53:$B$57,2,FALSE()),"Invalid ("&amp;Data!O905&amp;")"))</f>
        <v>Disease (1)</v>
      </c>
      <c r="P905" s="22" t="str">
        <f aca="false">IF(Data!P905="","",IFERROR(VLOOKUP(Data!P905,Codes!$A$61:$B$64,2,FALSE()),"Invalid ("&amp;Data!P905&amp;")"))</f>
        <v>VA Medical Center, Long Beach</v>
      </c>
    </row>
    <row r="906" customFormat="false" ht="15" hidden="false" customHeight="false" outlineLevel="0" collapsed="false">
      <c r="A906" s="19" t="n">
        <f aca="false">Data!A906</f>
        <v>905</v>
      </c>
      <c r="B906" s="20" t="n">
        <f aca="false">IF(Data!B906="","",Data!B906)</f>
        <v>57</v>
      </c>
      <c r="C906" s="28" t="str">
        <f aca="false">IF(Data!C906="","",IFERROR(VLOOKUP(Data!C906,Codes!$A$6:$B$7,2,FALSE()),"Invalid ("&amp;Data!C906&amp;")"))</f>
        <v>Male</v>
      </c>
      <c r="D906" s="28" t="str">
        <f aca="false">IF(Data!D906="","",IFERROR(VLOOKUP(Data!D906,Codes!$A$11:$B$14,2,FALSE()),"Invalid ("&amp;Data!D906&amp;")"))</f>
        <v>Asymptomatic</v>
      </c>
      <c r="E906" s="20" t="n">
        <f aca="false">IF(Data!E906="","",Data!E906)</f>
        <v>130</v>
      </c>
      <c r="F906" s="20" t="n">
        <f aca="false">IF(Data!F906="","",Data!F906)</f>
        <v>207</v>
      </c>
      <c r="G906" s="28" t="str">
        <f aca="false">IF(Data!G906="","",IFERROR(VLOOKUP(Data!G906,Codes!$A$18:$B$19,2,FALSE()),"Invalid ("&amp;Data!G906&amp;")"))</f>
        <v>No</v>
      </c>
      <c r="H906" s="28" t="str">
        <f aca="false">IF(Data!H906="","",IFERROR(VLOOKUP(Data!H906,Codes!$A$23:$B$25,2,FALSE()),"Invalid ("&amp;Data!H906&amp;")"))</f>
        <v>ST-T wave abnormality</v>
      </c>
      <c r="I906" s="20" t="n">
        <f aca="false">IF(Data!I906="","",Data!I906)</f>
        <v>96</v>
      </c>
      <c r="J906" s="28" t="str">
        <f aca="false">IF(Data!J906="","",IFERROR(VLOOKUP(Data!J906,Codes!$A$29:$B$30,2,FALSE()),"Invalid ("&amp;Data!J906&amp;")"))</f>
        <v>Yes</v>
      </c>
      <c r="K906" s="21" t="n">
        <f aca="false">IF(Data!K906="","",Data!K906)</f>
        <v>1</v>
      </c>
      <c r="L906" s="28" t="str">
        <f aca="false">IF(Data!L906="","",IFERROR(VLOOKUP(Data!L906,Codes!$A$34:$B$36,2,FALSE()),"Invalid ("&amp;Data!L906&amp;")"))</f>
        <v>Flat</v>
      </c>
      <c r="M906" s="20" t="str">
        <f aca="false">IF(Data!M906="","",Data!M906)</f>
        <v/>
      </c>
      <c r="N906" s="28" t="str">
        <f aca="false">IF(Data!N906="","",IFERROR(VLOOKUP(Data!N906,Codes!$A$47:$B$49,2,FALSE()),"Invalid ("&amp;Data!N906&amp;")"))</f>
        <v/>
      </c>
      <c r="O906" s="28" t="str">
        <f aca="false">IF(Data!O906="","",IFERROR(VLOOKUP(Data!O906,Codes!$A$53:$B$57,2,FALSE()),"Invalid ("&amp;Data!O906&amp;")"))</f>
        <v>No disease</v>
      </c>
      <c r="P906" s="22" t="str">
        <f aca="false">IF(Data!P906="","",IFERROR(VLOOKUP(Data!P906,Codes!$A$61:$B$64,2,FALSE()),"Invalid ("&amp;Data!P906&amp;")"))</f>
        <v>VA Medical Center, Long Beach</v>
      </c>
    </row>
    <row r="907" customFormat="false" ht="15" hidden="false" customHeight="false" outlineLevel="0" collapsed="false">
      <c r="A907" s="19" t="n">
        <f aca="false">Data!A907</f>
        <v>906</v>
      </c>
      <c r="B907" s="20" t="n">
        <f aca="false">IF(Data!B907="","",Data!B907)</f>
        <v>61</v>
      </c>
      <c r="C907" s="28" t="str">
        <f aca="false">IF(Data!C907="","",IFERROR(VLOOKUP(Data!C907,Codes!$A$6:$B$7,2,FALSE()),"Invalid ("&amp;Data!C907&amp;")"))</f>
        <v>Male</v>
      </c>
      <c r="D907" s="28" t="str">
        <f aca="false">IF(Data!D907="","",IFERROR(VLOOKUP(Data!D907,Codes!$A$11:$B$14,2,FALSE()),"Invalid ("&amp;Data!D907&amp;")"))</f>
        <v>Non-anginal pain</v>
      </c>
      <c r="E907" s="20" t="str">
        <f aca="false">IF(Data!E907="","",Data!E907)</f>
        <v/>
      </c>
      <c r="F907" s="20" t="n">
        <f aca="false">IF(Data!F907="","",Data!F907)</f>
        <v>284</v>
      </c>
      <c r="G907" s="28" t="str">
        <f aca="false">IF(Data!G907="","",IFERROR(VLOOKUP(Data!G907,Codes!$A$18:$B$19,2,FALSE()),"Invalid ("&amp;Data!G907&amp;")"))</f>
        <v>No</v>
      </c>
      <c r="H907" s="28" t="str">
        <f aca="false">IF(Data!H907="","",IFERROR(VLOOKUP(Data!H907,Codes!$A$23:$B$25,2,FALSE()),"Invalid ("&amp;Data!H907&amp;")"))</f>
        <v>Normal</v>
      </c>
      <c r="I907" s="20" t="str">
        <f aca="false">IF(Data!I907="","",Data!I907)</f>
        <v/>
      </c>
      <c r="J907" s="28" t="str">
        <f aca="false">IF(Data!J907="","",IFERROR(VLOOKUP(Data!J907,Codes!$A$29:$B$30,2,FALSE()),"Invalid ("&amp;Data!J907&amp;")"))</f>
        <v/>
      </c>
      <c r="K907" s="21" t="str">
        <f aca="false">IF(Data!K907="","",Data!K907)</f>
        <v/>
      </c>
      <c r="L907" s="28" t="str">
        <f aca="false">IF(Data!L907="","",IFERROR(VLOOKUP(Data!L907,Codes!$A$34:$B$36,2,FALSE()),"Invalid ("&amp;Data!L907&amp;")"))</f>
        <v/>
      </c>
      <c r="M907" s="20" t="str">
        <f aca="false">IF(Data!M907="","",Data!M907)</f>
        <v/>
      </c>
      <c r="N907" s="28" t="str">
        <f aca="false">IF(Data!N907="","",IFERROR(VLOOKUP(Data!N907,Codes!$A$47:$B$49,2,FALSE()),"Invalid ("&amp;Data!N907&amp;")"))</f>
        <v/>
      </c>
      <c r="O907" s="28" t="str">
        <f aca="false">IF(Data!O907="","",IFERROR(VLOOKUP(Data!O907,Codes!$A$53:$B$57,2,FALSE()),"Invalid ("&amp;Data!O907&amp;")"))</f>
        <v>Disease (1)</v>
      </c>
      <c r="P907" s="22" t="str">
        <f aca="false">IF(Data!P907="","",IFERROR(VLOOKUP(Data!P907,Codes!$A$61:$B$64,2,FALSE()),"Invalid ("&amp;Data!P907&amp;")"))</f>
        <v>VA Medical Center, Long Beach</v>
      </c>
    </row>
    <row r="908" customFormat="false" ht="15" hidden="false" customHeight="false" outlineLevel="0" collapsed="false">
      <c r="A908" s="19" t="n">
        <f aca="false">Data!A908</f>
        <v>907</v>
      </c>
      <c r="B908" s="20" t="n">
        <f aca="false">IF(Data!B908="","",Data!B908)</f>
        <v>61</v>
      </c>
      <c r="C908" s="28" t="str">
        <f aca="false">IF(Data!C908="","",IFERROR(VLOOKUP(Data!C908,Codes!$A$6:$B$7,2,FALSE()),"Invalid ("&amp;Data!C908&amp;")"))</f>
        <v>Male</v>
      </c>
      <c r="D908" s="28" t="str">
        <f aca="false">IF(Data!D908="","",IFERROR(VLOOKUP(Data!D908,Codes!$A$11:$B$14,2,FALSE()),"Invalid ("&amp;Data!D908&amp;")"))</f>
        <v>Non-anginal pain</v>
      </c>
      <c r="E908" s="20" t="n">
        <f aca="false">IF(Data!E908="","",Data!E908)</f>
        <v>120</v>
      </c>
      <c r="F908" s="20" t="n">
        <f aca="false">IF(Data!F908="","",Data!F908)</f>
        <v>337</v>
      </c>
      <c r="G908" s="28" t="str">
        <f aca="false">IF(Data!G908="","",IFERROR(VLOOKUP(Data!G908,Codes!$A$18:$B$19,2,FALSE()),"Invalid ("&amp;Data!G908&amp;")"))</f>
        <v>No</v>
      </c>
      <c r="H908" s="28" t="str">
        <f aca="false">IF(Data!H908="","",IFERROR(VLOOKUP(Data!H908,Codes!$A$23:$B$25,2,FALSE()),"Invalid ("&amp;Data!H908&amp;")"))</f>
        <v>Normal</v>
      </c>
      <c r="I908" s="20" t="n">
        <f aca="false">IF(Data!I908="","",Data!I908)</f>
        <v>98</v>
      </c>
      <c r="J908" s="28" t="str">
        <f aca="false">IF(Data!J908="","",IFERROR(VLOOKUP(Data!J908,Codes!$A$29:$B$30,2,FALSE()),"Invalid ("&amp;Data!J908&amp;")"))</f>
        <v>Yes</v>
      </c>
      <c r="K908" s="21" t="n">
        <f aca="false">IF(Data!K908="","",Data!K908)</f>
        <v>0</v>
      </c>
      <c r="L908" s="28" t="str">
        <f aca="false">IF(Data!L908="","",IFERROR(VLOOKUP(Data!L908,Codes!$A$34:$B$36,2,FALSE()),"Invalid ("&amp;Data!L908&amp;")"))</f>
        <v/>
      </c>
      <c r="M908" s="20" t="str">
        <f aca="false">IF(Data!M908="","",Data!M908)</f>
        <v/>
      </c>
      <c r="N908" s="28" t="str">
        <f aca="false">IF(Data!N908="","",IFERROR(VLOOKUP(Data!N908,Codes!$A$47:$B$49,2,FALSE()),"Invalid ("&amp;Data!N908&amp;")"))</f>
        <v/>
      </c>
      <c r="O908" s="28" t="str">
        <f aca="false">IF(Data!O908="","",IFERROR(VLOOKUP(Data!O908,Codes!$A$53:$B$57,2,FALSE()),"Invalid ("&amp;Data!O908&amp;")"))</f>
        <v>Disease (3)</v>
      </c>
      <c r="P908" s="22" t="str">
        <f aca="false">IF(Data!P908="","",IFERROR(VLOOKUP(Data!P908,Codes!$A$61:$B$64,2,FALSE()),"Invalid ("&amp;Data!P908&amp;")"))</f>
        <v>VA Medical Center, Long Beach</v>
      </c>
    </row>
    <row r="909" customFormat="false" ht="15" hidden="false" customHeight="false" outlineLevel="0" collapsed="false">
      <c r="A909" s="19" t="n">
        <f aca="false">Data!A909</f>
        <v>908</v>
      </c>
      <c r="B909" s="20" t="n">
        <f aca="false">IF(Data!B909="","",Data!B909)</f>
        <v>58</v>
      </c>
      <c r="C909" s="28" t="str">
        <f aca="false">IF(Data!C909="","",IFERROR(VLOOKUP(Data!C909,Codes!$A$6:$B$7,2,FALSE()),"Invalid ("&amp;Data!C909&amp;")"))</f>
        <v>Male</v>
      </c>
      <c r="D909" s="28" t="str">
        <f aca="false">IF(Data!D909="","",IFERROR(VLOOKUP(Data!D909,Codes!$A$11:$B$14,2,FALSE()),"Invalid ("&amp;Data!D909&amp;")"))</f>
        <v>Non-anginal pain</v>
      </c>
      <c r="E909" s="20" t="n">
        <f aca="false">IF(Data!E909="","",Data!E909)</f>
        <v>150</v>
      </c>
      <c r="F909" s="20" t="n">
        <f aca="false">IF(Data!F909="","",Data!F909)</f>
        <v>219</v>
      </c>
      <c r="G909" s="28" t="str">
        <f aca="false">IF(Data!G909="","",IFERROR(VLOOKUP(Data!G909,Codes!$A$18:$B$19,2,FALSE()),"Invalid ("&amp;Data!G909&amp;")"))</f>
        <v>No</v>
      </c>
      <c r="H909" s="28" t="str">
        <f aca="false">IF(Data!H909="","",IFERROR(VLOOKUP(Data!H909,Codes!$A$23:$B$25,2,FALSE()),"Invalid ("&amp;Data!H909&amp;")"))</f>
        <v>ST-T wave abnormality</v>
      </c>
      <c r="I909" s="20" t="n">
        <f aca="false">IF(Data!I909="","",Data!I909)</f>
        <v>118</v>
      </c>
      <c r="J909" s="28" t="str">
        <f aca="false">IF(Data!J909="","",IFERROR(VLOOKUP(Data!J909,Codes!$A$29:$B$30,2,FALSE()),"Invalid ("&amp;Data!J909&amp;")"))</f>
        <v>Yes</v>
      </c>
      <c r="K909" s="21" t="n">
        <f aca="false">IF(Data!K909="","",Data!K909)</f>
        <v>0</v>
      </c>
      <c r="L909" s="28" t="str">
        <f aca="false">IF(Data!L909="","",IFERROR(VLOOKUP(Data!L909,Codes!$A$34:$B$36,2,FALSE()),"Invalid ("&amp;Data!L909&amp;")"))</f>
        <v/>
      </c>
      <c r="M909" s="20" t="str">
        <f aca="false">IF(Data!M909="","",Data!M909)</f>
        <v/>
      </c>
      <c r="N909" s="28" t="str">
        <f aca="false">IF(Data!N909="","",IFERROR(VLOOKUP(Data!N909,Codes!$A$47:$B$49,2,FALSE()),"Invalid ("&amp;Data!N909&amp;")"))</f>
        <v/>
      </c>
      <c r="O909" s="28" t="str">
        <f aca="false">IF(Data!O909="","",IFERROR(VLOOKUP(Data!O909,Codes!$A$53:$B$57,2,FALSE()),"Invalid ("&amp;Data!O909&amp;")"))</f>
        <v>Disease (2)</v>
      </c>
      <c r="P909" s="22" t="str">
        <f aca="false">IF(Data!P909="","",IFERROR(VLOOKUP(Data!P909,Codes!$A$61:$B$64,2,FALSE()),"Invalid ("&amp;Data!P909&amp;")"))</f>
        <v>VA Medical Center, Long Beach</v>
      </c>
    </row>
    <row r="910" customFormat="false" ht="15" hidden="false" customHeight="false" outlineLevel="0" collapsed="false">
      <c r="A910" s="19" t="n">
        <f aca="false">Data!A910</f>
        <v>909</v>
      </c>
      <c r="B910" s="20" t="n">
        <f aca="false">IF(Data!B910="","",Data!B910)</f>
        <v>74</v>
      </c>
      <c r="C910" s="28" t="str">
        <f aca="false">IF(Data!C910="","",IFERROR(VLOOKUP(Data!C910,Codes!$A$6:$B$7,2,FALSE()),"Invalid ("&amp;Data!C910&amp;")"))</f>
        <v>Male</v>
      </c>
      <c r="D910" s="28" t="str">
        <f aca="false">IF(Data!D910="","",IFERROR(VLOOKUP(Data!D910,Codes!$A$11:$B$14,2,FALSE()),"Invalid ("&amp;Data!D910&amp;")"))</f>
        <v>Asymptomatic</v>
      </c>
      <c r="E910" s="20" t="n">
        <f aca="false">IF(Data!E910="","",Data!E910)</f>
        <v>155</v>
      </c>
      <c r="F910" s="20" t="n">
        <f aca="false">IF(Data!F910="","",Data!F910)</f>
        <v>310</v>
      </c>
      <c r="G910" s="28" t="str">
        <f aca="false">IF(Data!G910="","",IFERROR(VLOOKUP(Data!G910,Codes!$A$18:$B$19,2,FALSE()),"Invalid ("&amp;Data!G910&amp;")"))</f>
        <v>No</v>
      </c>
      <c r="H910" s="28" t="str">
        <f aca="false">IF(Data!H910="","",IFERROR(VLOOKUP(Data!H910,Codes!$A$23:$B$25,2,FALSE()),"Invalid ("&amp;Data!H910&amp;")"))</f>
        <v>Normal</v>
      </c>
      <c r="I910" s="20" t="n">
        <f aca="false">IF(Data!I910="","",Data!I910)</f>
        <v>112</v>
      </c>
      <c r="J910" s="28" t="str">
        <f aca="false">IF(Data!J910="","",IFERROR(VLOOKUP(Data!J910,Codes!$A$29:$B$30,2,FALSE()),"Invalid ("&amp;Data!J910&amp;")"))</f>
        <v>Yes</v>
      </c>
      <c r="K910" s="21" t="n">
        <f aca="false">IF(Data!K910="","",Data!K910)</f>
        <v>1.5</v>
      </c>
      <c r="L910" s="28" t="str">
        <f aca="false">IF(Data!L910="","",IFERROR(VLOOKUP(Data!L910,Codes!$A$34:$B$36,2,FALSE()),"Invalid ("&amp;Data!L910&amp;")"))</f>
        <v>Downsloping</v>
      </c>
      <c r="M910" s="20" t="str">
        <f aca="false">IF(Data!M910="","",Data!M910)</f>
        <v/>
      </c>
      <c r="N910" s="28" t="str">
        <f aca="false">IF(Data!N910="","",IFERROR(VLOOKUP(Data!N910,Codes!$A$47:$B$49,2,FALSE()),"Invalid ("&amp;Data!N910&amp;")"))</f>
        <v/>
      </c>
      <c r="O910" s="28" t="str">
        <f aca="false">IF(Data!O910="","",IFERROR(VLOOKUP(Data!O910,Codes!$A$53:$B$57,2,FALSE()),"Invalid ("&amp;Data!O910&amp;")"))</f>
        <v>Disease (2)</v>
      </c>
      <c r="P910" s="22" t="str">
        <f aca="false">IF(Data!P910="","",IFERROR(VLOOKUP(Data!P910,Codes!$A$61:$B$64,2,FALSE()),"Invalid ("&amp;Data!P910&amp;")"))</f>
        <v>VA Medical Center, Long Beach</v>
      </c>
    </row>
    <row r="911" customFormat="false" ht="15" hidden="false" customHeight="false" outlineLevel="0" collapsed="false">
      <c r="A911" s="19" t="n">
        <f aca="false">Data!A911</f>
        <v>910</v>
      </c>
      <c r="B911" s="20" t="n">
        <f aca="false">IF(Data!B911="","",Data!B911)</f>
        <v>68</v>
      </c>
      <c r="C911" s="28" t="str">
        <f aca="false">IF(Data!C911="","",IFERROR(VLOOKUP(Data!C911,Codes!$A$6:$B$7,2,FALSE()),"Invalid ("&amp;Data!C911&amp;")"))</f>
        <v>Male</v>
      </c>
      <c r="D911" s="28" t="str">
        <f aca="false">IF(Data!D911="","",IFERROR(VLOOKUP(Data!D911,Codes!$A$11:$B$14,2,FALSE()),"Invalid ("&amp;Data!D911&amp;")"))</f>
        <v>Non-anginal pain</v>
      </c>
      <c r="E911" s="20" t="n">
        <f aca="false">IF(Data!E911="","",Data!E911)</f>
        <v>134</v>
      </c>
      <c r="F911" s="20" t="n">
        <f aca="false">IF(Data!F911="","",Data!F911)</f>
        <v>254</v>
      </c>
      <c r="G911" s="28" t="str">
        <f aca="false">IF(Data!G911="","",IFERROR(VLOOKUP(Data!G911,Codes!$A$18:$B$19,2,FALSE()),"Invalid ("&amp;Data!G911&amp;")"))</f>
        <v>Yes</v>
      </c>
      <c r="H911" s="28" t="str">
        <f aca="false">IF(Data!H911="","",IFERROR(VLOOKUP(Data!H911,Codes!$A$23:$B$25,2,FALSE()),"Invalid ("&amp;Data!H911&amp;")"))</f>
        <v>Normal</v>
      </c>
      <c r="I911" s="20" t="n">
        <f aca="false">IF(Data!I911="","",Data!I911)</f>
        <v>151</v>
      </c>
      <c r="J911" s="28" t="str">
        <f aca="false">IF(Data!J911="","",IFERROR(VLOOKUP(Data!J911,Codes!$A$29:$B$30,2,FALSE()),"Invalid ("&amp;Data!J911&amp;")"))</f>
        <v>Yes</v>
      </c>
      <c r="K911" s="21" t="n">
        <f aca="false">IF(Data!K911="","",Data!K911)</f>
        <v>0</v>
      </c>
      <c r="L911" s="28" t="str">
        <f aca="false">IF(Data!L911="","",IFERROR(VLOOKUP(Data!L911,Codes!$A$34:$B$36,2,FALSE()),"Invalid ("&amp;Data!L911&amp;")"))</f>
        <v/>
      </c>
      <c r="M911" s="20" t="str">
        <f aca="false">IF(Data!M911="","",Data!M911)</f>
        <v/>
      </c>
      <c r="N911" s="28" t="str">
        <f aca="false">IF(Data!N911="","",IFERROR(VLOOKUP(Data!N911,Codes!$A$47:$B$49,2,FALSE()),"Invalid ("&amp;Data!N911&amp;")"))</f>
        <v>Normal</v>
      </c>
      <c r="O911" s="28" t="str">
        <f aca="false">IF(Data!O911="","",IFERROR(VLOOKUP(Data!O911,Codes!$A$53:$B$57,2,FALSE()),"Invalid ("&amp;Data!O911&amp;")"))</f>
        <v>No disease</v>
      </c>
      <c r="P911" s="22" t="str">
        <f aca="false">IF(Data!P911="","",IFERROR(VLOOKUP(Data!P911,Codes!$A$61:$B$64,2,FALSE()),"Invalid ("&amp;Data!P911&amp;")"))</f>
        <v>VA Medical Center, Long Beach</v>
      </c>
    </row>
    <row r="912" customFormat="false" ht="15" hidden="false" customHeight="false" outlineLevel="0" collapsed="false">
      <c r="A912" s="19" t="n">
        <f aca="false">Data!A912</f>
        <v>911</v>
      </c>
      <c r="B912" s="20" t="n">
        <f aca="false">IF(Data!B912="","",Data!B912)</f>
        <v>51</v>
      </c>
      <c r="C912" s="28" t="str">
        <f aca="false">IF(Data!C912="","",IFERROR(VLOOKUP(Data!C912,Codes!$A$6:$B$7,2,FALSE()),"Invalid ("&amp;Data!C912&amp;")"))</f>
        <v>Female</v>
      </c>
      <c r="D912" s="28" t="str">
        <f aca="false">IF(Data!D912="","",IFERROR(VLOOKUP(Data!D912,Codes!$A$11:$B$14,2,FALSE()),"Invalid ("&amp;Data!D912&amp;")"))</f>
        <v>Asymptomatic</v>
      </c>
      <c r="E912" s="20" t="n">
        <f aca="false">IF(Data!E912="","",Data!E912)</f>
        <v>114</v>
      </c>
      <c r="F912" s="20" t="n">
        <f aca="false">IF(Data!F912="","",Data!F912)</f>
        <v>258</v>
      </c>
      <c r="G912" s="28" t="str">
        <f aca="false">IF(Data!G912="","",IFERROR(VLOOKUP(Data!G912,Codes!$A$18:$B$19,2,FALSE()),"Invalid ("&amp;Data!G912&amp;")"))</f>
        <v>Yes</v>
      </c>
      <c r="H912" s="28" t="str">
        <f aca="false">IF(Data!H912="","",IFERROR(VLOOKUP(Data!H912,Codes!$A$23:$B$25,2,FALSE()),"Invalid ("&amp;Data!H912&amp;")"))</f>
        <v>Left ventricular hypertrophy</v>
      </c>
      <c r="I912" s="20" t="n">
        <f aca="false">IF(Data!I912="","",Data!I912)</f>
        <v>96</v>
      </c>
      <c r="J912" s="28" t="str">
        <f aca="false">IF(Data!J912="","",IFERROR(VLOOKUP(Data!J912,Codes!$A$29:$B$30,2,FALSE()),"Invalid ("&amp;Data!J912&amp;")"))</f>
        <v>No</v>
      </c>
      <c r="K912" s="21" t="n">
        <f aca="false">IF(Data!K912="","",Data!K912)</f>
        <v>1</v>
      </c>
      <c r="L912" s="28" t="str">
        <f aca="false">IF(Data!L912="","",IFERROR(VLOOKUP(Data!L912,Codes!$A$34:$B$36,2,FALSE()),"Invalid ("&amp;Data!L912&amp;")"))</f>
        <v>Upsloping</v>
      </c>
      <c r="M912" s="20" t="str">
        <f aca="false">IF(Data!M912="","",Data!M912)</f>
        <v/>
      </c>
      <c r="N912" s="28" t="str">
        <f aca="false">IF(Data!N912="","",IFERROR(VLOOKUP(Data!N912,Codes!$A$47:$B$49,2,FALSE()),"Invalid ("&amp;Data!N912&amp;")"))</f>
        <v/>
      </c>
      <c r="O912" s="28" t="str">
        <f aca="false">IF(Data!O912="","",IFERROR(VLOOKUP(Data!O912,Codes!$A$53:$B$57,2,FALSE()),"Invalid ("&amp;Data!O912&amp;")"))</f>
        <v>No disease</v>
      </c>
      <c r="P912" s="22" t="str">
        <f aca="false">IF(Data!P912="","",IFERROR(VLOOKUP(Data!P912,Codes!$A$61:$B$64,2,FALSE()),"Invalid ("&amp;Data!P912&amp;")"))</f>
        <v>VA Medical Center, Long Beach</v>
      </c>
    </row>
    <row r="913" customFormat="false" ht="15" hidden="false" customHeight="false" outlineLevel="0" collapsed="false">
      <c r="A913" s="19" t="n">
        <f aca="false">Data!A913</f>
        <v>912</v>
      </c>
      <c r="B913" s="20" t="n">
        <f aca="false">IF(Data!B913="","",Data!B913)</f>
        <v>62</v>
      </c>
      <c r="C913" s="28" t="str">
        <f aca="false">IF(Data!C913="","",IFERROR(VLOOKUP(Data!C913,Codes!$A$6:$B$7,2,FALSE()),"Invalid ("&amp;Data!C913&amp;")"))</f>
        <v>Male</v>
      </c>
      <c r="D913" s="28" t="str">
        <f aca="false">IF(Data!D913="","",IFERROR(VLOOKUP(Data!D913,Codes!$A$11:$B$14,2,FALSE()),"Invalid ("&amp;Data!D913&amp;")"))</f>
        <v>Asymptomatic</v>
      </c>
      <c r="E913" s="20" t="n">
        <f aca="false">IF(Data!E913="","",Data!E913)</f>
        <v>160</v>
      </c>
      <c r="F913" s="20" t="n">
        <f aca="false">IF(Data!F913="","",Data!F913)</f>
        <v>254</v>
      </c>
      <c r="G913" s="28" t="str">
        <f aca="false">IF(Data!G913="","",IFERROR(VLOOKUP(Data!G913,Codes!$A$18:$B$19,2,FALSE()),"Invalid ("&amp;Data!G913&amp;")"))</f>
        <v>Yes</v>
      </c>
      <c r="H913" s="28" t="str">
        <f aca="false">IF(Data!H913="","",IFERROR(VLOOKUP(Data!H913,Codes!$A$23:$B$25,2,FALSE()),"Invalid ("&amp;Data!H913&amp;")"))</f>
        <v>ST-T wave abnormality</v>
      </c>
      <c r="I913" s="20" t="n">
        <f aca="false">IF(Data!I913="","",Data!I913)</f>
        <v>108</v>
      </c>
      <c r="J913" s="28" t="str">
        <f aca="false">IF(Data!J913="","",IFERROR(VLOOKUP(Data!J913,Codes!$A$29:$B$30,2,FALSE()),"Invalid ("&amp;Data!J913&amp;")"))</f>
        <v>Yes</v>
      </c>
      <c r="K913" s="21" t="n">
        <f aca="false">IF(Data!K913="","",Data!K913)</f>
        <v>3</v>
      </c>
      <c r="L913" s="28" t="str">
        <f aca="false">IF(Data!L913="","",IFERROR(VLOOKUP(Data!L913,Codes!$A$34:$B$36,2,FALSE()),"Invalid ("&amp;Data!L913&amp;")"))</f>
        <v>Flat</v>
      </c>
      <c r="M913" s="20" t="str">
        <f aca="false">IF(Data!M913="","",Data!M913)</f>
        <v/>
      </c>
      <c r="N913" s="28" t="str">
        <f aca="false">IF(Data!N913="","",IFERROR(VLOOKUP(Data!N913,Codes!$A$47:$B$49,2,FALSE()),"Invalid ("&amp;Data!N913&amp;")"))</f>
        <v/>
      </c>
      <c r="O913" s="28" t="str">
        <f aca="false">IF(Data!O913="","",IFERROR(VLOOKUP(Data!O913,Codes!$A$53:$B$57,2,FALSE()),"Invalid ("&amp;Data!O913&amp;")"))</f>
        <v>Disease (4)</v>
      </c>
      <c r="P913" s="22" t="str">
        <f aca="false">IF(Data!P913="","",IFERROR(VLOOKUP(Data!P913,Codes!$A$61:$B$64,2,FALSE()),"Invalid ("&amp;Data!P913&amp;")"))</f>
        <v>VA Medical Center, Long Beach</v>
      </c>
    </row>
    <row r="914" customFormat="false" ht="15" hidden="false" customHeight="false" outlineLevel="0" collapsed="false">
      <c r="A914" s="19" t="n">
        <f aca="false">Data!A914</f>
        <v>913</v>
      </c>
      <c r="B914" s="20" t="n">
        <f aca="false">IF(Data!B914="","",Data!B914)</f>
        <v>53</v>
      </c>
      <c r="C914" s="28" t="str">
        <f aca="false">IF(Data!C914="","",IFERROR(VLOOKUP(Data!C914,Codes!$A$6:$B$7,2,FALSE()),"Invalid ("&amp;Data!C914&amp;")"))</f>
        <v>Male</v>
      </c>
      <c r="D914" s="28" t="str">
        <f aca="false">IF(Data!D914="","",IFERROR(VLOOKUP(Data!D914,Codes!$A$11:$B$14,2,FALSE()),"Invalid ("&amp;Data!D914&amp;")"))</f>
        <v>Asymptomatic</v>
      </c>
      <c r="E914" s="20" t="n">
        <f aca="false">IF(Data!E914="","",Data!E914)</f>
        <v>144</v>
      </c>
      <c r="F914" s="20" t="n">
        <f aca="false">IF(Data!F914="","",Data!F914)</f>
        <v>300</v>
      </c>
      <c r="G914" s="28" t="str">
        <f aca="false">IF(Data!G914="","",IFERROR(VLOOKUP(Data!G914,Codes!$A$18:$B$19,2,FALSE()),"Invalid ("&amp;Data!G914&amp;")"))</f>
        <v>Yes</v>
      </c>
      <c r="H914" s="28" t="str">
        <f aca="false">IF(Data!H914="","",IFERROR(VLOOKUP(Data!H914,Codes!$A$23:$B$25,2,FALSE()),"Invalid ("&amp;Data!H914&amp;")"))</f>
        <v>ST-T wave abnormality</v>
      </c>
      <c r="I914" s="20" t="n">
        <f aca="false">IF(Data!I914="","",Data!I914)</f>
        <v>128</v>
      </c>
      <c r="J914" s="28" t="str">
        <f aca="false">IF(Data!J914="","",IFERROR(VLOOKUP(Data!J914,Codes!$A$29:$B$30,2,FALSE()),"Invalid ("&amp;Data!J914&amp;")"))</f>
        <v>Yes</v>
      </c>
      <c r="K914" s="21" t="n">
        <f aca="false">IF(Data!K914="","",Data!K914)</f>
        <v>1.5</v>
      </c>
      <c r="L914" s="28" t="str">
        <f aca="false">IF(Data!L914="","",IFERROR(VLOOKUP(Data!L914,Codes!$A$34:$B$36,2,FALSE()),"Invalid ("&amp;Data!L914&amp;")"))</f>
        <v>Flat</v>
      </c>
      <c r="M914" s="20" t="str">
        <f aca="false">IF(Data!M914="","",Data!M914)</f>
        <v/>
      </c>
      <c r="N914" s="28" t="str">
        <f aca="false">IF(Data!N914="","",IFERROR(VLOOKUP(Data!N914,Codes!$A$47:$B$49,2,FALSE()),"Invalid ("&amp;Data!N914&amp;")"))</f>
        <v/>
      </c>
      <c r="O914" s="28" t="str">
        <f aca="false">IF(Data!O914="","",IFERROR(VLOOKUP(Data!O914,Codes!$A$53:$B$57,2,FALSE()),"Invalid ("&amp;Data!O914&amp;")"))</f>
        <v>Disease (3)</v>
      </c>
      <c r="P914" s="22" t="str">
        <f aca="false">IF(Data!P914="","",IFERROR(VLOOKUP(Data!P914,Codes!$A$61:$B$64,2,FALSE()),"Invalid ("&amp;Data!P914&amp;")"))</f>
        <v>VA Medical Center, Long Beach</v>
      </c>
    </row>
    <row r="915" customFormat="false" ht="15" hidden="false" customHeight="false" outlineLevel="0" collapsed="false">
      <c r="A915" s="19" t="n">
        <f aca="false">Data!A915</f>
        <v>914</v>
      </c>
      <c r="B915" s="20" t="n">
        <f aca="false">IF(Data!B915="","",Data!B915)</f>
        <v>62</v>
      </c>
      <c r="C915" s="28" t="str">
        <f aca="false">IF(Data!C915="","",IFERROR(VLOOKUP(Data!C915,Codes!$A$6:$B$7,2,FALSE()),"Invalid ("&amp;Data!C915&amp;")"))</f>
        <v>Male</v>
      </c>
      <c r="D915" s="28" t="str">
        <f aca="false">IF(Data!D915="","",IFERROR(VLOOKUP(Data!D915,Codes!$A$11:$B$14,2,FALSE()),"Invalid ("&amp;Data!D915&amp;")"))</f>
        <v>Asymptomatic</v>
      </c>
      <c r="E915" s="20" t="n">
        <f aca="false">IF(Data!E915="","",Data!E915)</f>
        <v>158</v>
      </c>
      <c r="F915" s="20" t="n">
        <f aca="false">IF(Data!F915="","",Data!F915)</f>
        <v>170</v>
      </c>
      <c r="G915" s="28" t="str">
        <f aca="false">IF(Data!G915="","",IFERROR(VLOOKUP(Data!G915,Codes!$A$18:$B$19,2,FALSE()),"Invalid ("&amp;Data!G915&amp;")"))</f>
        <v>No</v>
      </c>
      <c r="H915" s="28" t="str">
        <f aca="false">IF(Data!H915="","",IFERROR(VLOOKUP(Data!H915,Codes!$A$23:$B$25,2,FALSE()),"Invalid ("&amp;Data!H915&amp;")"))</f>
        <v>ST-T wave abnormality</v>
      </c>
      <c r="I915" s="20" t="n">
        <f aca="false">IF(Data!I915="","",Data!I915)</f>
        <v>138</v>
      </c>
      <c r="J915" s="28" t="str">
        <f aca="false">IF(Data!J915="","",IFERROR(VLOOKUP(Data!J915,Codes!$A$29:$B$30,2,FALSE()),"Invalid ("&amp;Data!J915&amp;")"))</f>
        <v>Yes</v>
      </c>
      <c r="K915" s="21" t="n">
        <f aca="false">IF(Data!K915="","",Data!K915)</f>
        <v>0</v>
      </c>
      <c r="L915" s="28" t="str">
        <f aca="false">IF(Data!L915="","",IFERROR(VLOOKUP(Data!L915,Codes!$A$34:$B$36,2,FALSE()),"Invalid ("&amp;Data!L915&amp;")"))</f>
        <v/>
      </c>
      <c r="M915" s="20" t="str">
        <f aca="false">IF(Data!M915="","",Data!M915)</f>
        <v/>
      </c>
      <c r="N915" s="28" t="str">
        <f aca="false">IF(Data!N915="","",IFERROR(VLOOKUP(Data!N915,Codes!$A$47:$B$49,2,FALSE()),"Invalid ("&amp;Data!N915&amp;")"))</f>
        <v/>
      </c>
      <c r="O915" s="28" t="str">
        <f aca="false">IF(Data!O915="","",IFERROR(VLOOKUP(Data!O915,Codes!$A$53:$B$57,2,FALSE()),"Invalid ("&amp;Data!O915&amp;")"))</f>
        <v>Disease (1)</v>
      </c>
      <c r="P915" s="22" t="str">
        <f aca="false">IF(Data!P915="","",IFERROR(VLOOKUP(Data!P915,Codes!$A$61:$B$64,2,FALSE()),"Invalid ("&amp;Data!P915&amp;")"))</f>
        <v>VA Medical Center, Long Beach</v>
      </c>
    </row>
    <row r="916" customFormat="false" ht="15" hidden="false" customHeight="false" outlineLevel="0" collapsed="false">
      <c r="A916" s="19" t="n">
        <f aca="false">Data!A916</f>
        <v>915</v>
      </c>
      <c r="B916" s="20" t="n">
        <f aca="false">IF(Data!B916="","",Data!B916)</f>
        <v>46</v>
      </c>
      <c r="C916" s="28" t="str">
        <f aca="false">IF(Data!C916="","",IFERROR(VLOOKUP(Data!C916,Codes!$A$6:$B$7,2,FALSE()),"Invalid ("&amp;Data!C916&amp;")"))</f>
        <v>Male</v>
      </c>
      <c r="D916" s="28" t="str">
        <f aca="false">IF(Data!D916="","",IFERROR(VLOOKUP(Data!D916,Codes!$A$11:$B$14,2,FALSE()),"Invalid ("&amp;Data!D916&amp;")"))</f>
        <v>Asymptomatic</v>
      </c>
      <c r="E916" s="20" t="n">
        <f aca="false">IF(Data!E916="","",Data!E916)</f>
        <v>134</v>
      </c>
      <c r="F916" s="20" t="n">
        <f aca="false">IF(Data!F916="","",Data!F916)</f>
        <v>310</v>
      </c>
      <c r="G916" s="28" t="str">
        <f aca="false">IF(Data!G916="","",IFERROR(VLOOKUP(Data!G916,Codes!$A$18:$B$19,2,FALSE()),"Invalid ("&amp;Data!G916&amp;")"))</f>
        <v>No</v>
      </c>
      <c r="H916" s="28" t="str">
        <f aca="false">IF(Data!H916="","",IFERROR(VLOOKUP(Data!H916,Codes!$A$23:$B$25,2,FALSE()),"Invalid ("&amp;Data!H916&amp;")"))</f>
        <v>Normal</v>
      </c>
      <c r="I916" s="20" t="n">
        <f aca="false">IF(Data!I916="","",Data!I916)</f>
        <v>126</v>
      </c>
      <c r="J916" s="28" t="str">
        <f aca="false">IF(Data!J916="","",IFERROR(VLOOKUP(Data!J916,Codes!$A$29:$B$30,2,FALSE()),"Invalid ("&amp;Data!J916&amp;")"))</f>
        <v>No</v>
      </c>
      <c r="K916" s="21" t="n">
        <f aca="false">IF(Data!K916="","",Data!K916)</f>
        <v>0</v>
      </c>
      <c r="L916" s="28" t="str">
        <f aca="false">IF(Data!L916="","",IFERROR(VLOOKUP(Data!L916,Codes!$A$34:$B$36,2,FALSE()),"Invalid ("&amp;Data!L916&amp;")"))</f>
        <v/>
      </c>
      <c r="M916" s="20" t="str">
        <f aca="false">IF(Data!M916="","",Data!M916)</f>
        <v/>
      </c>
      <c r="N916" s="28" t="str">
        <f aca="false">IF(Data!N916="","",IFERROR(VLOOKUP(Data!N916,Codes!$A$47:$B$49,2,FALSE()),"Invalid ("&amp;Data!N916&amp;")"))</f>
        <v>Normal</v>
      </c>
      <c r="O916" s="28" t="str">
        <f aca="false">IF(Data!O916="","",IFERROR(VLOOKUP(Data!O916,Codes!$A$53:$B$57,2,FALSE()),"Invalid ("&amp;Data!O916&amp;")"))</f>
        <v>Disease (2)</v>
      </c>
      <c r="P916" s="22" t="str">
        <f aca="false">IF(Data!P916="","",IFERROR(VLOOKUP(Data!P916,Codes!$A$61:$B$64,2,FALSE()),"Invalid ("&amp;Data!P916&amp;")"))</f>
        <v>VA Medical Center, Long Beach</v>
      </c>
    </row>
    <row r="917" customFormat="false" ht="15" hidden="false" customHeight="false" outlineLevel="0" collapsed="false">
      <c r="A917" s="19" t="n">
        <f aca="false">Data!A917</f>
        <v>916</v>
      </c>
      <c r="B917" s="20" t="n">
        <f aca="false">IF(Data!B917="","",Data!B917)</f>
        <v>54</v>
      </c>
      <c r="C917" s="28" t="str">
        <f aca="false">IF(Data!C917="","",IFERROR(VLOOKUP(Data!C917,Codes!$A$6:$B$7,2,FALSE()),"Invalid ("&amp;Data!C917&amp;")"))</f>
        <v>Female</v>
      </c>
      <c r="D917" s="28" t="str">
        <f aca="false">IF(Data!D917="","",IFERROR(VLOOKUP(Data!D917,Codes!$A$11:$B$14,2,FALSE()),"Invalid ("&amp;Data!D917&amp;")"))</f>
        <v>Asymptomatic</v>
      </c>
      <c r="E917" s="20" t="n">
        <f aca="false">IF(Data!E917="","",Data!E917)</f>
        <v>127</v>
      </c>
      <c r="F917" s="20" t="n">
        <f aca="false">IF(Data!F917="","",Data!F917)</f>
        <v>333</v>
      </c>
      <c r="G917" s="28" t="str">
        <f aca="false">IF(Data!G917="","",IFERROR(VLOOKUP(Data!G917,Codes!$A$18:$B$19,2,FALSE()),"Invalid ("&amp;Data!G917&amp;")"))</f>
        <v>Yes</v>
      </c>
      <c r="H917" s="28" t="str">
        <f aca="false">IF(Data!H917="","",IFERROR(VLOOKUP(Data!H917,Codes!$A$23:$B$25,2,FALSE()),"Invalid ("&amp;Data!H917&amp;")"))</f>
        <v>ST-T wave abnormality</v>
      </c>
      <c r="I917" s="20" t="n">
        <f aca="false">IF(Data!I917="","",Data!I917)</f>
        <v>154</v>
      </c>
      <c r="J917" s="28" t="str">
        <f aca="false">IF(Data!J917="","",IFERROR(VLOOKUP(Data!J917,Codes!$A$29:$B$30,2,FALSE()),"Invalid ("&amp;Data!J917&amp;")"))</f>
        <v>No</v>
      </c>
      <c r="K917" s="21" t="n">
        <f aca="false">IF(Data!K917="","",Data!K917)</f>
        <v>0</v>
      </c>
      <c r="L917" s="28" t="str">
        <f aca="false">IF(Data!L917="","",IFERROR(VLOOKUP(Data!L917,Codes!$A$34:$B$36,2,FALSE()),"Invalid ("&amp;Data!L917&amp;")"))</f>
        <v/>
      </c>
      <c r="M917" s="20" t="str">
        <f aca="false">IF(Data!M917="","",Data!M917)</f>
        <v/>
      </c>
      <c r="N917" s="28" t="str">
        <f aca="false">IF(Data!N917="","",IFERROR(VLOOKUP(Data!N917,Codes!$A$47:$B$49,2,FALSE()),"Invalid ("&amp;Data!N917&amp;")"))</f>
        <v/>
      </c>
      <c r="O917" s="28" t="str">
        <f aca="false">IF(Data!O917="","",IFERROR(VLOOKUP(Data!O917,Codes!$A$53:$B$57,2,FALSE()),"Invalid ("&amp;Data!O917&amp;")"))</f>
        <v>Disease (1)</v>
      </c>
      <c r="P917" s="22" t="str">
        <f aca="false">IF(Data!P917="","",IFERROR(VLOOKUP(Data!P917,Codes!$A$61:$B$64,2,FALSE()),"Invalid ("&amp;Data!P917&amp;")"))</f>
        <v>VA Medical Center, Long Beach</v>
      </c>
    </row>
    <row r="918" customFormat="false" ht="15" hidden="false" customHeight="false" outlineLevel="0" collapsed="false">
      <c r="A918" s="19" t="n">
        <f aca="false">Data!A918</f>
        <v>917</v>
      </c>
      <c r="B918" s="20" t="n">
        <f aca="false">IF(Data!B918="","",Data!B918)</f>
        <v>62</v>
      </c>
      <c r="C918" s="28" t="str">
        <f aca="false">IF(Data!C918="","",IFERROR(VLOOKUP(Data!C918,Codes!$A$6:$B$7,2,FALSE()),"Invalid ("&amp;Data!C918&amp;")"))</f>
        <v>Male</v>
      </c>
      <c r="D918" s="28" t="str">
        <f aca="false">IF(Data!D918="","",IFERROR(VLOOKUP(Data!D918,Codes!$A$11:$B$14,2,FALSE()),"Invalid ("&amp;Data!D918&amp;")"))</f>
        <v>Typical angina</v>
      </c>
      <c r="E918" s="20" t="str">
        <f aca="false">IF(Data!E918="","",Data!E918)</f>
        <v/>
      </c>
      <c r="F918" s="20" t="n">
        <f aca="false">IF(Data!F918="","",Data!F918)</f>
        <v>139</v>
      </c>
      <c r="G918" s="28" t="str">
        <f aca="false">IF(Data!G918="","",IFERROR(VLOOKUP(Data!G918,Codes!$A$18:$B$19,2,FALSE()),"Invalid ("&amp;Data!G918&amp;")"))</f>
        <v>No</v>
      </c>
      <c r="H918" s="28" t="str">
        <f aca="false">IF(Data!H918="","",IFERROR(VLOOKUP(Data!H918,Codes!$A$23:$B$25,2,FALSE()),"Invalid ("&amp;Data!H918&amp;")"))</f>
        <v>ST-T wave abnormality</v>
      </c>
      <c r="I918" s="20" t="str">
        <f aca="false">IF(Data!I918="","",Data!I918)</f>
        <v/>
      </c>
      <c r="J918" s="28" t="str">
        <f aca="false">IF(Data!J918="","",IFERROR(VLOOKUP(Data!J918,Codes!$A$29:$B$30,2,FALSE()),"Invalid ("&amp;Data!J918&amp;")"))</f>
        <v/>
      </c>
      <c r="K918" s="21" t="str">
        <f aca="false">IF(Data!K918="","",Data!K918)</f>
        <v/>
      </c>
      <c r="L918" s="28" t="str">
        <f aca="false">IF(Data!L918="","",IFERROR(VLOOKUP(Data!L918,Codes!$A$34:$B$36,2,FALSE()),"Invalid ("&amp;Data!L918&amp;")"))</f>
        <v/>
      </c>
      <c r="M918" s="20" t="str">
        <f aca="false">IF(Data!M918="","",Data!M918)</f>
        <v/>
      </c>
      <c r="N918" s="28" t="str">
        <f aca="false">IF(Data!N918="","",IFERROR(VLOOKUP(Data!N918,Codes!$A$47:$B$49,2,FALSE()),"Invalid ("&amp;Data!N918&amp;")"))</f>
        <v/>
      </c>
      <c r="O918" s="28" t="str">
        <f aca="false">IF(Data!O918="","",IFERROR(VLOOKUP(Data!O918,Codes!$A$53:$B$57,2,FALSE()),"Invalid ("&amp;Data!O918&amp;")"))</f>
        <v>No disease</v>
      </c>
      <c r="P918" s="22" t="str">
        <f aca="false">IF(Data!P918="","",IFERROR(VLOOKUP(Data!P918,Codes!$A$61:$B$64,2,FALSE()),"Invalid ("&amp;Data!P918&amp;")"))</f>
        <v>VA Medical Center, Long Beach</v>
      </c>
    </row>
    <row r="919" customFormat="false" ht="15" hidden="false" customHeight="false" outlineLevel="0" collapsed="false">
      <c r="A919" s="19" t="n">
        <f aca="false">Data!A919</f>
        <v>918</v>
      </c>
      <c r="B919" s="20" t="n">
        <f aca="false">IF(Data!B919="","",Data!B919)</f>
        <v>55</v>
      </c>
      <c r="C919" s="28" t="str">
        <f aca="false">IF(Data!C919="","",IFERROR(VLOOKUP(Data!C919,Codes!$A$6:$B$7,2,FALSE()),"Invalid ("&amp;Data!C919&amp;")"))</f>
        <v>Male</v>
      </c>
      <c r="D919" s="28" t="str">
        <f aca="false">IF(Data!D919="","",IFERROR(VLOOKUP(Data!D919,Codes!$A$11:$B$14,2,FALSE()),"Invalid ("&amp;Data!D919&amp;")"))</f>
        <v>Asymptomatic</v>
      </c>
      <c r="E919" s="20" t="n">
        <f aca="false">IF(Data!E919="","",Data!E919)</f>
        <v>122</v>
      </c>
      <c r="F919" s="20" t="n">
        <f aca="false">IF(Data!F919="","",Data!F919)</f>
        <v>223</v>
      </c>
      <c r="G919" s="28" t="str">
        <f aca="false">IF(Data!G919="","",IFERROR(VLOOKUP(Data!G919,Codes!$A$18:$B$19,2,FALSE()),"Invalid ("&amp;Data!G919&amp;")"))</f>
        <v>Yes</v>
      </c>
      <c r="H919" s="28" t="str">
        <f aca="false">IF(Data!H919="","",IFERROR(VLOOKUP(Data!H919,Codes!$A$23:$B$25,2,FALSE()),"Invalid ("&amp;Data!H919&amp;")"))</f>
        <v>ST-T wave abnormality</v>
      </c>
      <c r="I919" s="20" t="n">
        <f aca="false">IF(Data!I919="","",Data!I919)</f>
        <v>100</v>
      </c>
      <c r="J919" s="28" t="str">
        <f aca="false">IF(Data!J919="","",IFERROR(VLOOKUP(Data!J919,Codes!$A$29:$B$30,2,FALSE()),"Invalid ("&amp;Data!J919&amp;")"))</f>
        <v>No</v>
      </c>
      <c r="K919" s="21" t="n">
        <f aca="false">IF(Data!K919="","",Data!K919)</f>
        <v>0</v>
      </c>
      <c r="L919" s="28" t="str">
        <f aca="false">IF(Data!L919="","",IFERROR(VLOOKUP(Data!L919,Codes!$A$34:$B$36,2,FALSE()),"Invalid ("&amp;Data!L919&amp;")"))</f>
        <v/>
      </c>
      <c r="M919" s="20" t="str">
        <f aca="false">IF(Data!M919="","",Data!M919)</f>
        <v/>
      </c>
      <c r="N919" s="28" t="str">
        <f aca="false">IF(Data!N919="","",IFERROR(VLOOKUP(Data!N919,Codes!$A$47:$B$49,2,FALSE()),"Invalid ("&amp;Data!N919&amp;")"))</f>
        <v>Fixed defect</v>
      </c>
      <c r="O919" s="28" t="str">
        <f aca="false">IF(Data!O919="","",IFERROR(VLOOKUP(Data!O919,Codes!$A$53:$B$57,2,FALSE()),"Invalid ("&amp;Data!O919&amp;")"))</f>
        <v>Disease (2)</v>
      </c>
      <c r="P919" s="22" t="str">
        <f aca="false">IF(Data!P919="","",IFERROR(VLOOKUP(Data!P919,Codes!$A$61:$B$64,2,FALSE()),"Invalid ("&amp;Data!P919&amp;")"))</f>
        <v>VA Medical Center, Long Beach</v>
      </c>
    </row>
    <row r="920" customFormat="false" ht="15" hidden="false" customHeight="false" outlineLevel="0" collapsed="false">
      <c r="A920" s="19" t="n">
        <f aca="false">Data!A920</f>
        <v>919</v>
      </c>
      <c r="B920" s="20" t="n">
        <f aca="false">IF(Data!B920="","",Data!B920)</f>
        <v>58</v>
      </c>
      <c r="C920" s="28" t="str">
        <f aca="false">IF(Data!C920="","",IFERROR(VLOOKUP(Data!C920,Codes!$A$6:$B$7,2,FALSE()),"Invalid ("&amp;Data!C920&amp;")"))</f>
        <v>Male</v>
      </c>
      <c r="D920" s="28" t="str">
        <f aca="false">IF(Data!D920="","",IFERROR(VLOOKUP(Data!D920,Codes!$A$11:$B$14,2,FALSE()),"Invalid ("&amp;Data!D920&amp;")"))</f>
        <v>Asymptomatic</v>
      </c>
      <c r="E920" s="20" t="str">
        <f aca="false">IF(Data!E920="","",Data!E920)</f>
        <v/>
      </c>
      <c r="F920" s="20" t="n">
        <f aca="false">IF(Data!F920="","",Data!F920)</f>
        <v>385</v>
      </c>
      <c r="G920" s="28" t="str">
        <f aca="false">IF(Data!G920="","",IFERROR(VLOOKUP(Data!G920,Codes!$A$18:$B$19,2,FALSE()),"Invalid ("&amp;Data!G920&amp;")"))</f>
        <v>Yes</v>
      </c>
      <c r="H920" s="28" t="str">
        <f aca="false">IF(Data!H920="","",IFERROR(VLOOKUP(Data!H920,Codes!$A$23:$B$25,2,FALSE()),"Invalid ("&amp;Data!H920&amp;")"))</f>
        <v>Left ventricular hypertrophy</v>
      </c>
      <c r="I920" s="20" t="str">
        <f aca="false">IF(Data!I920="","",Data!I920)</f>
        <v/>
      </c>
      <c r="J920" s="28" t="str">
        <f aca="false">IF(Data!J920="","",IFERROR(VLOOKUP(Data!J920,Codes!$A$29:$B$30,2,FALSE()),"Invalid ("&amp;Data!J920&amp;")"))</f>
        <v/>
      </c>
      <c r="K920" s="21" t="str">
        <f aca="false">IF(Data!K920="","",Data!K920)</f>
        <v/>
      </c>
      <c r="L920" s="28" t="str">
        <f aca="false">IF(Data!L920="","",IFERROR(VLOOKUP(Data!L920,Codes!$A$34:$B$36,2,FALSE()),"Invalid ("&amp;Data!L920&amp;")"))</f>
        <v/>
      </c>
      <c r="M920" s="20" t="str">
        <f aca="false">IF(Data!M920="","",Data!M920)</f>
        <v/>
      </c>
      <c r="N920" s="28" t="str">
        <f aca="false">IF(Data!N920="","",IFERROR(VLOOKUP(Data!N920,Codes!$A$47:$B$49,2,FALSE()),"Invalid ("&amp;Data!N920&amp;")"))</f>
        <v/>
      </c>
      <c r="O920" s="28" t="str">
        <f aca="false">IF(Data!O920="","",IFERROR(VLOOKUP(Data!O920,Codes!$A$53:$B$57,2,FALSE()),"Invalid ("&amp;Data!O920&amp;")"))</f>
        <v>No disease</v>
      </c>
      <c r="P920" s="22" t="str">
        <f aca="false">IF(Data!P920="","",IFERROR(VLOOKUP(Data!P920,Codes!$A$61:$B$64,2,FALSE()),"Invalid ("&amp;Data!P920&amp;")"))</f>
        <v>VA Medical Center, Long Beach</v>
      </c>
    </row>
    <row r="921" customFormat="false" ht="15" hidden="false" customHeight="false" outlineLevel="0" collapsed="false">
      <c r="A921" s="19" t="n">
        <f aca="false">Data!A921</f>
        <v>920</v>
      </c>
      <c r="B921" s="20" t="n">
        <f aca="false">IF(Data!B921="","",Data!B921)</f>
        <v>62</v>
      </c>
      <c r="C921" s="28" t="str">
        <f aca="false">IF(Data!C921="","",IFERROR(VLOOKUP(Data!C921,Codes!$A$6:$B$7,2,FALSE()),"Invalid ("&amp;Data!C921&amp;")"))</f>
        <v>Male</v>
      </c>
      <c r="D921" s="28" t="str">
        <f aca="false">IF(Data!D921="","",IFERROR(VLOOKUP(Data!D921,Codes!$A$11:$B$14,2,FALSE()),"Invalid ("&amp;Data!D921&amp;")"))</f>
        <v>Atypical angina</v>
      </c>
      <c r="E921" s="20" t="n">
        <f aca="false">IF(Data!E921="","",Data!E921)</f>
        <v>120</v>
      </c>
      <c r="F921" s="20" t="n">
        <f aca="false">IF(Data!F921="","",Data!F921)</f>
        <v>254</v>
      </c>
      <c r="G921" s="28" t="str">
        <f aca="false">IF(Data!G921="","",IFERROR(VLOOKUP(Data!G921,Codes!$A$18:$B$19,2,FALSE()),"Invalid ("&amp;Data!G921&amp;")"))</f>
        <v>No</v>
      </c>
      <c r="H921" s="28" t="str">
        <f aca="false">IF(Data!H921="","",IFERROR(VLOOKUP(Data!H921,Codes!$A$23:$B$25,2,FALSE()),"Invalid ("&amp;Data!H921&amp;")"))</f>
        <v>Left ventricular hypertrophy</v>
      </c>
      <c r="I921" s="20" t="n">
        <f aca="false">IF(Data!I921="","",Data!I921)</f>
        <v>93</v>
      </c>
      <c r="J921" s="28" t="str">
        <f aca="false">IF(Data!J921="","",IFERROR(VLOOKUP(Data!J921,Codes!$A$29:$B$30,2,FALSE()),"Invalid ("&amp;Data!J921&amp;")"))</f>
        <v>Yes</v>
      </c>
      <c r="K921" s="21" t="n">
        <f aca="false">IF(Data!K921="","",Data!K921)</f>
        <v>0</v>
      </c>
      <c r="L921" s="28" t="str">
        <f aca="false">IF(Data!L921="","",IFERROR(VLOOKUP(Data!L921,Codes!$A$34:$B$36,2,FALSE()),"Invalid ("&amp;Data!L921&amp;")"))</f>
        <v/>
      </c>
      <c r="M921" s="20" t="str">
        <f aca="false">IF(Data!M921="","",Data!M921)</f>
        <v/>
      </c>
      <c r="N921" s="28" t="str">
        <f aca="false">IF(Data!N921="","",IFERROR(VLOOKUP(Data!N921,Codes!$A$47:$B$49,2,FALSE()),"Invalid ("&amp;Data!N921&amp;")"))</f>
        <v/>
      </c>
      <c r="O921" s="28" t="str">
        <f aca="false">IF(Data!O921="","",IFERROR(VLOOKUP(Data!O921,Codes!$A$53:$B$57,2,FALSE()),"Invalid ("&amp;Data!O921&amp;")"))</f>
        <v>Disease (1)</v>
      </c>
      <c r="P921" s="22" t="str">
        <f aca="false">IF(Data!P921="","",IFERROR(VLOOKUP(Data!P921,Codes!$A$61:$B$64,2,FALSE()),"Invalid ("&amp;Data!P921&amp;")"))</f>
        <v>VA Medical Center, Long Beach</v>
      </c>
    </row>
  </sheetData>
  <autoFilter ref="A1:P9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157</v>
      </c>
    </row>
    <row r="3" customFormat="false" ht="31.5" hidden="false" customHeight="true" outlineLevel="0" collapsed="false">
      <c r="A3" s="3" t="s">
        <v>158</v>
      </c>
      <c r="B3" s="3" t="s">
        <v>147</v>
      </c>
      <c r="C3" s="3" t="s">
        <v>148</v>
      </c>
      <c r="D3" s="3" t="s">
        <v>149</v>
      </c>
      <c r="E3" s="3" t="s">
        <v>150</v>
      </c>
      <c r="F3" s="3" t="s">
        <v>159</v>
      </c>
    </row>
    <row r="4" customFormat="false" ht="15" hidden="false" customHeight="false" outlineLevel="0" collapsed="false">
      <c r="A4" s="15" t="s">
        <v>160</v>
      </c>
      <c r="B4" s="29" t="n">
        <f aca="false">COUNTIF(Data!$P$2:$P$921,"cleveland")</f>
        <v>303</v>
      </c>
      <c r="C4" s="29" t="n">
        <f aca="false">COUNTIF(Data!$P$2:$P$921,"hungarian")</f>
        <v>294</v>
      </c>
      <c r="D4" s="29" t="n">
        <f aca="false">COUNTIF(Data!$P$2:$P$921,"switzerland")</f>
        <v>123</v>
      </c>
      <c r="E4" s="29" t="n">
        <f aca="false">COUNTIF(Data!$P$2:$P$921,"va")</f>
        <v>200</v>
      </c>
      <c r="F4" s="30" t="n">
        <f aca="false">COUNTA(Data!$P$2:$P$921)</f>
        <v>920</v>
      </c>
    </row>
    <row r="5" customFormat="false" ht="15" hidden="false" customHeight="false" outlineLevel="0" collapsed="false">
      <c r="A5" s="16" t="s">
        <v>114</v>
      </c>
      <c r="B5" s="31" t="n">
        <f aca="false">COUNTIFS(Data!$P$2:$P$921,"cleveland",Data!$C$2:$C$921,1)/B$4</f>
        <v>0.67986798679868</v>
      </c>
      <c r="C5" s="31" t="n">
        <f aca="false">COUNTIFS(Data!$P$2:$P$921,"hungarian",Data!$C$2:$C$921,1)/C$4</f>
        <v>0.724489795918367</v>
      </c>
      <c r="D5" s="31" t="n">
        <f aca="false">COUNTIFS(Data!$P$2:$P$921,"switzerland",Data!$C$2:$C$921,1)/D$4</f>
        <v>0.91869918699187</v>
      </c>
      <c r="E5" s="31" t="n">
        <f aca="false">COUNTIFS(Data!$P$2:$P$921,"va",Data!$C$2:$C$921,1)/E$4</f>
        <v>0.97</v>
      </c>
      <c r="F5" s="32" t="n">
        <f aca="false">COUNTIF(Data!$C$2:$C$921,1)/F$4</f>
        <v>0.789130434782609</v>
      </c>
    </row>
    <row r="6" customFormat="false" ht="15" hidden="false" customHeight="false" outlineLevel="0" collapsed="false">
      <c r="A6" s="16" t="s">
        <v>161</v>
      </c>
      <c r="B6" s="31" t="n">
        <f aca="false">COUNTIFS(Data!$P$2:$P$921,"cleveland",Data!$O$2:$O$921,"&gt;0")/B$4</f>
        <v>0.458745874587459</v>
      </c>
      <c r="C6" s="31" t="n">
        <f aca="false">COUNTIFS(Data!$P$2:$P$921,"hungarian",Data!$O$2:$O$921,"&gt;0")/C$4</f>
        <v>0.360544217687075</v>
      </c>
      <c r="D6" s="31" t="n">
        <f aca="false">COUNTIFS(Data!$P$2:$P$921,"switzerland",Data!$O$2:$O$921,"&gt;0")/D$4</f>
        <v>0.934959349593496</v>
      </c>
      <c r="E6" s="31" t="n">
        <f aca="false">COUNTIFS(Data!$P$2:$P$921,"va",Data!$O$2:$O$921,"&gt;0")/E$4</f>
        <v>0.745</v>
      </c>
      <c r="F6" s="32" t="n">
        <f aca="false">COUNTIF(Data!$O$2:$O$921,"&gt;0")/F$4</f>
        <v>0.553260869565217</v>
      </c>
    </row>
    <row r="7" customFormat="false" ht="15" hidden="false" customHeight="false" outlineLevel="0" collapsed="false">
      <c r="A7" s="16" t="s">
        <v>162</v>
      </c>
      <c r="B7" s="33" t="n">
        <f aca="false">AVERAGEIFS(Data!$B$2:$B$921,Data!$P$2:$P$921,"cleveland")</f>
        <v>54.4389438943894</v>
      </c>
      <c r="C7" s="33" t="n">
        <f aca="false">AVERAGEIFS(Data!$B$2:$B$921,Data!$P$2:$P$921,"hungarian")</f>
        <v>47.8265306122449</v>
      </c>
      <c r="D7" s="33" t="n">
        <f aca="false">AVERAGEIFS(Data!$B$2:$B$921,Data!$P$2:$P$921,"switzerland")</f>
        <v>55.3170731707317</v>
      </c>
      <c r="E7" s="33" t="n">
        <f aca="false">AVERAGEIFS(Data!$B$2:$B$921,Data!$P$2:$P$921,"va")</f>
        <v>59.35</v>
      </c>
      <c r="F7" s="34" t="n">
        <f aca="false">AVERAGE(Data!$B$2:$B$921)</f>
        <v>53.5108695652174</v>
      </c>
    </row>
    <row r="8" customFormat="false" ht="15" hidden="false" customHeight="false" outlineLevel="0" collapsed="false">
      <c r="A8" s="16" t="s">
        <v>163</v>
      </c>
      <c r="B8" s="33" t="n">
        <f aca="false">IFERROR(AVERAGEIFS(Data!$E$2:$E$921,Data!$P$2:$P$921,"cleveland",Data!$E$2:$E$921,"&gt;0"),"n/a")</f>
        <v>131.689768976898</v>
      </c>
      <c r="C8" s="33" t="n">
        <f aca="false">IFERROR(AVERAGEIFS(Data!$E$2:$E$921,Data!$P$2:$P$921,"hungarian",Data!$E$2:$E$921,"&gt;0"),"n/a")</f>
        <v>132.58361774744</v>
      </c>
      <c r="D8" s="33" t="n">
        <f aca="false">IFERROR(AVERAGEIFS(Data!$E$2:$E$921,Data!$P$2:$P$921,"switzerland",Data!$E$2:$E$921,"&gt;0"),"n/a")</f>
        <v>130.206611570248</v>
      </c>
      <c r="E8" s="33" t="n">
        <f aca="false">IFERROR(AVERAGEIFS(Data!$E$2:$E$921,Data!$P$2:$P$921,"va",Data!$E$2:$E$921,"&gt;0"),"n/a")</f>
        <v>134.699300699301</v>
      </c>
      <c r="F8" s="34" t="n">
        <f aca="false">AVERAGEIF(Data!$E$2:$E$921,"&gt;0")</f>
        <v>132.286046511628</v>
      </c>
    </row>
    <row r="9" customFormat="false" ht="15" hidden="false" customHeight="false" outlineLevel="0" collapsed="false">
      <c r="A9" s="16" t="s">
        <v>164</v>
      </c>
      <c r="B9" s="33" t="n">
        <f aca="false">IFERROR(AVERAGEIFS(Data!$F$2:$F$921,Data!$P$2:$P$921,"cleveland",Data!$F$2:$F$921,"&gt;0"),"n/a")</f>
        <v>246.693069306931</v>
      </c>
      <c r="C9" s="33" t="n">
        <f aca="false">IFERROR(AVERAGEIFS(Data!$F$2:$F$921,Data!$P$2:$P$921,"hungarian",Data!$F$2:$F$921,"&gt;0"),"n/a")</f>
        <v>250.848708487085</v>
      </c>
      <c r="D9" s="33" t="str">
        <f aca="false">IFERROR(AVERAGEIFS(Data!$F$2:$F$921,Data!$P$2:$P$921,"switzerland",Data!$F$2:$F$921,"&gt;0"),"n/a")</f>
        <v>n/a</v>
      </c>
      <c r="E9" s="33" t="n">
        <f aca="false">IFERROR(AVERAGEIFS(Data!$F$2:$F$921,Data!$P$2:$P$921,"va",Data!$F$2:$F$921,"&gt;0"),"n/a")</f>
        <v>239.569444444444</v>
      </c>
      <c r="F9" s="34" t="n">
        <f aca="false">AVERAGEIF(Data!$F$2:$F$921,"&gt;0")</f>
        <v>246.83286908078</v>
      </c>
    </row>
    <row r="10" customFormat="false" ht="15" hidden="false" customHeight="false" outlineLevel="0" collapsed="false">
      <c r="A10" s="16" t="s">
        <v>165</v>
      </c>
      <c r="B10" s="33" t="n">
        <f aca="false">AVERAGEIFS(Data!$I$2:$I$921,Data!$P$2:$P$921,"cleveland")</f>
        <v>149.607260726073</v>
      </c>
      <c r="C10" s="33" t="n">
        <f aca="false">AVERAGEIFS(Data!$I$2:$I$921,Data!$P$2:$P$921,"hungarian")</f>
        <v>139.129692832765</v>
      </c>
      <c r="D10" s="33" t="n">
        <f aca="false">AVERAGEIFS(Data!$I$2:$I$921,Data!$P$2:$P$921,"switzerland")</f>
        <v>121.55737704918</v>
      </c>
      <c r="E10" s="33" t="n">
        <f aca="false">AVERAGEIFS(Data!$I$2:$I$921,Data!$P$2:$P$921,"va")</f>
        <v>122.795918367347</v>
      </c>
      <c r="F10" s="34" t="n">
        <f aca="false">AVERAGE(Data!$I$2:$I$921)</f>
        <v>137.545664739884</v>
      </c>
    </row>
    <row r="11" customFormat="false" ht="15" hidden="false" customHeight="false" outlineLevel="0" collapsed="false">
      <c r="A11" s="16" t="s">
        <v>166</v>
      </c>
      <c r="B11" s="35" t="n">
        <f aca="false">AVERAGEIFS(Data!$K$2:$K$921,Data!$P$2:$P$921,"cleveland")</f>
        <v>1.03960396039604</v>
      </c>
      <c r="C11" s="35" t="n">
        <f aca="false">AVERAGEIFS(Data!$K$2:$K$921,Data!$P$2:$P$921,"hungarian")</f>
        <v>0.586054421768708</v>
      </c>
      <c r="D11" s="35" t="n">
        <f aca="false">AVERAGEIFS(Data!$K$2:$K$921,Data!$P$2:$P$921,"switzerland")</f>
        <v>0.653846153846154</v>
      </c>
      <c r="E11" s="35" t="n">
        <f aca="false">AVERAGEIFS(Data!$K$2:$K$921,Data!$P$2:$P$921,"va")</f>
        <v>1.32083333333333</v>
      </c>
      <c r="F11" s="36" t="n">
        <f aca="false">AVERAGE(Data!$K$2:$K$921)</f>
        <v>0.878787878787879</v>
      </c>
    </row>
    <row r="13" customFormat="false" ht="15" hidden="false" customHeight="false" outlineLevel="0" collapsed="false">
      <c r="A13" s="12" t="s">
        <v>167</v>
      </c>
    </row>
    <row r="14" customFormat="false" ht="15" hidden="false" customHeight="false" outlineLevel="0" collapsed="false">
      <c r="A14" s="16" t="s">
        <v>168</v>
      </c>
      <c r="B14" s="29" t="n">
        <f aca="false">COUNTIFS(Data!$P$2:$P$921,"cleveland",Data!$B$2:$B$921,"")</f>
        <v>0</v>
      </c>
      <c r="C14" s="29" t="n">
        <f aca="false">COUNTIFS(Data!$P$2:$P$921,"hungarian",Data!$B$2:$B$921,"")</f>
        <v>0</v>
      </c>
      <c r="D14" s="29" t="n">
        <f aca="false">COUNTIFS(Data!$P$2:$P$921,"switzerland",Data!$B$2:$B$921,"")</f>
        <v>0</v>
      </c>
      <c r="E14" s="29" t="n">
        <f aca="false">COUNTIFS(Data!$P$2:$P$921,"va",Data!$B$2:$B$921,"")</f>
        <v>0</v>
      </c>
      <c r="F14" s="30" t="n">
        <f aca="false">COUNTBLANK(Data!$B$2:$B$921)</f>
        <v>0</v>
      </c>
    </row>
    <row r="15" customFormat="false" ht="15" hidden="false" customHeight="false" outlineLevel="0" collapsed="false">
      <c r="A15" s="16" t="s">
        <v>110</v>
      </c>
      <c r="B15" s="29" t="n">
        <f aca="false">COUNTIFS(Data!$P$2:$P$921,"cleveland",Data!$C$2:$C$921,"")</f>
        <v>0</v>
      </c>
      <c r="C15" s="29" t="n">
        <f aca="false">COUNTIFS(Data!$P$2:$P$921,"hungarian",Data!$C$2:$C$921,"")</f>
        <v>0</v>
      </c>
      <c r="D15" s="29" t="n">
        <f aca="false">COUNTIFS(Data!$P$2:$P$921,"switzerland",Data!$C$2:$C$921,"")</f>
        <v>0</v>
      </c>
      <c r="E15" s="29" t="n">
        <f aca="false">COUNTIFS(Data!$P$2:$P$921,"va",Data!$C$2:$C$921,"")</f>
        <v>0</v>
      </c>
      <c r="F15" s="30" t="n">
        <f aca="false">COUNTBLANK(Data!$C$2:$C$921)</f>
        <v>0</v>
      </c>
    </row>
    <row r="16" customFormat="false" ht="15" hidden="false" customHeight="false" outlineLevel="0" collapsed="false">
      <c r="A16" s="16" t="s">
        <v>115</v>
      </c>
      <c r="B16" s="29" t="n">
        <f aca="false">COUNTIFS(Data!$P$2:$P$921,"cleveland",Data!$D$2:$D$921,"")</f>
        <v>0</v>
      </c>
      <c r="C16" s="29" t="n">
        <f aca="false">COUNTIFS(Data!$P$2:$P$921,"hungarian",Data!$D$2:$D$921,"")</f>
        <v>0</v>
      </c>
      <c r="D16" s="29" t="n">
        <f aca="false">COUNTIFS(Data!$P$2:$P$921,"switzerland",Data!$D$2:$D$921,"")</f>
        <v>0</v>
      </c>
      <c r="E16" s="29" t="n">
        <f aca="false">COUNTIFS(Data!$P$2:$P$921,"va",Data!$D$2:$D$921,"")</f>
        <v>0</v>
      </c>
      <c r="F16" s="30" t="n">
        <f aca="false">COUNTBLANK(Data!$D$2:$D$921)</f>
        <v>0</v>
      </c>
    </row>
    <row r="17" customFormat="false" ht="15" hidden="false" customHeight="false" outlineLevel="0" collapsed="false">
      <c r="A17" s="16" t="s">
        <v>169</v>
      </c>
      <c r="B17" s="29" t="n">
        <f aca="false">COUNTIFS(Data!$P$2:$P$921,"cleveland",Data!$E$2:$E$921,"")</f>
        <v>0</v>
      </c>
      <c r="C17" s="29" t="n">
        <f aca="false">COUNTIFS(Data!$P$2:$P$921,"hungarian",Data!$E$2:$E$921,"")</f>
        <v>1</v>
      </c>
      <c r="D17" s="29" t="n">
        <f aca="false">COUNTIFS(Data!$P$2:$P$921,"switzerland",Data!$E$2:$E$921,"")</f>
        <v>2</v>
      </c>
      <c r="E17" s="29" t="n">
        <f aca="false">COUNTIFS(Data!$P$2:$P$921,"va",Data!$E$2:$E$921,"")</f>
        <v>56</v>
      </c>
      <c r="F17" s="30" t="n">
        <f aca="false">COUNTBLANK(Data!$E$2:$E$921)</f>
        <v>59</v>
      </c>
    </row>
    <row r="18" customFormat="false" ht="15" hidden="false" customHeight="false" outlineLevel="0" collapsed="false">
      <c r="A18" s="16" t="s">
        <v>170</v>
      </c>
      <c r="B18" s="29" t="n">
        <f aca="false">COUNTIFS(Data!$P$2:$P$921,"cleveland",Data!$F$2:$F$921,"")</f>
        <v>0</v>
      </c>
      <c r="C18" s="29" t="n">
        <f aca="false">COUNTIFS(Data!$P$2:$P$921,"hungarian",Data!$F$2:$F$921,"")</f>
        <v>23</v>
      </c>
      <c r="D18" s="29" t="n">
        <f aca="false">COUNTIFS(Data!$P$2:$P$921,"switzerland",Data!$F$2:$F$921,"")</f>
        <v>0</v>
      </c>
      <c r="E18" s="29" t="n">
        <f aca="false">COUNTIFS(Data!$P$2:$P$921,"va",Data!$F$2:$F$921,"")</f>
        <v>7</v>
      </c>
      <c r="F18" s="30" t="n">
        <f aca="false">COUNTBLANK(Data!$F$2:$F$921)</f>
        <v>30</v>
      </c>
    </row>
    <row r="19" customFormat="false" ht="15" hidden="false" customHeight="false" outlineLevel="0" collapsed="false">
      <c r="A19" s="16" t="s">
        <v>120</v>
      </c>
      <c r="B19" s="29" t="n">
        <f aca="false">COUNTIFS(Data!$P$2:$P$921,"cleveland",Data!$G$2:$G$921,"")</f>
        <v>0</v>
      </c>
      <c r="C19" s="29" t="n">
        <f aca="false">COUNTIFS(Data!$P$2:$P$921,"hungarian",Data!$G$2:$G$921,"")</f>
        <v>8</v>
      </c>
      <c r="D19" s="29" t="n">
        <f aca="false">COUNTIFS(Data!$P$2:$P$921,"switzerland",Data!$G$2:$G$921,"")</f>
        <v>75</v>
      </c>
      <c r="E19" s="29" t="n">
        <f aca="false">COUNTIFS(Data!$P$2:$P$921,"va",Data!$G$2:$G$921,"")</f>
        <v>7</v>
      </c>
      <c r="F19" s="30" t="n">
        <f aca="false">COUNTBLANK(Data!$G$2:$G$921)</f>
        <v>90</v>
      </c>
    </row>
    <row r="20" customFormat="false" ht="15" hidden="false" customHeight="false" outlineLevel="0" collapsed="false">
      <c r="A20" s="16" t="s">
        <v>123</v>
      </c>
      <c r="B20" s="29" t="n">
        <f aca="false">COUNTIFS(Data!$P$2:$P$921,"cleveland",Data!$H$2:$H$921,"")</f>
        <v>0</v>
      </c>
      <c r="C20" s="29" t="n">
        <f aca="false">COUNTIFS(Data!$P$2:$P$921,"hungarian",Data!$H$2:$H$921,"")</f>
        <v>1</v>
      </c>
      <c r="D20" s="29" t="n">
        <f aca="false">COUNTIFS(Data!$P$2:$P$921,"switzerland",Data!$H$2:$H$921,"")</f>
        <v>1</v>
      </c>
      <c r="E20" s="29" t="n">
        <f aca="false">COUNTIFS(Data!$P$2:$P$921,"va",Data!$H$2:$H$921,"")</f>
        <v>0</v>
      </c>
      <c r="F20" s="30" t="n">
        <f aca="false">COUNTBLANK(Data!$H$2:$H$921)</f>
        <v>2</v>
      </c>
    </row>
    <row r="21" customFormat="false" ht="15" hidden="false" customHeight="false" outlineLevel="0" collapsed="false">
      <c r="A21" s="16" t="s">
        <v>171</v>
      </c>
      <c r="B21" s="29" t="n">
        <f aca="false">COUNTIFS(Data!$P$2:$P$921,"cleveland",Data!$I$2:$I$921,"")</f>
        <v>0</v>
      </c>
      <c r="C21" s="29" t="n">
        <f aca="false">COUNTIFS(Data!$P$2:$P$921,"hungarian",Data!$I$2:$I$921,"")</f>
        <v>1</v>
      </c>
      <c r="D21" s="29" t="n">
        <f aca="false">COUNTIFS(Data!$P$2:$P$921,"switzerland",Data!$I$2:$I$921,"")</f>
        <v>1</v>
      </c>
      <c r="E21" s="29" t="n">
        <f aca="false">COUNTIFS(Data!$P$2:$P$921,"va",Data!$I$2:$I$921,"")</f>
        <v>53</v>
      </c>
      <c r="F21" s="30" t="n">
        <f aca="false">COUNTBLANK(Data!$I$2:$I$921)</f>
        <v>55</v>
      </c>
    </row>
    <row r="22" customFormat="false" ht="15" hidden="false" customHeight="false" outlineLevel="0" collapsed="false">
      <c r="A22" s="16" t="s">
        <v>127</v>
      </c>
      <c r="B22" s="29" t="n">
        <f aca="false">COUNTIFS(Data!$P$2:$P$921,"cleveland",Data!$J$2:$J$921,"")</f>
        <v>0</v>
      </c>
      <c r="C22" s="29" t="n">
        <f aca="false">COUNTIFS(Data!$P$2:$P$921,"hungarian",Data!$J$2:$J$921,"")</f>
        <v>1</v>
      </c>
      <c r="D22" s="29" t="n">
        <f aca="false">COUNTIFS(Data!$P$2:$P$921,"switzerland",Data!$J$2:$J$921,"")</f>
        <v>1</v>
      </c>
      <c r="E22" s="29" t="n">
        <f aca="false">COUNTIFS(Data!$P$2:$P$921,"va",Data!$J$2:$J$921,"")</f>
        <v>53</v>
      </c>
      <c r="F22" s="30" t="n">
        <f aca="false">COUNTBLANK(Data!$J$2:$J$921)</f>
        <v>55</v>
      </c>
    </row>
    <row r="23" customFormat="false" ht="15" hidden="false" customHeight="false" outlineLevel="0" collapsed="false">
      <c r="A23" s="16" t="s">
        <v>172</v>
      </c>
      <c r="B23" s="29" t="n">
        <f aca="false">COUNTIFS(Data!$P$2:$P$921,"cleveland",Data!$K$2:$K$921,"")</f>
        <v>0</v>
      </c>
      <c r="C23" s="29" t="n">
        <f aca="false">COUNTIFS(Data!$P$2:$P$921,"hungarian",Data!$K$2:$K$921,"")</f>
        <v>0</v>
      </c>
      <c r="D23" s="29" t="n">
        <f aca="false">COUNTIFS(Data!$P$2:$P$921,"switzerland",Data!$K$2:$K$921,"")</f>
        <v>6</v>
      </c>
      <c r="E23" s="29" t="n">
        <f aca="false">COUNTIFS(Data!$P$2:$P$921,"va",Data!$K$2:$K$921,"")</f>
        <v>56</v>
      </c>
      <c r="F23" s="30" t="n">
        <f aca="false">COUNTBLANK(Data!$K$2:$K$921)</f>
        <v>62</v>
      </c>
    </row>
    <row r="24" customFormat="false" ht="15" hidden="false" customHeight="false" outlineLevel="0" collapsed="false">
      <c r="A24" s="16" t="s">
        <v>128</v>
      </c>
      <c r="B24" s="29" t="n">
        <f aca="false">COUNTIFS(Data!$P$2:$P$921,"cleveland",Data!$L$2:$L$921,"")</f>
        <v>0</v>
      </c>
      <c r="C24" s="29" t="n">
        <f aca="false">COUNTIFS(Data!$P$2:$P$921,"hungarian",Data!$L$2:$L$921,"")</f>
        <v>190</v>
      </c>
      <c r="D24" s="29" t="n">
        <f aca="false">COUNTIFS(Data!$P$2:$P$921,"switzerland",Data!$L$2:$L$921,"")</f>
        <v>17</v>
      </c>
      <c r="E24" s="29" t="n">
        <f aca="false">COUNTIFS(Data!$P$2:$P$921,"va",Data!$L$2:$L$921,"")</f>
        <v>102</v>
      </c>
      <c r="F24" s="30" t="n">
        <f aca="false">COUNTBLANK(Data!$L$2:$L$921)</f>
        <v>309</v>
      </c>
    </row>
    <row r="25" customFormat="false" ht="15" hidden="false" customHeight="false" outlineLevel="0" collapsed="false">
      <c r="A25" s="16" t="s">
        <v>132</v>
      </c>
      <c r="B25" s="29" t="n">
        <f aca="false">COUNTIFS(Data!$P$2:$P$921,"cleveland",Data!$M$2:$M$921,"")</f>
        <v>4</v>
      </c>
      <c r="C25" s="29" t="n">
        <f aca="false">COUNTIFS(Data!$P$2:$P$921,"hungarian",Data!$M$2:$M$921,"")</f>
        <v>290</v>
      </c>
      <c r="D25" s="29" t="n">
        <f aca="false">COUNTIFS(Data!$P$2:$P$921,"switzerland",Data!$M$2:$M$921,"")</f>
        <v>118</v>
      </c>
      <c r="E25" s="29" t="n">
        <f aca="false">COUNTIFS(Data!$P$2:$P$921,"va",Data!$M$2:$M$921,"")</f>
        <v>198</v>
      </c>
      <c r="F25" s="30" t="n">
        <f aca="false">COUNTBLANK(Data!$M$2:$M$921)</f>
        <v>610</v>
      </c>
    </row>
    <row r="26" customFormat="false" ht="15" hidden="false" customHeight="false" outlineLevel="0" collapsed="false">
      <c r="A26" s="16" t="s">
        <v>137</v>
      </c>
      <c r="B26" s="29" t="n">
        <f aca="false">COUNTIFS(Data!$P$2:$P$921,"cleveland",Data!$N$2:$N$921,"")</f>
        <v>2</v>
      </c>
      <c r="C26" s="29" t="n">
        <f aca="false">COUNTIFS(Data!$P$2:$P$921,"hungarian",Data!$N$2:$N$921,"")</f>
        <v>266</v>
      </c>
      <c r="D26" s="29" t="n">
        <f aca="false">COUNTIFS(Data!$P$2:$P$921,"switzerland",Data!$N$2:$N$921,"")</f>
        <v>52</v>
      </c>
      <c r="E26" s="29" t="n">
        <f aca="false">COUNTIFS(Data!$P$2:$P$921,"va",Data!$N$2:$N$921,"")</f>
        <v>166</v>
      </c>
      <c r="F26" s="30" t="n">
        <f aca="false">COUNTBLANK(Data!$N$2:$N$921)</f>
        <v>486</v>
      </c>
    </row>
    <row r="27" customFormat="false" ht="15" hidden="false" customHeight="false" outlineLevel="0" collapsed="false">
      <c r="A27" s="16" t="s">
        <v>140</v>
      </c>
      <c r="B27" s="29" t="n">
        <f aca="false">COUNTIFS(Data!$P$2:$P$921,"cleveland",Data!$O$2:$O$921,"")</f>
        <v>0</v>
      </c>
      <c r="C27" s="29" t="n">
        <f aca="false">COUNTIFS(Data!$P$2:$P$921,"hungarian",Data!$O$2:$O$921,"")</f>
        <v>0</v>
      </c>
      <c r="D27" s="29" t="n">
        <f aca="false">COUNTIFS(Data!$P$2:$P$921,"switzerland",Data!$O$2:$O$921,"")</f>
        <v>0</v>
      </c>
      <c r="E27" s="29" t="n">
        <f aca="false">COUNTIFS(Data!$P$2:$P$921,"va",Data!$O$2:$O$921,"")</f>
        <v>0</v>
      </c>
      <c r="F27" s="30" t="n">
        <f aca="false">COUNTBLANK(Data!$O$2:$O$921)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2026-10-02T05:10:35Z</dcterms:created>
  <dc:creator>openpyxl</dc:creator>
  <dc:description/>
  <dc:language>en-US</dc:language>
  <cp:lastModifiedBy/>
  <dcterms:modified xsi:type="dcterms:W3CDTF">2026-10-02T05:10:36Z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